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hkoelnde-my.sharepoint.com/personal/smaxara_th-koeln_de/Documents/Dokumente/Uniper/Masterarbeit/Uniper_Workspace/"/>
    </mc:Choice>
  </mc:AlternateContent>
  <xr:revisionPtr revIDLastSave="21977" documentId="13_ncr:1_{A1567EF0-F8A8-4E11-A182-CF3F93CCA988}" xr6:coauthVersionLast="47" xr6:coauthVersionMax="47" xr10:uidLastSave="{DDEFC6FC-F646-409A-9F83-604CF12BEC4A}"/>
  <bookViews>
    <workbookView xWindow="-120" yWindow="-120" windowWidth="29040" windowHeight="15720" activeTab="5" xr2:uid="{00000000-000D-0000-FFFF-FFFF00000000}"/>
  </bookViews>
  <sheets>
    <sheet name="Übersicht" sheetId="1" r:id="rId1"/>
    <sheet name="Gemisch &amp; Grenzen" sheetId="9" r:id="rId2"/>
    <sheet name="Kaverne &amp; Gassäule" sheetId="2" r:id="rId3"/>
    <sheet name="Medienvergleich" sheetId="3" r:id="rId4"/>
    <sheet name="Einspeicherung S1" sheetId="4" r:id="rId5"/>
    <sheet name="Einspeicherung S2" sheetId="5" r:id="rId6"/>
    <sheet name="Phasendiagramm" sheetId="6" r:id="rId7"/>
    <sheet name="Quellen" sheetId="7" r:id="rId8"/>
    <sheet name="Diagrammdaten" sheetId="8" r:id="rId9"/>
  </sheets>
  <definedNames>
    <definedName name="Diagramm_dT">Diagrammdaten!$C$5</definedName>
    <definedName name="Diagramm_Tmin">Diagrammdaten!$C$4</definedName>
    <definedName name="eta">Übersicht!$F$67</definedName>
    <definedName name="eta_V1">Übersicht!$F$65</definedName>
    <definedName name="eta_V2">Übersicht!$F$66</definedName>
    <definedName name="grad_V1">Übersicht!$F$55</definedName>
    <definedName name="Kopf_grenz">'Kaverne &amp; Gassäule'!$D$19</definedName>
    <definedName name="Kopf_leer">'Kaverne &amp; Gassäule'!$D$20</definedName>
    <definedName name="Kopf_voll">'Kaverne &amp; Gassäule'!$D$18</definedName>
    <definedName name="MV_Kopf_CH4">Medienvergleich!$E$11</definedName>
    <definedName name="MV_Kopf_CO2">Medienvergleich!$C$11</definedName>
    <definedName name="MV_Kopf_H2">Medienvergleich!$F$11</definedName>
    <definedName name="p_blase_TK">'Gemisch &amp; Grenzen'!$H$15</definedName>
    <definedName name="p_cricondenbar">'Gemisch &amp; Grenzen'!$H$11</definedName>
    <definedName name="p_grenz">'Kaverne &amp; Gassäule'!$C$19</definedName>
    <definedName name="p_lith_V1">Übersicht!$F$73</definedName>
    <definedName name="p_S1">Übersicht!$F$43</definedName>
    <definedName name="p_S2">Übersicht!$F$46</definedName>
    <definedName name="p_tau_TK">'Gemisch &amp; Grenzen'!$H$16</definedName>
    <definedName name="p_uek">Übersicht!$F$50</definedName>
    <definedName name="p_zw">Übersicht!$F$51</definedName>
    <definedName name="pmax_V1">Übersicht!$F$56</definedName>
    <definedName name="pmin_V1">Übersicht!$F$57</definedName>
    <definedName name="rho_min">Übersicht!$F$69</definedName>
    <definedName name="rho_n">'Einspeicherung S1'!$E$19</definedName>
    <definedName name="rhoSalz_V1">Übersicht!$F$58</definedName>
    <definedName name="Stand_ok">Übersicht!$Q$39</definedName>
    <definedName name="Szen1_eta">'Einspeicherung S1'!$E$14</definedName>
    <definedName name="Szen1_h1">'Einspeicherung S1'!$E$10</definedName>
    <definedName name="Szen1_h2">'Einspeicherung S1'!$E$15</definedName>
    <definedName name="Szen1_h2s">'Einspeicherung S1'!$E$13</definedName>
    <definedName name="Szen1_mmax">'Einspeicherung S1'!$E$21</definedName>
    <definedName name="Szen1_mmin">'Einspeicherung S1'!$E$20</definedName>
    <definedName name="Szen1_p1">'Einspeicherung S1'!$E$8</definedName>
    <definedName name="Szen1_p2">'Einspeicherung S1'!$E$12</definedName>
    <definedName name="Szen1_Pmax">'Einspeicherung S1'!$E$23</definedName>
    <definedName name="Szen1_Pmin">'Einspeicherung S1'!$E$22</definedName>
    <definedName name="Szen1_s1">'Einspeicherung S1'!$E$11</definedName>
    <definedName name="Szen1_T1">'Einspeicherung S1'!$E$9</definedName>
    <definedName name="Szen1_T2">'Einspeicherung S1'!$E$16</definedName>
    <definedName name="Szen1_w">'Einspeicherung S1'!$E$18</definedName>
    <definedName name="Szen2_h1">'Einspeicherung S2'!$E$11</definedName>
    <definedName name="Szen2_h1a">'Einspeicherung S2'!$E$15</definedName>
    <definedName name="Szen2_h1s">'Einspeicherung S2'!$E$14</definedName>
    <definedName name="Szen2_h2a">'Einspeicherung S2'!$E$29</definedName>
    <definedName name="Szen2_h2s">'Einspeicherung S2'!$E$28</definedName>
    <definedName name="Szen2_hK">'Einspeicherung S2'!$E$35</definedName>
    <definedName name="Szen2_hPa">'Einspeicherung S2'!$E$43</definedName>
    <definedName name="Szen2_hPs">'Einspeicherung S2'!$E$42</definedName>
    <definedName name="Szen2_hZK">'Einspeicherung S2'!$E$21</definedName>
    <definedName name="Szen2_Pmax">'Einspeicherung S2'!$E$50</definedName>
    <definedName name="Szen2_Pmin">'Einspeicherung S2'!$E$49</definedName>
    <definedName name="Szen2_q_ges">'Einspeicherung S2'!$E$48</definedName>
    <definedName name="Szen2_qK">'Einspeicherung S2'!$E$38</definedName>
    <definedName name="Szen2_Qmax">'Einspeicherung S2'!$E$51</definedName>
    <definedName name="Szen2_qZK">'Einspeicherung S2'!$E$22</definedName>
    <definedName name="Szen2_rhoP">'Einspeicherung S2'!$E$36</definedName>
    <definedName name="Szen2_T1a">'Einspeicherung S2'!$E$16</definedName>
    <definedName name="Szen2_T2a">'Einspeicherung S2'!$E$30</definedName>
    <definedName name="Szen2_TPa">'Einspeicherung S2'!$E$44</definedName>
    <definedName name="Szen2_w_ges">'Einspeicherung S2'!$E$47</definedName>
    <definedName name="Szen2_w1">'Einspeicherung S2'!$E$18</definedName>
    <definedName name="Szen2_w2">'Einspeicherung S2'!$E$32</definedName>
    <definedName name="Szen2_wP">'Einspeicherung S2'!$E$45</definedName>
    <definedName name="Szen2_Z2">'Einspeicherung S2'!$E$23</definedName>
    <definedName name="T_K">Übersicht!$F$48</definedName>
    <definedName name="T_Kav_V1">Übersicht!$F$72</definedName>
    <definedName name="T_maxV">Übersicht!$F$49</definedName>
    <definedName name="T_S1">Übersicht!$F$44</definedName>
    <definedName name="T_S2">Übersicht!$F$47</definedName>
    <definedName name="Tober_V1">Übersicht!$F$54</definedName>
    <definedName name="U_PG">'Gemisch &amp; Grenzen'!$H$14</definedName>
    <definedName name="V_max">Übersicht!$F$64</definedName>
    <definedName name="V_min">Übersicht!$F$63</definedName>
    <definedName name="Vgl_A_w">'Einspeicherung S2'!$F$67</definedName>
    <definedName name="Vgl_C_w">'Einspeicherung S2'!$F$68</definedName>
    <definedName name="Z_min">Übersicht!$F$68</definedName>
    <definedName name="z_V1">Übersicht!$F$53</definedName>
    <definedName name="Zoom_Tmin">Diagrammdaten!$C$6</definedName>
    <definedName name="Zoom2_Tmin">Diagrammdaten!$F$6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92" i="8" l="1"/>
  <c r="L390" i="8"/>
  <c r="L389" i="8"/>
  <c r="L387" i="8"/>
  <c r="L386" i="8"/>
  <c r="L385" i="8"/>
  <c r="L384" i="8"/>
  <c r="L383" i="8"/>
  <c r="L382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7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2" i="8"/>
  <c r="N153" i="8"/>
  <c r="N155" i="8"/>
  <c r="N156" i="8"/>
  <c r="N157" i="8"/>
  <c r="N183" i="8"/>
  <c r="N209" i="8"/>
  <c r="N235" i="8"/>
  <c r="N238" i="8"/>
  <c r="N241" i="8"/>
  <c r="N242" i="8"/>
  <c r="N243" i="8"/>
  <c r="N244" i="8"/>
  <c r="N245" i="8"/>
  <c r="N246" i="8"/>
  <c r="N247" i="8"/>
  <c r="N248" i="8"/>
  <c r="N249" i="8"/>
  <c r="N250" i="8"/>
  <c r="N251" i="8"/>
  <c r="N252" i="8"/>
  <c r="N253" i="8"/>
  <c r="N254" i="8"/>
  <c r="N255" i="8"/>
  <c r="N256" i="8"/>
  <c r="N257" i="8"/>
  <c r="N258" i="8"/>
  <c r="N259" i="8"/>
  <c r="N260" i="8"/>
  <c r="N261" i="8"/>
  <c r="N262" i="8"/>
  <c r="N263" i="8"/>
  <c r="N264" i="8"/>
  <c r="N265" i="8"/>
  <c r="N266" i="8"/>
  <c r="N267" i="8"/>
  <c r="N268" i="8"/>
  <c r="N269" i="8"/>
  <c r="N270" i="8"/>
  <c r="N271" i="8"/>
  <c r="N272" i="8"/>
  <c r="N273" i="8"/>
  <c r="N274" i="8"/>
  <c r="N275" i="8"/>
  <c r="N276" i="8"/>
  <c r="N277" i="8"/>
  <c r="N278" i="8"/>
  <c r="N279" i="8"/>
  <c r="N280" i="8"/>
  <c r="N281" i="8"/>
  <c r="N282" i="8"/>
  <c r="N283" i="8"/>
  <c r="N284" i="8"/>
  <c r="N285" i="8"/>
  <c r="N286" i="8"/>
  <c r="N287" i="8"/>
  <c r="N288" i="8"/>
  <c r="N289" i="8"/>
  <c r="N290" i="8"/>
  <c r="N291" i="8"/>
  <c r="N292" i="8"/>
  <c r="N293" i="8"/>
  <c r="N294" i="8"/>
  <c r="N295" i="8"/>
  <c r="N296" i="8"/>
  <c r="N297" i="8"/>
  <c r="N298" i="8"/>
  <c r="N299" i="8"/>
  <c r="N300" i="8"/>
  <c r="N301" i="8"/>
  <c r="N302" i="8"/>
  <c r="N303" i="8"/>
  <c r="N304" i="8"/>
  <c r="N305" i="8"/>
  <c r="N306" i="8"/>
  <c r="N307" i="8"/>
  <c r="N308" i="8"/>
  <c r="N309" i="8"/>
  <c r="N310" i="8"/>
  <c r="N311" i="8"/>
  <c r="N312" i="8"/>
  <c r="N313" i="8"/>
  <c r="N314" i="8"/>
  <c r="N315" i="8"/>
  <c r="N316" i="8"/>
  <c r="N317" i="8"/>
  <c r="N318" i="8"/>
  <c r="N319" i="8"/>
  <c r="N320" i="8"/>
  <c r="N321" i="8"/>
  <c r="N322" i="8"/>
  <c r="N323" i="8"/>
  <c r="N324" i="8"/>
  <c r="N325" i="8"/>
  <c r="N326" i="8"/>
  <c r="N327" i="8"/>
  <c r="N328" i="8"/>
  <c r="N329" i="8"/>
  <c r="N330" i="8"/>
  <c r="N331" i="8"/>
  <c r="N332" i="8"/>
  <c r="N333" i="8"/>
  <c r="N334" i="8"/>
  <c r="N335" i="8"/>
  <c r="N336" i="8"/>
  <c r="N337" i="8"/>
  <c r="N338" i="8"/>
  <c r="N339" i="8"/>
  <c r="N340" i="8"/>
  <c r="N341" i="8"/>
  <c r="N342" i="8"/>
  <c r="N343" i="8"/>
  <c r="N344" i="8"/>
  <c r="N345" i="8"/>
  <c r="N346" i="8"/>
  <c r="N347" i="8"/>
  <c r="N348" i="8"/>
  <c r="N349" i="8"/>
  <c r="N350" i="8"/>
  <c r="N351" i="8"/>
  <c r="N352" i="8"/>
  <c r="N353" i="8"/>
  <c r="N354" i="8"/>
  <c r="N355" i="8"/>
  <c r="N356" i="8"/>
  <c r="N357" i="8"/>
  <c r="N358" i="8"/>
  <c r="N359" i="8"/>
  <c r="N360" i="8"/>
  <c r="N361" i="8"/>
  <c r="N362" i="8"/>
  <c r="N363" i="8"/>
  <c r="N364" i="8"/>
  <c r="N365" i="8"/>
  <c r="N366" i="8"/>
  <c r="N367" i="8"/>
  <c r="N368" i="8"/>
  <c r="N369" i="8"/>
  <c r="N370" i="8"/>
  <c r="N371" i="8"/>
  <c r="N372" i="8"/>
  <c r="N373" i="8"/>
  <c r="N374" i="8"/>
  <c r="N375" i="8"/>
  <c r="N376" i="8"/>
  <c r="N377" i="8"/>
  <c r="N378" i="8"/>
  <c r="N379" i="8"/>
  <c r="N380" i="8"/>
  <c r="N381" i="8"/>
  <c r="N382" i="8"/>
  <c r="N383" i="8"/>
  <c r="N384" i="8"/>
  <c r="N385" i="8"/>
  <c r="N386" i="8"/>
  <c r="N387" i="8"/>
  <c r="N388" i="8"/>
  <c r="N389" i="8"/>
  <c r="N390" i="8"/>
  <c r="N391" i="8"/>
  <c r="N392" i="8"/>
  <c r="N393" i="8"/>
  <c r="N394" i="8"/>
  <c r="N395" i="8"/>
  <c r="N396" i="8"/>
  <c r="N397" i="8"/>
  <c r="N398" i="8"/>
  <c r="N399" i="8"/>
  <c r="N400" i="8"/>
  <c r="N401" i="8"/>
  <c r="N402" i="8"/>
  <c r="F85" i="1"/>
  <c r="E61" i="5"/>
  <c r="D61" i="5"/>
  <c r="F60" i="5"/>
  <c r="E60" i="5"/>
  <c r="D60" i="5"/>
  <c r="E59" i="5"/>
  <c r="D59" i="5"/>
  <c r="F58" i="5"/>
  <c r="E58" i="5"/>
  <c r="D58" i="5"/>
  <c r="E57" i="5"/>
  <c r="D57" i="5"/>
  <c r="F56" i="5"/>
  <c r="E56" i="5"/>
  <c r="D56" i="5"/>
  <c r="E43" i="5"/>
  <c r="E45" i="5" s="1"/>
  <c r="F76" i="5" s="1"/>
  <c r="E41" i="5"/>
  <c r="E40" i="5"/>
  <c r="E37" i="5"/>
  <c r="E34" i="5"/>
  <c r="E31" i="5"/>
  <c r="E29" i="5"/>
  <c r="E32" i="5" s="1"/>
  <c r="E76" i="5" s="1"/>
  <c r="E27" i="5"/>
  <c r="E26" i="5"/>
  <c r="E24" i="5"/>
  <c r="E20" i="5"/>
  <c r="E17" i="5"/>
  <c r="E15" i="5"/>
  <c r="F57" i="5" s="1"/>
  <c r="E13" i="5"/>
  <c r="E12" i="5"/>
  <c r="E10" i="5"/>
  <c r="E9" i="5"/>
  <c r="J154" i="8"/>
  <c r="N154" i="8" s="1"/>
  <c r="J151" i="8"/>
  <c r="N151" i="8" s="1"/>
  <c r="K133" i="8"/>
  <c r="J133" i="8"/>
  <c r="L133" i="8" s="1"/>
  <c r="K132" i="8"/>
  <c r="J132" i="8"/>
  <c r="L132" i="8" s="1"/>
  <c r="K131" i="8"/>
  <c r="J131" i="8"/>
  <c r="L131" i="8" s="1"/>
  <c r="K130" i="8"/>
  <c r="J130" i="8"/>
  <c r="L130" i="8" s="1"/>
  <c r="K129" i="8"/>
  <c r="J129" i="8"/>
  <c r="L129" i="8" s="1"/>
  <c r="K128" i="8"/>
  <c r="J128" i="8"/>
  <c r="L128" i="8" s="1"/>
  <c r="F84" i="1"/>
  <c r="D19" i="3"/>
  <c r="N133" i="8" l="1"/>
  <c r="N132" i="8"/>
  <c r="N131" i="8"/>
  <c r="N130" i="8"/>
  <c r="N129" i="8"/>
  <c r="N128" i="8"/>
  <c r="F59" i="5"/>
  <c r="E38" i="5"/>
  <c r="E18" i="5"/>
  <c r="F61" i="5"/>
  <c r="E22" i="5"/>
  <c r="E48" i="5" s="1"/>
  <c r="I26" i="2"/>
  <c r="H26" i="2"/>
  <c r="I25" i="2"/>
  <c r="H25" i="2"/>
  <c r="I24" i="2"/>
  <c r="H24" i="2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7" i="8"/>
  <c r="M132" i="8"/>
  <c r="M137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83" i="8"/>
  <c r="M209" i="8"/>
  <c r="M235" i="8"/>
  <c r="M238" i="8"/>
  <c r="M241" i="8"/>
  <c r="M242" i="8"/>
  <c r="M243" i="8"/>
  <c r="M244" i="8"/>
  <c r="M245" i="8"/>
  <c r="M246" i="8"/>
  <c r="M247" i="8"/>
  <c r="M248" i="8"/>
  <c r="M249" i="8"/>
  <c r="M250" i="8"/>
  <c r="M251" i="8"/>
  <c r="M252" i="8"/>
  <c r="M253" i="8"/>
  <c r="M254" i="8"/>
  <c r="M255" i="8"/>
  <c r="M256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4" i="8"/>
  <c r="M285" i="8"/>
  <c r="M286" i="8"/>
  <c r="M287" i="8"/>
  <c r="M288" i="8"/>
  <c r="M289" i="8"/>
  <c r="M290" i="8"/>
  <c r="M291" i="8"/>
  <c r="M292" i="8"/>
  <c r="M293" i="8"/>
  <c r="M294" i="8"/>
  <c r="M295" i="8"/>
  <c r="M296" i="8"/>
  <c r="M297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1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4" i="8"/>
  <c r="M355" i="8"/>
  <c r="M356" i="8"/>
  <c r="M357" i="8"/>
  <c r="M358" i="8"/>
  <c r="M359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6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L402" i="8"/>
  <c r="L401" i="8"/>
  <c r="L400" i="8"/>
  <c r="L399" i="8"/>
  <c r="L397" i="8"/>
  <c r="L396" i="8"/>
  <c r="L395" i="8"/>
  <c r="L394" i="8"/>
  <c r="M385" i="8"/>
  <c r="M384" i="8"/>
  <c r="M383" i="8"/>
  <c r="M382" i="8"/>
  <c r="L380" i="8"/>
  <c r="L378" i="8"/>
  <c r="L377" i="8"/>
  <c r="L376" i="8"/>
  <c r="L375" i="8"/>
  <c r="L374" i="8"/>
  <c r="L373" i="8"/>
  <c r="L372" i="8"/>
  <c r="L371" i="8"/>
  <c r="L370" i="8"/>
  <c r="L369" i="8"/>
  <c r="L368" i="8"/>
  <c r="L367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L358" i="8"/>
  <c r="C358" i="8"/>
  <c r="L357" i="8"/>
  <c r="C357" i="8"/>
  <c r="L356" i="8"/>
  <c r="C356" i="8"/>
  <c r="L355" i="8"/>
  <c r="C355" i="8"/>
  <c r="L354" i="8"/>
  <c r="C354" i="8"/>
  <c r="L353" i="8"/>
  <c r="C353" i="8"/>
  <c r="L352" i="8"/>
  <c r="C352" i="8"/>
  <c r="L351" i="8"/>
  <c r="C351" i="8"/>
  <c r="L350" i="8"/>
  <c r="C350" i="8"/>
  <c r="L349" i="8"/>
  <c r="C349" i="8"/>
  <c r="L348" i="8"/>
  <c r="C348" i="8"/>
  <c r="L347" i="8"/>
  <c r="C347" i="8"/>
  <c r="L346" i="8"/>
  <c r="C346" i="8"/>
  <c r="L345" i="8"/>
  <c r="C345" i="8"/>
  <c r="L344" i="8"/>
  <c r="C344" i="8"/>
  <c r="L343" i="8"/>
  <c r="C343" i="8"/>
  <c r="L342" i="8"/>
  <c r="C342" i="8"/>
  <c r="L341" i="8"/>
  <c r="C341" i="8"/>
  <c r="L340" i="8"/>
  <c r="C340" i="8"/>
  <c r="L339" i="8"/>
  <c r="C339" i="8"/>
  <c r="L338" i="8"/>
  <c r="C338" i="8"/>
  <c r="L337" i="8"/>
  <c r="C337" i="8"/>
  <c r="L336" i="8"/>
  <c r="C336" i="8"/>
  <c r="L335" i="8"/>
  <c r="C335" i="8"/>
  <c r="L334" i="8"/>
  <c r="C334" i="8"/>
  <c r="L333" i="8"/>
  <c r="C333" i="8"/>
  <c r="L332" i="8"/>
  <c r="C332" i="8"/>
  <c r="L331" i="8"/>
  <c r="C331" i="8"/>
  <c r="L330" i="8"/>
  <c r="C330" i="8"/>
  <c r="L329" i="8"/>
  <c r="C329" i="8"/>
  <c r="C328" i="8"/>
  <c r="L327" i="8"/>
  <c r="C327" i="8"/>
  <c r="L326" i="8"/>
  <c r="C326" i="8"/>
  <c r="L325" i="8"/>
  <c r="C325" i="8"/>
  <c r="L324" i="8"/>
  <c r="C324" i="8"/>
  <c r="L323" i="8"/>
  <c r="C323" i="8"/>
  <c r="L322" i="8"/>
  <c r="C322" i="8"/>
  <c r="L321" i="8"/>
  <c r="C321" i="8"/>
  <c r="L320" i="8"/>
  <c r="C320" i="8"/>
  <c r="L319" i="8"/>
  <c r="C319" i="8"/>
  <c r="L318" i="8"/>
  <c r="C318" i="8"/>
  <c r="L317" i="8"/>
  <c r="C317" i="8"/>
  <c r="L316" i="8"/>
  <c r="C316" i="8"/>
  <c r="L315" i="8"/>
  <c r="C315" i="8"/>
  <c r="L314" i="8"/>
  <c r="C314" i="8"/>
  <c r="L313" i="8"/>
  <c r="C313" i="8"/>
  <c r="L312" i="8"/>
  <c r="C312" i="8"/>
  <c r="L311" i="8"/>
  <c r="C311" i="8"/>
  <c r="L310" i="8"/>
  <c r="C310" i="8"/>
  <c r="L309" i="8"/>
  <c r="C309" i="8"/>
  <c r="L308" i="8"/>
  <c r="C308" i="8"/>
  <c r="L307" i="8"/>
  <c r="C307" i="8"/>
  <c r="L306" i="8"/>
  <c r="C306" i="8"/>
  <c r="L305" i="8"/>
  <c r="C305" i="8"/>
  <c r="L304" i="8"/>
  <c r="C304" i="8"/>
  <c r="L303" i="8"/>
  <c r="C303" i="8"/>
  <c r="L302" i="8"/>
  <c r="C302" i="8"/>
  <c r="L301" i="8"/>
  <c r="C301" i="8"/>
  <c r="L300" i="8"/>
  <c r="C300" i="8"/>
  <c r="L299" i="8"/>
  <c r="C299" i="8"/>
  <c r="L298" i="8"/>
  <c r="C298" i="8"/>
  <c r="C297" i="8"/>
  <c r="L296" i="8"/>
  <c r="C296" i="8"/>
  <c r="L295" i="8"/>
  <c r="C295" i="8"/>
  <c r="L294" i="8"/>
  <c r="C294" i="8"/>
  <c r="L293" i="8"/>
  <c r="C293" i="8"/>
  <c r="L292" i="8"/>
  <c r="C292" i="8"/>
  <c r="L291" i="8"/>
  <c r="C291" i="8"/>
  <c r="L290" i="8"/>
  <c r="C290" i="8"/>
  <c r="L289" i="8"/>
  <c r="C289" i="8"/>
  <c r="L288" i="8"/>
  <c r="C288" i="8"/>
  <c r="L287" i="8"/>
  <c r="C287" i="8"/>
  <c r="L286" i="8"/>
  <c r="C286" i="8"/>
  <c r="L285" i="8"/>
  <c r="C285" i="8"/>
  <c r="L284" i="8"/>
  <c r="C284" i="8"/>
  <c r="L283" i="8"/>
  <c r="C283" i="8"/>
  <c r="L282" i="8"/>
  <c r="C282" i="8"/>
  <c r="L281" i="8"/>
  <c r="C281" i="8"/>
  <c r="L280" i="8"/>
  <c r="C280" i="8"/>
  <c r="L279" i="8"/>
  <c r="C279" i="8"/>
  <c r="L278" i="8"/>
  <c r="C278" i="8"/>
  <c r="L277" i="8"/>
  <c r="C277" i="8"/>
  <c r="L276" i="8"/>
  <c r="C276" i="8"/>
  <c r="L275" i="8"/>
  <c r="C275" i="8"/>
  <c r="L274" i="8"/>
  <c r="C274" i="8"/>
  <c r="L273" i="8"/>
  <c r="C273" i="8"/>
  <c r="L272" i="8"/>
  <c r="C272" i="8"/>
  <c r="L271" i="8"/>
  <c r="C271" i="8"/>
  <c r="L270" i="8"/>
  <c r="C270" i="8"/>
  <c r="L269" i="8"/>
  <c r="C269" i="8"/>
  <c r="L268" i="8"/>
  <c r="C268" i="8"/>
  <c r="L267" i="8"/>
  <c r="C267" i="8"/>
  <c r="L266" i="8"/>
  <c r="C266" i="8"/>
  <c r="L265" i="8"/>
  <c r="C265" i="8"/>
  <c r="L264" i="8"/>
  <c r="C264" i="8"/>
  <c r="L263" i="8"/>
  <c r="C263" i="8"/>
  <c r="L262" i="8"/>
  <c r="C262" i="8"/>
  <c r="L261" i="8"/>
  <c r="C261" i="8"/>
  <c r="L260" i="8"/>
  <c r="C260" i="8"/>
  <c r="L259" i="8"/>
  <c r="C259" i="8"/>
  <c r="L258" i="8"/>
  <c r="C258" i="8"/>
  <c r="L257" i="8"/>
  <c r="C257" i="8"/>
  <c r="L256" i="8"/>
  <c r="C256" i="8"/>
  <c r="C255" i="8"/>
  <c r="C254" i="8"/>
  <c r="L253" i="8"/>
  <c r="C253" i="8"/>
  <c r="L252" i="8"/>
  <c r="C252" i="8"/>
  <c r="L251" i="8"/>
  <c r="C251" i="8"/>
  <c r="L250" i="8"/>
  <c r="C250" i="8"/>
  <c r="L249" i="8"/>
  <c r="C249" i="8"/>
  <c r="L248" i="8"/>
  <c r="C248" i="8"/>
  <c r="L247" i="8"/>
  <c r="C247" i="8"/>
  <c r="L246" i="8"/>
  <c r="C246" i="8"/>
  <c r="L245" i="8"/>
  <c r="C245" i="8"/>
  <c r="L244" i="8"/>
  <c r="C244" i="8"/>
  <c r="L243" i="8"/>
  <c r="C243" i="8"/>
  <c r="L242" i="8"/>
  <c r="C242" i="8"/>
  <c r="C241" i="8"/>
  <c r="K240" i="8"/>
  <c r="J240" i="8"/>
  <c r="C240" i="8"/>
  <c r="K239" i="8"/>
  <c r="J239" i="8"/>
  <c r="C239" i="8"/>
  <c r="C238" i="8"/>
  <c r="K237" i="8"/>
  <c r="C237" i="8"/>
  <c r="K236" i="8"/>
  <c r="C236" i="8"/>
  <c r="C235" i="8"/>
  <c r="K234" i="8"/>
  <c r="J234" i="8"/>
  <c r="N234" i="8" s="1"/>
  <c r="C234" i="8"/>
  <c r="K233" i="8"/>
  <c r="J233" i="8"/>
  <c r="C233" i="8"/>
  <c r="K232" i="8"/>
  <c r="J232" i="8"/>
  <c r="C232" i="8"/>
  <c r="K231" i="8"/>
  <c r="J231" i="8"/>
  <c r="C231" i="8"/>
  <c r="K230" i="8"/>
  <c r="J230" i="8"/>
  <c r="C230" i="8"/>
  <c r="K229" i="8"/>
  <c r="J229" i="8"/>
  <c r="C229" i="8"/>
  <c r="K228" i="8"/>
  <c r="J228" i="8"/>
  <c r="C228" i="8"/>
  <c r="K227" i="8"/>
  <c r="J227" i="8"/>
  <c r="C227" i="8"/>
  <c r="K226" i="8"/>
  <c r="J226" i="8"/>
  <c r="C226" i="8"/>
  <c r="K225" i="8"/>
  <c r="J225" i="8"/>
  <c r="C225" i="8"/>
  <c r="K224" i="8"/>
  <c r="J224" i="8"/>
  <c r="C224" i="8"/>
  <c r="K223" i="8"/>
  <c r="J223" i="8"/>
  <c r="C223" i="8"/>
  <c r="K222" i="8"/>
  <c r="J222" i="8"/>
  <c r="C222" i="8"/>
  <c r="K221" i="8"/>
  <c r="J221" i="8"/>
  <c r="C221" i="8"/>
  <c r="K220" i="8"/>
  <c r="J220" i="8"/>
  <c r="C220" i="8"/>
  <c r="K219" i="8"/>
  <c r="J219" i="8"/>
  <c r="C219" i="8"/>
  <c r="K218" i="8"/>
  <c r="J218" i="8"/>
  <c r="N218" i="8" s="1"/>
  <c r="C218" i="8"/>
  <c r="K217" i="8"/>
  <c r="J217" i="8"/>
  <c r="C217" i="8"/>
  <c r="K216" i="8"/>
  <c r="J216" i="8"/>
  <c r="C216" i="8"/>
  <c r="K215" i="8"/>
  <c r="J215" i="8"/>
  <c r="C215" i="8"/>
  <c r="K214" i="8"/>
  <c r="J214" i="8"/>
  <c r="C214" i="8"/>
  <c r="K213" i="8"/>
  <c r="J213" i="8"/>
  <c r="C213" i="8"/>
  <c r="K212" i="8"/>
  <c r="J212" i="8"/>
  <c r="C212" i="8"/>
  <c r="K211" i="8"/>
  <c r="J211" i="8"/>
  <c r="C211" i="8"/>
  <c r="K210" i="8"/>
  <c r="J210" i="8"/>
  <c r="C210" i="8"/>
  <c r="C209" i="8"/>
  <c r="K208" i="8"/>
  <c r="J208" i="8"/>
  <c r="C208" i="8"/>
  <c r="K207" i="8"/>
  <c r="J207" i="8"/>
  <c r="C207" i="8"/>
  <c r="K206" i="8"/>
  <c r="J206" i="8"/>
  <c r="C206" i="8"/>
  <c r="K205" i="8"/>
  <c r="J205" i="8"/>
  <c r="C205" i="8"/>
  <c r="K204" i="8"/>
  <c r="J204" i="8"/>
  <c r="C204" i="8"/>
  <c r="K203" i="8"/>
  <c r="J203" i="8"/>
  <c r="C203" i="8"/>
  <c r="K202" i="8"/>
  <c r="J202" i="8"/>
  <c r="C202" i="8"/>
  <c r="K201" i="8"/>
  <c r="J201" i="8"/>
  <c r="C201" i="8"/>
  <c r="K200" i="8"/>
  <c r="J200" i="8"/>
  <c r="C200" i="8"/>
  <c r="K199" i="8"/>
  <c r="J199" i="8"/>
  <c r="C199" i="8"/>
  <c r="K198" i="8"/>
  <c r="J198" i="8"/>
  <c r="C198" i="8"/>
  <c r="K197" i="8"/>
  <c r="J197" i="8"/>
  <c r="C197" i="8"/>
  <c r="K196" i="8"/>
  <c r="J196" i="8"/>
  <c r="C196" i="8"/>
  <c r="K195" i="8"/>
  <c r="J195" i="8"/>
  <c r="C195" i="8"/>
  <c r="K194" i="8"/>
  <c r="J194" i="8"/>
  <c r="C194" i="8"/>
  <c r="K193" i="8"/>
  <c r="J193" i="8"/>
  <c r="C193" i="8"/>
  <c r="K192" i="8"/>
  <c r="J192" i="8"/>
  <c r="C192" i="8"/>
  <c r="K191" i="8"/>
  <c r="J191" i="8"/>
  <c r="C191" i="8"/>
  <c r="K190" i="8"/>
  <c r="J190" i="8"/>
  <c r="C190" i="8"/>
  <c r="K189" i="8"/>
  <c r="J189" i="8"/>
  <c r="C189" i="8"/>
  <c r="K188" i="8"/>
  <c r="J188" i="8"/>
  <c r="C188" i="8"/>
  <c r="K187" i="8"/>
  <c r="J187" i="8"/>
  <c r="C187" i="8"/>
  <c r="K186" i="8"/>
  <c r="J186" i="8"/>
  <c r="C186" i="8"/>
  <c r="K185" i="8"/>
  <c r="J185" i="8"/>
  <c r="C185" i="8"/>
  <c r="K184" i="8"/>
  <c r="J184" i="8"/>
  <c r="C184" i="8"/>
  <c r="C183" i="8"/>
  <c r="K182" i="8"/>
  <c r="J182" i="8"/>
  <c r="C182" i="8"/>
  <c r="K181" i="8"/>
  <c r="J181" i="8"/>
  <c r="C181" i="8"/>
  <c r="K180" i="8"/>
  <c r="J180" i="8"/>
  <c r="C180" i="8"/>
  <c r="K179" i="8"/>
  <c r="J179" i="8"/>
  <c r="C179" i="8"/>
  <c r="K178" i="8"/>
  <c r="J178" i="8"/>
  <c r="C178" i="8"/>
  <c r="K177" i="8"/>
  <c r="J177" i="8"/>
  <c r="C177" i="8"/>
  <c r="K176" i="8"/>
  <c r="J176" i="8"/>
  <c r="C176" i="8"/>
  <c r="K175" i="8"/>
  <c r="J175" i="8"/>
  <c r="C175" i="8"/>
  <c r="K174" i="8"/>
  <c r="J174" i="8"/>
  <c r="C174" i="8"/>
  <c r="K173" i="8"/>
  <c r="J173" i="8"/>
  <c r="C173" i="8"/>
  <c r="K172" i="8"/>
  <c r="J172" i="8"/>
  <c r="C172" i="8"/>
  <c r="K171" i="8"/>
  <c r="J171" i="8"/>
  <c r="C171" i="8"/>
  <c r="K170" i="8"/>
  <c r="J170" i="8"/>
  <c r="C170" i="8"/>
  <c r="K169" i="8"/>
  <c r="J169" i="8"/>
  <c r="C169" i="8"/>
  <c r="K168" i="8"/>
  <c r="J168" i="8"/>
  <c r="C168" i="8"/>
  <c r="K167" i="8"/>
  <c r="J167" i="8"/>
  <c r="C167" i="8"/>
  <c r="K166" i="8"/>
  <c r="J166" i="8"/>
  <c r="C166" i="8"/>
  <c r="K165" i="8"/>
  <c r="J165" i="8"/>
  <c r="C165" i="8"/>
  <c r="K164" i="8"/>
  <c r="J164" i="8"/>
  <c r="C164" i="8"/>
  <c r="K163" i="8"/>
  <c r="J163" i="8"/>
  <c r="C163" i="8"/>
  <c r="K162" i="8"/>
  <c r="J162" i="8"/>
  <c r="C162" i="8"/>
  <c r="K161" i="8"/>
  <c r="J161" i="8"/>
  <c r="C161" i="8"/>
  <c r="K160" i="8"/>
  <c r="J160" i="8"/>
  <c r="C160" i="8"/>
  <c r="K159" i="8"/>
  <c r="J159" i="8"/>
  <c r="C159" i="8"/>
  <c r="K158" i="8"/>
  <c r="J158" i="8"/>
  <c r="C158" i="8"/>
  <c r="C157" i="8"/>
  <c r="L156" i="8"/>
  <c r="C156" i="8"/>
  <c r="L155" i="8"/>
  <c r="C155" i="8"/>
  <c r="L154" i="8"/>
  <c r="C154" i="8"/>
  <c r="L153" i="8"/>
  <c r="C153" i="8"/>
  <c r="L152" i="8"/>
  <c r="C152" i="8"/>
  <c r="L151" i="8"/>
  <c r="C151" i="8"/>
  <c r="L150" i="8"/>
  <c r="C150" i="8"/>
  <c r="L149" i="8"/>
  <c r="C149" i="8"/>
  <c r="L148" i="8"/>
  <c r="C148" i="8"/>
  <c r="L147" i="8"/>
  <c r="C147" i="8"/>
  <c r="L146" i="8"/>
  <c r="C146" i="8"/>
  <c r="L145" i="8"/>
  <c r="C145" i="8"/>
  <c r="L144" i="8"/>
  <c r="C144" i="8"/>
  <c r="C143" i="8"/>
  <c r="L142" i="8"/>
  <c r="C142" i="8"/>
  <c r="L141" i="8"/>
  <c r="C141" i="8"/>
  <c r="L140" i="8"/>
  <c r="C140" i="8"/>
  <c r="L139" i="8"/>
  <c r="C139" i="8"/>
  <c r="L138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J126" i="8"/>
  <c r="C126" i="8"/>
  <c r="C125" i="8"/>
  <c r="C124" i="8"/>
  <c r="L123" i="8"/>
  <c r="C123" i="8"/>
  <c r="C122" i="8"/>
  <c r="L121" i="8"/>
  <c r="C121" i="8"/>
  <c r="C120" i="8"/>
  <c r="L119" i="8"/>
  <c r="C119" i="8"/>
  <c r="L118" i="8"/>
  <c r="C118" i="8"/>
  <c r="L117" i="8"/>
  <c r="C117" i="8"/>
  <c r="L116" i="8"/>
  <c r="C116" i="8"/>
  <c r="L115" i="8"/>
  <c r="C115" i="8"/>
  <c r="L114" i="8"/>
  <c r="C114" i="8"/>
  <c r="L113" i="8"/>
  <c r="C113" i="8"/>
  <c r="L112" i="8"/>
  <c r="C112" i="8"/>
  <c r="L111" i="8"/>
  <c r="C111" i="8"/>
  <c r="L110" i="8"/>
  <c r="C110" i="8"/>
  <c r="L109" i="8"/>
  <c r="C109" i="8"/>
  <c r="L108" i="8"/>
  <c r="C108" i="8"/>
  <c r="L107" i="8"/>
  <c r="C107" i="8"/>
  <c r="L106" i="8"/>
  <c r="C106" i="8"/>
  <c r="L105" i="8"/>
  <c r="C105" i="8"/>
  <c r="C104" i="8"/>
  <c r="L103" i="8"/>
  <c r="C103" i="8"/>
  <c r="L102" i="8"/>
  <c r="C102" i="8"/>
  <c r="L101" i="8"/>
  <c r="C101" i="8"/>
  <c r="L100" i="8"/>
  <c r="C100" i="8"/>
  <c r="L99" i="8"/>
  <c r="C99" i="8"/>
  <c r="L98" i="8"/>
  <c r="C98" i="8"/>
  <c r="L97" i="8"/>
  <c r="C97" i="8"/>
  <c r="L96" i="8"/>
  <c r="C96" i="8"/>
  <c r="L95" i="8"/>
  <c r="C95" i="8"/>
  <c r="L94" i="8"/>
  <c r="C94" i="8"/>
  <c r="L93" i="8"/>
  <c r="C93" i="8"/>
  <c r="L92" i="8"/>
  <c r="C92" i="8"/>
  <c r="L91" i="8"/>
  <c r="C91" i="8"/>
  <c r="L90" i="8"/>
  <c r="C90" i="8"/>
  <c r="L89" i="8"/>
  <c r="C89" i="8"/>
  <c r="L88" i="8"/>
  <c r="C88" i="8"/>
  <c r="L87" i="8"/>
  <c r="C87" i="8"/>
  <c r="L86" i="8"/>
  <c r="C86" i="8"/>
  <c r="L85" i="8"/>
  <c r="C85" i="8"/>
  <c r="L84" i="8"/>
  <c r="C84" i="8"/>
  <c r="L83" i="8"/>
  <c r="C83" i="8"/>
  <c r="L82" i="8"/>
  <c r="C82" i="8"/>
  <c r="L81" i="8"/>
  <c r="C81" i="8"/>
  <c r="L80" i="8"/>
  <c r="C80" i="8"/>
  <c r="L79" i="8"/>
  <c r="C79" i="8"/>
  <c r="C78" i="8"/>
  <c r="L77" i="8"/>
  <c r="C77" i="8"/>
  <c r="L76" i="8"/>
  <c r="C76" i="8"/>
  <c r="L75" i="8"/>
  <c r="C75" i="8"/>
  <c r="L74" i="8"/>
  <c r="C74" i="8"/>
  <c r="L73" i="8"/>
  <c r="C73" i="8"/>
  <c r="L72" i="8"/>
  <c r="C72" i="8"/>
  <c r="L71" i="8"/>
  <c r="C71" i="8"/>
  <c r="L70" i="8"/>
  <c r="C70" i="8"/>
  <c r="L69" i="8"/>
  <c r="C69" i="8"/>
  <c r="L68" i="8"/>
  <c r="C68" i="8"/>
  <c r="L67" i="8"/>
  <c r="C67" i="8"/>
  <c r="L66" i="8"/>
  <c r="C66" i="8"/>
  <c r="L65" i="8"/>
  <c r="C65" i="8"/>
  <c r="L64" i="8"/>
  <c r="C64" i="8"/>
  <c r="L63" i="8"/>
  <c r="C63" i="8"/>
  <c r="L62" i="8"/>
  <c r="C62" i="8"/>
  <c r="L61" i="8"/>
  <c r="C61" i="8"/>
  <c r="L60" i="8"/>
  <c r="C60" i="8"/>
  <c r="L59" i="8"/>
  <c r="C59" i="8"/>
  <c r="L58" i="8"/>
  <c r="C58" i="8"/>
  <c r="L57" i="8"/>
  <c r="C57" i="8"/>
  <c r="L56" i="8"/>
  <c r="C56" i="8"/>
  <c r="L55" i="8"/>
  <c r="C55" i="8"/>
  <c r="L54" i="8"/>
  <c r="C54" i="8"/>
  <c r="L53" i="8"/>
  <c r="C53" i="8"/>
  <c r="L52" i="8"/>
  <c r="C52" i="8"/>
  <c r="L51" i="8"/>
  <c r="C51" i="8"/>
  <c r="L50" i="8"/>
  <c r="C50" i="8"/>
  <c r="L49" i="8"/>
  <c r="C49" i="8"/>
  <c r="L48" i="8"/>
  <c r="C48" i="8"/>
  <c r="L47" i="8"/>
  <c r="C47" i="8"/>
  <c r="L46" i="8"/>
  <c r="C46" i="8"/>
  <c r="L45" i="8"/>
  <c r="C45" i="8"/>
  <c r="L44" i="8"/>
  <c r="C44" i="8"/>
  <c r="L43" i="8"/>
  <c r="C43" i="8"/>
  <c r="L42" i="8"/>
  <c r="C42" i="8"/>
  <c r="L41" i="8"/>
  <c r="C41" i="8"/>
  <c r="L40" i="8"/>
  <c r="C40" i="8"/>
  <c r="L39" i="8"/>
  <c r="C39" i="8"/>
  <c r="L38" i="8"/>
  <c r="C38" i="8"/>
  <c r="L37" i="8"/>
  <c r="C37" i="8"/>
  <c r="L36" i="8"/>
  <c r="C36" i="8"/>
  <c r="L35" i="8"/>
  <c r="C35" i="8"/>
  <c r="L34" i="8"/>
  <c r="C34" i="8"/>
  <c r="L33" i="8"/>
  <c r="C33" i="8"/>
  <c r="L32" i="8"/>
  <c r="C32" i="8"/>
  <c r="L31" i="8"/>
  <c r="C31" i="8"/>
  <c r="L30" i="8"/>
  <c r="C30" i="8"/>
  <c r="L29" i="8"/>
  <c r="C29" i="8"/>
  <c r="L28" i="8"/>
  <c r="C28" i="8"/>
  <c r="L27" i="8"/>
  <c r="C27" i="8"/>
  <c r="L26" i="8"/>
  <c r="C26" i="8"/>
  <c r="L25" i="8"/>
  <c r="C25" i="8"/>
  <c r="L24" i="8"/>
  <c r="C24" i="8"/>
  <c r="L23" i="8"/>
  <c r="C23" i="8"/>
  <c r="L22" i="8"/>
  <c r="C22" i="8"/>
  <c r="L21" i="8"/>
  <c r="C21" i="8"/>
  <c r="L20" i="8"/>
  <c r="C20" i="8"/>
  <c r="L19" i="8"/>
  <c r="C19" i="8"/>
  <c r="L18" i="8"/>
  <c r="C18" i="8"/>
  <c r="L17" i="8"/>
  <c r="C17" i="8"/>
  <c r="L16" i="8"/>
  <c r="C16" i="8"/>
  <c r="L15" i="8"/>
  <c r="C15" i="8"/>
  <c r="L14" i="8"/>
  <c r="C14" i="8"/>
  <c r="L13" i="8"/>
  <c r="C13" i="8"/>
  <c r="L12" i="8"/>
  <c r="C12" i="8"/>
  <c r="L11" i="8"/>
  <c r="C11" i="8"/>
  <c r="L10" i="8"/>
  <c r="C10" i="8"/>
  <c r="L9" i="8"/>
  <c r="C9" i="8"/>
  <c r="L8" i="8"/>
  <c r="C8" i="8"/>
  <c r="E21" i="4"/>
  <c r="E20" i="4"/>
  <c r="E15" i="4"/>
  <c r="E18" i="4" s="1"/>
  <c r="F75" i="5" s="1"/>
  <c r="E14" i="4"/>
  <c r="E12" i="4"/>
  <c r="K126" i="8" s="1"/>
  <c r="E9" i="4"/>
  <c r="J125" i="8" s="1"/>
  <c r="E8" i="4"/>
  <c r="K125" i="8" s="1"/>
  <c r="D21" i="3"/>
  <c r="D20" i="3"/>
  <c r="D18" i="3"/>
  <c r="G13" i="3"/>
  <c r="G12" i="3"/>
  <c r="G11" i="3"/>
  <c r="G10" i="3"/>
  <c r="G9" i="3"/>
  <c r="G8" i="3"/>
  <c r="H20" i="2"/>
  <c r="H19" i="2"/>
  <c r="H18" i="2"/>
  <c r="C13" i="2"/>
  <c r="C12" i="2"/>
  <c r="C10" i="2"/>
  <c r="C9" i="2"/>
  <c r="C8" i="2"/>
  <c r="G31" i="9"/>
  <c r="F31" i="9"/>
  <c r="G30" i="9"/>
  <c r="F30" i="9"/>
  <c r="G29" i="9"/>
  <c r="F29" i="9"/>
  <c r="G28" i="9"/>
  <c r="F28" i="9"/>
  <c r="G27" i="9"/>
  <c r="F27" i="9"/>
  <c r="G26" i="9"/>
  <c r="F26" i="9"/>
  <c r="G25" i="9"/>
  <c r="F25" i="9"/>
  <c r="G24" i="9"/>
  <c r="F24" i="9"/>
  <c r="G23" i="9"/>
  <c r="F23" i="9"/>
  <c r="G22" i="9"/>
  <c r="F22" i="9"/>
  <c r="G21" i="9"/>
  <c r="F21" i="9"/>
  <c r="G20" i="9"/>
  <c r="F20" i="9"/>
  <c r="C16" i="9"/>
  <c r="F87" i="1"/>
  <c r="F86" i="1"/>
  <c r="F79" i="1"/>
  <c r="F78" i="1"/>
  <c r="F77" i="1"/>
  <c r="F73" i="1"/>
  <c r="F74" i="1" s="1"/>
  <c r="F72" i="1"/>
  <c r="J237" i="8" s="1"/>
  <c r="N67" i="1"/>
  <c r="N66" i="1"/>
  <c r="N65" i="1"/>
  <c r="N58" i="1"/>
  <c r="N57" i="1"/>
  <c r="N56" i="1"/>
  <c r="N55" i="1"/>
  <c r="N54" i="1"/>
  <c r="N53" i="1"/>
  <c r="N51" i="1"/>
  <c r="N50" i="1"/>
  <c r="N49" i="1"/>
  <c r="N48" i="1"/>
  <c r="N47" i="1"/>
  <c r="N46" i="1"/>
  <c r="N44" i="1"/>
  <c r="N43" i="1"/>
  <c r="L181" i="8" l="1"/>
  <c r="N181" i="8"/>
  <c r="L190" i="8"/>
  <c r="N190" i="8"/>
  <c r="L206" i="8"/>
  <c r="N206" i="8"/>
  <c r="L159" i="8"/>
  <c r="N159" i="8"/>
  <c r="L175" i="8"/>
  <c r="N175" i="8"/>
  <c r="L197" i="8"/>
  <c r="N197" i="8"/>
  <c r="L219" i="8"/>
  <c r="N219" i="8"/>
  <c r="L170" i="8"/>
  <c r="N170" i="8"/>
  <c r="L192" i="8"/>
  <c r="N192" i="8"/>
  <c r="L208" i="8"/>
  <c r="N208" i="8"/>
  <c r="M214" i="8"/>
  <c r="N214" i="8"/>
  <c r="L198" i="8"/>
  <c r="N198" i="8"/>
  <c r="L215" i="8"/>
  <c r="N215" i="8"/>
  <c r="L166" i="8"/>
  <c r="N166" i="8"/>
  <c r="L182" i="8"/>
  <c r="N182" i="8"/>
  <c r="L188" i="8"/>
  <c r="N188" i="8"/>
  <c r="L204" i="8"/>
  <c r="N204" i="8"/>
  <c r="M210" i="8"/>
  <c r="N210" i="8"/>
  <c r="M226" i="8"/>
  <c r="N226" i="8"/>
  <c r="L231" i="8"/>
  <c r="N231" i="8"/>
  <c r="L165" i="8"/>
  <c r="N165" i="8"/>
  <c r="L225" i="8"/>
  <c r="N225" i="8"/>
  <c r="L171" i="8"/>
  <c r="N171" i="8"/>
  <c r="L193" i="8"/>
  <c r="N193" i="8"/>
  <c r="L187" i="8"/>
  <c r="N187" i="8"/>
  <c r="L161" i="8"/>
  <c r="N161" i="8"/>
  <c r="L177" i="8"/>
  <c r="N177" i="8"/>
  <c r="L172" i="8"/>
  <c r="N172" i="8"/>
  <c r="L194" i="8"/>
  <c r="N194" i="8"/>
  <c r="L216" i="8"/>
  <c r="N216" i="8"/>
  <c r="L226" i="8"/>
  <c r="L239" i="8"/>
  <c r="N239" i="8"/>
  <c r="L199" i="8"/>
  <c r="N199" i="8"/>
  <c r="L221" i="8"/>
  <c r="N221" i="8"/>
  <c r="L167" i="8"/>
  <c r="N167" i="8"/>
  <c r="L189" i="8"/>
  <c r="N189" i="8"/>
  <c r="L205" i="8"/>
  <c r="N205" i="8"/>
  <c r="L211" i="8"/>
  <c r="N211" i="8"/>
  <c r="L232" i="8"/>
  <c r="N232" i="8"/>
  <c r="L184" i="8"/>
  <c r="N184" i="8"/>
  <c r="M222" i="8"/>
  <c r="N222" i="8"/>
  <c r="L126" i="8"/>
  <c r="N126" i="8"/>
  <c r="L173" i="8"/>
  <c r="N173" i="8"/>
  <c r="L195" i="8"/>
  <c r="N195" i="8"/>
  <c r="L217" i="8"/>
  <c r="N217" i="8"/>
  <c r="L240" i="8"/>
  <c r="N240" i="8"/>
  <c r="L203" i="8"/>
  <c r="N203" i="8"/>
  <c r="L230" i="8"/>
  <c r="N230" i="8"/>
  <c r="L227" i="8"/>
  <c r="N227" i="8"/>
  <c r="L168" i="8"/>
  <c r="N168" i="8"/>
  <c r="L160" i="8"/>
  <c r="N160" i="8"/>
  <c r="L162" i="8"/>
  <c r="N162" i="8"/>
  <c r="L178" i="8"/>
  <c r="N178" i="8"/>
  <c r="L176" i="8"/>
  <c r="N176" i="8"/>
  <c r="L220" i="8"/>
  <c r="N220" i="8"/>
  <c r="L200" i="8"/>
  <c r="N200" i="8"/>
  <c r="L237" i="8"/>
  <c r="N237" i="8"/>
  <c r="L163" i="8"/>
  <c r="N163" i="8"/>
  <c r="L179" i="8"/>
  <c r="N179" i="8"/>
  <c r="L228" i="8"/>
  <c r="N228" i="8"/>
  <c r="L125" i="8"/>
  <c r="N125" i="8"/>
  <c r="L158" i="8"/>
  <c r="N158" i="8"/>
  <c r="L174" i="8"/>
  <c r="N174" i="8"/>
  <c r="L196" i="8"/>
  <c r="N196" i="8"/>
  <c r="L185" i="8"/>
  <c r="N185" i="8"/>
  <c r="L201" i="8"/>
  <c r="N201" i="8"/>
  <c r="L223" i="8"/>
  <c r="N223" i="8"/>
  <c r="L169" i="8"/>
  <c r="N169" i="8"/>
  <c r="L191" i="8"/>
  <c r="N191" i="8"/>
  <c r="L207" i="8"/>
  <c r="N207" i="8"/>
  <c r="L213" i="8"/>
  <c r="N213" i="8"/>
  <c r="L212" i="8"/>
  <c r="N212" i="8"/>
  <c r="L164" i="8"/>
  <c r="N164" i="8"/>
  <c r="L180" i="8"/>
  <c r="N180" i="8"/>
  <c r="L186" i="8"/>
  <c r="N186" i="8"/>
  <c r="L202" i="8"/>
  <c r="N202" i="8"/>
  <c r="L224" i="8"/>
  <c r="N224" i="8"/>
  <c r="L229" i="8"/>
  <c r="N229" i="8"/>
  <c r="L233" i="8"/>
  <c r="N233" i="8"/>
  <c r="L210" i="8"/>
  <c r="M203" i="8"/>
  <c r="E51" i="5"/>
  <c r="M125" i="8"/>
  <c r="Q39" i="1"/>
  <c r="E39" i="1" s="1"/>
  <c r="D76" i="5"/>
  <c r="E47" i="5"/>
  <c r="M237" i="8"/>
  <c r="M141" i="8"/>
  <c r="M201" i="8"/>
  <c r="M140" i="8"/>
  <c r="M200" i="8"/>
  <c r="M139" i="8"/>
  <c r="L222" i="8"/>
  <c r="M234" i="8"/>
  <c r="M199" i="8"/>
  <c r="M138" i="8"/>
  <c r="M361" i="8"/>
  <c r="M232" i="8"/>
  <c r="M196" i="8"/>
  <c r="M360" i="8"/>
  <c r="M231" i="8"/>
  <c r="M195" i="8"/>
  <c r="M136" i="8"/>
  <c r="M227" i="8"/>
  <c r="M188" i="8"/>
  <c r="M135" i="8"/>
  <c r="M220" i="8"/>
  <c r="M185" i="8"/>
  <c r="M134" i="8"/>
  <c r="M219" i="8"/>
  <c r="M184" i="8"/>
  <c r="M133" i="8"/>
  <c r="M217" i="8"/>
  <c r="M387" i="8"/>
  <c r="M216" i="8"/>
  <c r="M179" i="8"/>
  <c r="M131" i="8"/>
  <c r="M215" i="8"/>
  <c r="M172" i="8"/>
  <c r="M130" i="8"/>
  <c r="M212" i="8"/>
  <c r="M171" i="8"/>
  <c r="M129" i="8"/>
  <c r="M240" i="8"/>
  <c r="M211" i="8"/>
  <c r="M168" i="8"/>
  <c r="M128" i="8"/>
  <c r="M239" i="8"/>
  <c r="M167" i="8"/>
  <c r="M204" i="8"/>
  <c r="M163" i="8"/>
  <c r="M142" i="8"/>
  <c r="M126" i="8"/>
  <c r="M187" i="8"/>
  <c r="M218" i="8"/>
  <c r="M202" i="8"/>
  <c r="M186" i="8"/>
  <c r="M170" i="8"/>
  <c r="M233" i="8"/>
  <c r="M169" i="8"/>
  <c r="L214" i="8"/>
  <c r="M230" i="8"/>
  <c r="M198" i="8"/>
  <c r="M182" i="8"/>
  <c r="M166" i="8"/>
  <c r="L234" i="8"/>
  <c r="M229" i="8"/>
  <c r="M213" i="8"/>
  <c r="M197" i="8"/>
  <c r="M181" i="8"/>
  <c r="M165" i="8"/>
  <c r="M228" i="8"/>
  <c r="M180" i="8"/>
  <c r="M164" i="8"/>
  <c r="M194" i="8"/>
  <c r="M178" i="8"/>
  <c r="M162" i="8"/>
  <c r="M225" i="8"/>
  <c r="M193" i="8"/>
  <c r="M177" i="8"/>
  <c r="M161" i="8"/>
  <c r="M224" i="8"/>
  <c r="M208" i="8"/>
  <c r="M192" i="8"/>
  <c r="M176" i="8"/>
  <c r="M160" i="8"/>
  <c r="L218" i="8"/>
  <c r="M223" i="8"/>
  <c r="M207" i="8"/>
  <c r="M191" i="8"/>
  <c r="M175" i="8"/>
  <c r="M159" i="8"/>
  <c r="M206" i="8"/>
  <c r="M190" i="8"/>
  <c r="M174" i="8"/>
  <c r="M158" i="8"/>
  <c r="M221" i="8"/>
  <c r="M205" i="8"/>
  <c r="M189" i="8"/>
  <c r="M173" i="8"/>
  <c r="F80" i="1"/>
  <c r="E22" i="4"/>
  <c r="C11" i="2"/>
  <c r="E23" i="4"/>
  <c r="F81" i="1" s="1"/>
  <c r="J236" i="8"/>
  <c r="N236" i="8" s="1"/>
  <c r="H85" i="1" l="1"/>
  <c r="F66" i="5"/>
  <c r="F82" i="1"/>
  <c r="E50" i="5"/>
  <c r="F83" i="1" s="1"/>
  <c r="E49" i="5"/>
  <c r="L236" i="8"/>
  <c r="M236" i="8"/>
</calcChain>
</file>

<file path=xl/sharedStrings.xml><?xml version="1.0" encoding="utf-8"?>
<sst xmlns="http://schemas.openxmlformats.org/spreadsheetml/2006/main" count="1143" uniqueCount="643">
  <si>
    <t>Rechenübersicht Einspeicherung · Masterarbeit Sarah Maxara · TH Köln / Uniper Energy Storage</t>
  </si>
  <si>
    <t>Worum geht es?</t>
  </si>
  <si>
    <t>Farblegende der Zellen</t>
  </si>
  <si>
    <t>Annahme – darf geändert werden</t>
  </si>
  <si>
    <t>Stoffwert aus CoolProp – fest</t>
  </si>
  <si>
    <t>Excel-Formel – rechnet sofort mit</t>
  </si>
  <si>
    <t>wichtiges Ergebnis</t>
  </si>
  <si>
    <t>rot</t>
  </si>
  <si>
    <t>Stoffwert passt nicht mehr zu den Annahmen</t>
  </si>
  <si>
    <t>Inhalt</t>
  </si>
  <si>
    <t>→ Kaverne &amp; Gassäule</t>
  </si>
  <si>
    <t>→ Medienvergleich</t>
  </si>
  <si>
    <t>→ Einspeicherung S1</t>
  </si>
  <si>
    <t>→ Einspeicherung S2</t>
  </si>
  <si>
    <t>→ Phasendiagramm</t>
  </si>
  <si>
    <t>Diagramm 1: Prozesspfade bis zum Bohrlochkopf. Diagramm 2: Betriebsfenster von Bohrloch und Kaverne (nur Stillstand).</t>
  </si>
  <si>
    <t>→ Quellen</t>
  </si>
  <si>
    <t>Herkunft aller Annahmen und Stoffdaten.</t>
  </si>
  <si>
    <t>→ Diagrammdaten</t>
  </si>
  <si>
    <t>Hilfstabellen für die Diagramme (nicht ändern).</t>
  </si>
  <si>
    <t>Prozesskette Einspeicherung – Szenarien</t>
  </si>
  <si>
    <t>Szenarien &amp; Annahmen</t>
  </si>
  <si>
    <t>Blaue Werte dürfen geändert werden. Weiße Formelwerte rechnen sofort mit. Graue Stoffwerte (CoolProp) kann Excel nicht selbst berechnen – ändert sich eine Annahme, zeigt der Status, welche Werte neu berechnet werden müssen.</t>
  </si>
  <si>
    <t>Größe</t>
  </si>
  <si>
    <t>Symbol</t>
  </si>
  <si>
    <t>Wert</t>
  </si>
  <si>
    <t>Einheit</t>
  </si>
  <si>
    <t>Quelle / Begründung</t>
  </si>
  <si>
    <t>gerechnet mit</t>
  </si>
  <si>
    <t>Status</t>
  </si>
  <si>
    <t>Anlieferszenario S1 – dichte Phase (Pipeline OGE)</t>
  </si>
  <si>
    <t>Übergabedruck</t>
  </si>
  <si>
    <t>p_S1</t>
  </si>
  <si>
    <t>bar</t>
  </si>
  <si>
    <t>OGE-Notizen 16.09.2026, Pkt. 6: mind. 91 bar (vorher 85 bar), Worst Case mit Begleitstoffen</t>
  </si>
  <si>
    <t>Übergabetemperatur</t>
  </si>
  <si>
    <t>T_S1</t>
  </si>
  <si>
    <t>°C</t>
  </si>
  <si>
    <t>Annahme: Medientemperatur der Fernleitung (nicht Gebirgstemperatur)</t>
  </si>
  <si>
    <t>Anlieferszenario S2 – gasförmig</t>
  </si>
  <si>
    <t>p_S2</t>
  </si>
  <si>
    <t>Annahme aus Vorarbeit; alte Tabelle nennt Q-040 (ISO 27913) – dort noch nicht ausgewertet, zu prüfen</t>
  </si>
  <si>
    <t>T_S2</t>
  </si>
  <si>
    <t>Annahme: Medientemperatur</t>
  </si>
  <si>
    <t>T_K</t>
  </si>
  <si>
    <t>Max. Austrittstemperatur je Verdichterstufe</t>
  </si>
  <si>
    <t>T_max</t>
  </si>
  <si>
    <t>Q-016 (S. 4, Kap. 2.3): höchstens 95 °C nach jeder Stufe → legt die Zahl der Stufen fest</t>
  </si>
  <si>
    <t>p_zw</t>
  </si>
  <si>
    <t>Kaverne V1 – tief (Basisfall)</t>
  </si>
  <si>
    <t>Teufe (LCCS)</t>
  </si>
  <si>
    <t>z</t>
  </si>
  <si>
    <t>m</t>
  </si>
  <si>
    <t>Q-030 Option 2; abgestimmt mit Martina Wall (Uniper)</t>
  </si>
  <si>
    <t>Gebirgstemperatur an der Oberfläche</t>
  </si>
  <si>
    <t>T₀</t>
  </si>
  <si>
    <t>Q-028 (Buzogany &amp; Kruck 2022)</t>
  </si>
  <si>
    <t>Geothermischer Gradient</t>
  </si>
  <si>
    <t>grad T</t>
  </si>
  <si>
    <t>K/m</t>
  </si>
  <si>
    <t>Q-028</t>
  </si>
  <si>
    <t>Maximaldruck an der LCCS</t>
  </si>
  <si>
    <t>p_max</t>
  </si>
  <si>
    <t>Zwischenwert aus Q-028 (200 bar) und Q-030 Opt. 2 (240 bar)</t>
  </si>
  <si>
    <t>Minimaldruck an der LCCS</t>
  </si>
  <si>
    <t>p_min</t>
  </si>
  <si>
    <t>Q-028: geomechanisches Minimum</t>
  </si>
  <si>
    <t>Dichte Salzgestein</t>
  </si>
  <si>
    <t>ρ_Salz</t>
  </si>
  <si>
    <t>kg/m³</t>
  </si>
  <si>
    <t>Q-028; nur für den lithostatischen Druck (Formel unten)</t>
  </si>
  <si>
    <t>Kaverne V2 – flach (Platzhalter)</t>
  </si>
  <si>
    <t>noch festzulegen; Anhalt: Q-030 Option 3 (700 m), Teufenoptimierung (~800 m)</t>
  </si>
  <si>
    <t>–</t>
  </si>
  <si>
    <t>– noch offen</t>
  </si>
  <si>
    <t>Maximal-/Minimaldruck an der LCCS</t>
  </si>
  <si>
    <t>p_max / p_min</t>
  </si>
  <si>
    <t>noch festzulegen; Anhalt: Q-030 Option 3 (125 / 40–50 bar)</t>
  </si>
  <si>
    <t>Betrieb &amp; Maschinen</t>
  </si>
  <si>
    <t>Normvolumenstrom, unterer Fall</t>
  </si>
  <si>
    <t>V_n,min</t>
  </si>
  <si>
    <t>Nm³/h</t>
  </si>
  <si>
    <t>abgestimmt mit Martina Wall (Uniper)</t>
  </si>
  <si>
    <t>rechnet live mit</t>
  </si>
  <si>
    <t>Normvolumenstrom, oberer Fall</t>
  </si>
  <si>
    <t>V_n,max</t>
  </si>
  <si>
    <t>Isentroper Wirkungsgrad Verdichter 1. Stufe (S2)</t>
  </si>
  <si>
    <t>η_V1</t>
  </si>
  <si>
    <t>Q-016 (S. 4, Kap. 2.3): 84 % in der ersten Stufe</t>
  </si>
  <si>
    <t>η_V2</t>
  </si>
  <si>
    <t>Q-016 (S. 4, Kap. 2.3): je weitere Stufe 2 % weniger → 82 %</t>
  </si>
  <si>
    <t>Isentroper Wirkungsgrad Pumpe (S1 und S2)</t>
  </si>
  <si>
    <t>η_P</t>
  </si>
  <si>
    <t>eigene Annahme; Q-016 nennt nur eine Glykolpumpe (70 %) – für die CO₂-Pumpe herstellerseitig zu bestätigen</t>
  </si>
  <si>
    <t>Abgeleitete Größen Kaverne V1 (Excel-Formeln, rechnen mit)</t>
  </si>
  <si>
    <t>Kavernentemperatur (Gebirge, Stillstand)</t>
  </si>
  <si>
    <t>T_Kav</t>
  </si>
  <si>
    <t>T_Kav = T₀ + grad T · z</t>
  </si>
  <si>
    <t>Lithostatischer Gebirgsdruck</t>
  </si>
  <si>
    <t>p_lith</t>
  </si>
  <si>
    <t>p_lith = ρ_Salz · g · z</t>
  </si>
  <si>
    <t>p_max im Verhältnis zu p_lith</t>
  </si>
  <si>
    <t>p_max/p_lith</t>
  </si>
  <si>
    <t>eigene Auslegung ca. 80 % von p_lith (alte Annahmentabelle nennt Q-038 mit 85 % – dort nicht belegt, zu prüfen)</t>
  </si>
  <si>
    <t>Kernergebnisse auf einen Blick</t>
  </si>
  <si>
    <t>Nötiger Bohrlochkopfdruck (Kaverne V1 voll, 210 bar unten)</t>
  </si>
  <si>
    <t/>
  </si>
  <si>
    <t>Zieldruck für Pumpe bzw. Verdichter – Blatt „Kaverne &amp; Gassäule“</t>
  </si>
  <si>
    <t>Bohrlochkopfdruck bei leerer Kaverne (70 bar unten)</t>
  </si>
  <si>
    <t>Säulengewinn bei voller Kaverne</t>
  </si>
  <si>
    <t>diesen Druck liefert das Gewicht der CO₂-Säule „gratis“</t>
  </si>
  <si>
    <t>S1: spezifische Pumpenarbeit</t>
  </si>
  <si>
    <t>kJ/kg</t>
  </si>
  <si>
    <t>Blatt „Einspeicherung S1“</t>
  </si>
  <si>
    <t>S1: Pumpenleistung bei V_n,max</t>
  </si>
  <si>
    <t>kW</t>
  </si>
  <si>
    <t>bei 100.000 Nm³/h</t>
  </si>
  <si>
    <t>S2: Antriebsleistung bei V_n,max</t>
  </si>
  <si>
    <t>Kopfdruck Erdgas (CH₄) bei gleicher Kaverne</t>
  </si>
  <si>
    <t>Blatt „Medienvergleich“</t>
  </si>
  <si>
    <t>Kopfdruck Wasserstoff (H₂) bei gleicher Kaverne</t>
  </si>
  <si>
    <t>Kaverne &amp; Gassäule – welcher Druck muss am Bohrlochkopf anliegen?</t>
  </si>
  <si>
    <t>← zur Übersicht</t>
  </si>
  <si>
    <t>Kavernenparameter</t>
  </si>
  <si>
    <t>Kaverne V1 (tief)</t>
  </si>
  <si>
    <t>Kaverne V2 (flach)</t>
  </si>
  <si>
    <t>Gebirgstemperatur Oberfläche</t>
  </si>
  <si>
    <t>Kavernentemperatur</t>
  </si>
  <si>
    <t>Werte kommen von der Übersicht. Spalte V2 bleibt frei, bis die flache Kaverne festgelegt ist.</t>
  </si>
  <si>
    <t>Ergebnis: drei Füllstände der Kaverne</t>
  </si>
  <si>
    <t>Fall</t>
  </si>
  <si>
    <t>Druck unten (LCCS) [bar]</t>
  </si>
  <si>
    <t>Kopfdruck [bar]</t>
  </si>
  <si>
    <t>T am Kopf [°C]</t>
  </si>
  <si>
    <t>ρ Kopf [kg/m³]</t>
  </si>
  <si>
    <t>ρ unten [kg/m³]</t>
  </si>
  <si>
    <t>Säulengewinn [bar]</t>
  </si>
  <si>
    <t>Bedeutung</t>
  </si>
  <si>
    <t>voll (p_max)</t>
  </si>
  <si>
    <t>Zieldruck für die Einspeicherung</t>
  </si>
  <si>
    <t>Grenzfall</t>
  </si>
  <si>
    <t>leer (p_min)</t>
  </si>
  <si>
    <t>Diagramme – Darstellung nach Buzogany &amp; Kruck (2022), Fig. 3 (dort 1150 m Teufe, hier Kaverne V1 mit 1200 m)</t>
  </si>
  <si>
    <t>Tiefenprofile (gerechnet in 2-m-Schritten, dargestellt alle 50 m)</t>
  </si>
  <si>
    <t>Teufe z [m]</t>
  </si>
  <si>
    <t>T [°C]</t>
  </si>
  <si>
    <t>p voll [bar]</t>
  </si>
  <si>
    <t>ρ voll [kg/m³]</t>
  </si>
  <si>
    <t>p Grenzfall [bar]</t>
  </si>
  <si>
    <t>ρ Grenzfall [kg/m³]</t>
  </si>
  <si>
    <t>p leer [bar]</t>
  </si>
  <si>
    <t>ρ leer [kg/m³]</t>
  </si>
  <si>
    <t>Hinweis: Das Arbeitsgas (nutzbare CO₂-Menge zwischen voll und leer) wird bewusst erst später betrachtet.</t>
  </si>
  <si>
    <t>HIER ZUM STILLSTAND:  Die Gassäulen gelten für ruhendes CO₂ mit Gebirgstemperatur und für die drei Füllstände nach Q-028 (Buzogany &amp; Kruck 2022, Fig. 3: voll, Grenzfall, leer). Was Injektion und Ausspeicherung für das Fenster bedeuten (Reibungsdruckverlust im Strang, Wärmeaustausch mit dem Gebirge, Erwärmung bzw. Abkühlung in der Kaverne, Drosselung beim Ausspeichern), ist hier NICHT dargestellt.</t>
  </si>
  <si>
    <t>Medienvergleich – warum CO₂ oben weniger Druck braucht</t>
  </si>
  <si>
    <t>Gleiche Kaverne (Ziel 210 bar unten, Gebirge 10 °C + 0,03 K/m), gleiche Rechnung – nur das Medium ist anders</t>
  </si>
  <si>
    <t>1) Nötiger Kopfdruck über der Teufe (210 bar unten)</t>
  </si>
  <si>
    <t>Teufe [m]</t>
  </si>
  <si>
    <t>Erdgas CH₄ [bar]</t>
  </si>
  <si>
    <t>Wasserstoff H₂ [bar]</t>
  </si>
  <si>
    <t>Ziel unten [bar]</t>
  </si>
  <si>
    <t>2) Kennzahlen bei 1200 m Teufe</t>
  </si>
  <si>
    <t>Medium</t>
  </si>
  <si>
    <t>Übertagetechnik</t>
  </si>
  <si>
    <t>Erdgas (CH₄)</t>
  </si>
  <si>
    <t>Verdichter bis ~192 bar</t>
  </si>
  <si>
    <t>Wasserstoff (H₂)</t>
  </si>
  <si>
    <t>Verdichter bis ~208 bar</t>
  </si>
  <si>
    <t>Bei Erdgas und Wasserstoff ist die Dichte unten kleiner als oben: der Temperaturanstieg überwiegt den Druckanstieg.</t>
  </si>
  <si>
    <t>3) Druck- und Dichteprofile über die Teufe (Kaverne V1, 1200 m – gerechnet in 2-m-Schritten, dargestellt alle 50 m)</t>
  </si>
  <si>
    <t>p CH₄ [bar]</t>
  </si>
  <si>
    <t>ρ CH₄ [kg/m³]</t>
  </si>
  <si>
    <t>p H₂ [bar]</t>
  </si>
  <si>
    <t>ρ H₂ [kg/m³]</t>
  </si>
  <si>
    <t>Gleiche Rechnung wie auf Blatt „Kaverne &amp; Gassäule“ (Fall voll): von 210 bar unten nach oben integriert, Gebirge 10 °C + 0,03 K/m.</t>
  </si>
  <si>
    <t>Netzübergabe → Messtechnik/Filtration → Pumpe → Bohrlochkopf</t>
  </si>
  <si>
    <t>Rechenschritte</t>
  </si>
  <si>
    <t>Nr.</t>
  </si>
  <si>
    <t>Rechenschritt</t>
  </si>
  <si>
    <t>Formel / Funktion</t>
  </si>
  <si>
    <t>Art des Werts</t>
  </si>
  <si>
    <t>Eintrittsdruck</t>
  </si>
  <si>
    <t>= Übergabedruck S1</t>
  </si>
  <si>
    <t>aus anderem Blatt</t>
  </si>
  <si>
    <t>Eintrittstemperatur</t>
  </si>
  <si>
    <t>= Übergabetemperatur S1</t>
  </si>
  <si>
    <t>Enthalpie Eintritt h₁</t>
  </si>
  <si>
    <t>CoolProp: H(p₁, T₁)</t>
  </si>
  <si>
    <t>CoolProp (fest)</t>
  </si>
  <si>
    <t>Entropie Eintritt s₁</t>
  </si>
  <si>
    <t>CoolProp: S(p₁, T₁)</t>
  </si>
  <si>
    <t>kJ/(kg·K)</t>
  </si>
  <si>
    <t>Austrittsdruck p₂ (= Kopfdruck)</t>
  </si>
  <si>
    <t>aus Blatt „Kaverne &amp; Gassäule“</t>
  </si>
  <si>
    <t>Enthalpie isentrop h₂s</t>
  </si>
  <si>
    <t>CoolProp: H(p₂, s = s₁)</t>
  </si>
  <si>
    <t>Isentroper Wirkungsgrad η</t>
  </si>
  <si>
    <t>Annahme (Übersicht)</t>
  </si>
  <si>
    <t>Enthalpie real h₂</t>
  </si>
  <si>
    <t>h₂ = h₁ + (h₂s − h₁) / η</t>
  </si>
  <si>
    <t>Excel-Formel</t>
  </si>
  <si>
    <t>Austrittstemperatur T₂</t>
  </si>
  <si>
    <t>CoolProp: T(p₂, h₂)</t>
  </si>
  <si>
    <t>Phase am Austritt</t>
  </si>
  <si>
    <t>CoolProp: Phase(p₂, h₂)</t>
  </si>
  <si>
    <t>Spezifische Arbeit w</t>
  </si>
  <si>
    <t>w = h₂ − h₁</t>
  </si>
  <si>
    <t>Ergebnis (Formel)</t>
  </si>
  <si>
    <t>CoolProp: D(p_n, T_n), DIN 1343</t>
  </si>
  <si>
    <t>Massenstrom, unterer Fall</t>
  </si>
  <si>
    <t>ṁ = V_n,min · ρ_n / 3600</t>
  </si>
  <si>
    <t>kg/s</t>
  </si>
  <si>
    <t>Massenstrom, oberer Fall</t>
  </si>
  <si>
    <t>ṁ = V_n,max · ρ_n / 3600</t>
  </si>
  <si>
    <t>Pumpenleistung, unterer Fall</t>
  </si>
  <si>
    <t>P = ṁ · w</t>
  </si>
  <si>
    <t>Pumpenleistung, oberer Fall</t>
  </si>
  <si>
    <t>Wird η auf der Übersicht geändert, rechnen h₂, w und P sofort mit. T₂ kommt aus CoolProp und färbt sich dann rot (veraltet).</t>
  </si>
  <si>
    <t>Zustandspunkte</t>
  </si>
  <si>
    <t>Punkt</t>
  </si>
  <si>
    <t>p [bar]</t>
  </si>
  <si>
    <t>h [kJ/kg]</t>
  </si>
  <si>
    <t>Phase</t>
  </si>
  <si>
    <t>Netzübergabe / Pumpe ein</t>
  </si>
  <si>
    <t>Pumpe aus / Bohrlochkopf</t>
  </si>
  <si>
    <t>= Übergabe S2</t>
  </si>
  <si>
    <t>Enthalpie Eintritt</t>
  </si>
  <si>
    <t>Wirkungsgrad η_V1</t>
  </si>
  <si>
    <t>Annahme (Übersicht), Q-016</t>
  </si>
  <si>
    <t>Enthalpie real Austritt</t>
  </si>
  <si>
    <t>h = h_ein + (h_s − h_ein) / η_V1</t>
  </si>
  <si>
    <t>Austrittstemperatur</t>
  </si>
  <si>
    <t>Prüfung 95-°C-Grenze (Q-016)</t>
  </si>
  <si>
    <t>T_aus ≤ T_max ?</t>
  </si>
  <si>
    <t>Abgeführte Wärme</t>
  </si>
  <si>
    <t>q = h_vor − h_nach</t>
  </si>
  <si>
    <t>Pumpe</t>
  </si>
  <si>
    <t>Enthalpie isentrop bei Kopfdruck</t>
  </si>
  <si>
    <t>h = h_ein + (h_s − h_ein) / η_P</t>
  </si>
  <si>
    <t>CoolProp: T(p_Kopf, h)</t>
  </si>
  <si>
    <t>Spezifische Arbeit Pumpe</t>
  </si>
  <si>
    <t>w_P = h_aus − h_ein</t>
  </si>
  <si>
    <t>Spezifische Arbeit gesamt</t>
  </si>
  <si>
    <t>Antriebsleistung, unterer Fall</t>
  </si>
  <si>
    <t>P = ṁ_min · w</t>
  </si>
  <si>
    <t>Antriebsleistung, oberer Fall</t>
  </si>
  <si>
    <t>P = ṁ_max · w</t>
  </si>
  <si>
    <t>Verdichter 1. Stufe</t>
  </si>
  <si>
    <t>Zwischendruck</t>
  </si>
  <si>
    <t>Enthalpie isentrop</t>
  </si>
  <si>
    <t>CoolProp: H(p_zw, s_ein)</t>
  </si>
  <si>
    <t>CoolProp: T(p_zw, h)</t>
  </si>
  <si>
    <t>Spezifische Arbeit Stufe 1</t>
  </si>
  <si>
    <t>w₁ = h_aus − h_ein</t>
  </si>
  <si>
    <t>Zwischenkühler</t>
  </si>
  <si>
    <t>Enthalpie nach Kühler</t>
  </si>
  <si>
    <t>CoolProp: H(p_zw, T_K)</t>
  </si>
  <si>
    <t>Verdichter 2. Stufe</t>
  </si>
  <si>
    <t>Wirkungsgrad η_V2</t>
  </si>
  <si>
    <t>h = h_ein + (h_s − h_ein) / η_V2</t>
  </si>
  <si>
    <t>Spezifische Arbeit Stufe 2</t>
  </si>
  <si>
    <t>w₂ = h_aus − h_ein</t>
  </si>
  <si>
    <t>w = w₁ + w₂ + w_P</t>
  </si>
  <si>
    <t>Austrittsdruck (= Kopfdruck)</t>
  </si>
  <si>
    <t>Abgeführte Wärme gesamt</t>
  </si>
  <si>
    <t>Diagrammdaten – Hilfstabellen (nicht ändern)</t>
  </si>
  <si>
    <t>T_min [°C]</t>
  </si>
  <si>
    <t>Schritt [K]</t>
  </si>
  <si>
    <t>Position im Diagramm = (T − T_min) / Schritt + 1  (die Farbflächen haben eine Kategorie je 0,5 K)</t>
  </si>
  <si>
    <t>Achsenbeschriftung</t>
  </si>
  <si>
    <t>gasförmig [bar]</t>
  </si>
  <si>
    <t>flüssig [bar]</t>
  </si>
  <si>
    <t>überkritisch [bar]</t>
  </si>
  <si>
    <t>fest [bar]</t>
  </si>
  <si>
    <t>Linie / Punkt</t>
  </si>
  <si>
    <t>Position</t>
  </si>
  <si>
    <t>Sublimationslinie</t>
  </si>
  <si>
    <t>Schmelzlinie</t>
  </si>
  <si>
    <t>Tripelpunkt</t>
  </si>
  <si>
    <t>S1: Pumpe</t>
  </si>
  <si>
    <t>Beschriftung Phasengebiete E</t>
  </si>
  <si>
    <t>Beschriftung Punkte E</t>
  </si>
  <si>
    <t>Gassäule Kaverne voll (210 bar unten)</t>
  </si>
  <si>
    <t>Gassäule Kaverne leer (70 bar unten)</t>
  </si>
  <si>
    <t>Kaverne V1 (LCCS, 1200 m): 70–210 bar</t>
  </si>
  <si>
    <t>Beschriftung Phasengebiete K</t>
  </si>
  <si>
    <t>Beschriftung Punkte K</t>
  </si>
  <si>
    <t>Diagramm 1 – Einspeicherung: von der Netzübergabe bis zum Bohrlochkopf</t>
  </si>
  <si>
    <t>Diagramm 2 – Bohrloch und Kaverne im Stillstand: Betriebsfenster (nur Stillstand, 3 Füllstände nach Q-028)</t>
  </si>
  <si>
    <t>NUR STILLSTAND:  Die Gassäulen gelten für ruhendes CO₂ mit Gebirgstemperatur und für die drei Füllstände nach Q-028 (Buzogany &amp; Kruck 2022, Fig. 3: voll, Grenzfall, leer). Was Injektion und Ausspeicherung für das Fenster bedeuten (Reibungsdruckverlust im Strang, Wärmeaustausch mit dem Gebirge, Erwärmung bzw. Abkühlung in der Kaverne, Drosselung beim Ausspeichern), ist hier NICHT dargestellt.</t>
  </si>
  <si>
    <t>Quellen</t>
  </si>
  <si>
    <t>Herkunft der Annahmen und Stoffdaten dieser Mappe (IDs wie in der Quellen- und Wissensmatrix)</t>
  </si>
  <si>
    <t>ID</t>
  </si>
  <si>
    <t>Quelle</t>
  </si>
  <si>
    <t>Verwendet für</t>
  </si>
  <si>
    <t>Q-001</t>
  </si>
  <si>
    <t>DVGW (2024): C 260 (A) – Properties of Carbon Dioxide and Carbon Dioxide Streams. Entwurf.</t>
  </si>
  <si>
    <t>Kritischer Punkt, Stoffeigenschaften CO₂</t>
  </si>
  <si>
    <t>Q-016</t>
  </si>
  <si>
    <t>Bielka, P.; Kuczyński, S.; Nagy, S.: CO₂ Compression and Dehydration for Transport and Geological Storage.</t>
  </si>
  <si>
    <t>Buzogany, R.; Kruck, O. (2022): CO₂ – Storage in Salt Caverns: Thermodynamic Analysis and Challenges. SMRI Fall 2022.</t>
  </si>
  <si>
    <t>Oberflächentemperatur 10 °C, Gradient 0,03 K/m, Minimaldruck 70 bar, Darstellung Gassäule (Fig. 3), Begriff „multiphase region“</t>
  </si>
  <si>
    <t>Q-029</t>
  </si>
  <si>
    <t>DBI für Uniper: CCUS-P2 – CO₂-Storage for CCU/S, Phase 2 – Detailing Study, Final Report V08.</t>
  </si>
  <si>
    <t>Offener Punkt: gewählte Option 1 ist die tiefe Kaverne (1400 m, 260 bar)</t>
  </si>
  <si>
    <t>Q-030</t>
  </si>
  <si>
    <t>DBI für Uniper: CCUS-P1 – CO₂-Storage for CCU/S, Phase 1 – Initial Concept Study, Final Report.</t>
  </si>
  <si>
    <t>Teufe 1200 m (Option 2), Anhalt für p_max; Option 3 (700 m) als Anhalt für Kaverne V2</t>
  </si>
  <si>
    <t>Q-038</t>
  </si>
  <si>
    <t>Baumgärtel, L.; Körner, F.; Leuger, B.; Zapf, D. (2023): Energiespeicherung in Salzkavernen. Poster, Tag der Energieforschung, LU Hannover.</t>
  </si>
  <si>
    <t>Zu prüfen: alte Annahmentabelle leitet daraus p_max ≈ 85 % des lithostatischen Drucks ab – in der Matrix nur Geometriedaten erfasst</t>
  </si>
  <si>
    <t>Q-040</t>
  </si>
  <si>
    <t>DIN EN ISO 27913: Abscheidung, Transport und geologische Speicherung von CO₂ – Rohrleitungstransportsysteme (dt. Fassung 2025).</t>
  </si>
  <si>
    <t>OGE</t>
  </si>
  <si>
    <t>Gesprächsnotiz Austausch OGE / Uniper, 16.09.2026 (Notizen S. Maxara).</t>
  </si>
  <si>
    <t>Übergabedruck S1 mind. 91 bar; Durchsatz-Bandbreite (mit M. Wall)</t>
  </si>
  <si>
    <t>—</t>
  </si>
  <si>
    <t>Span, R.; Wagner, W. (1996): A New Equation of State for Carbon Dioxide Covering the Fluid Region from the Triple-Point Temperature to 1100 K at Pressures up to 800 MPa. J. Phys. Chem. Ref. Data 25(6), 1509–1596.</t>
  </si>
  <si>
    <t>Zustandsgleichung CO₂ (über CoolProp); Sublimations- und Schmelzdruck</t>
  </si>
  <si>
    <t>Bell, I. H.; Wronski, J.; Quoilin, S.; Lemort, V. (2014): Pure and Pseudo-pure Fluid Thermophysical Property Evaluation and the Open-Source Thermophysical Property Library CoolProp. Ind. Eng. Chem. Res. 53(6), 2498–2508.</t>
  </si>
  <si>
    <t>Stoffdatenbibliothek CoolProp, Version 8.0.0</t>
  </si>
  <si>
    <t>Vorarbeit</t>
  </si>
  <si>
    <t>Python-Skripte der eigenen Vorarbeit (ObertageAnlageRechner: gaspfad_vergleich.py, pfadentscheidung.py).</t>
  </si>
  <si>
    <t>CO₂-Zwischenspeicherung in Salzkavernen – Obertageanlage · Worst-Case-Gemisch</t>
  </si>
  <si>
    <t>→ Gemisch &amp; Grenzen</t>
  </si>
  <si>
    <t>Gemisch: oberes Bohrloch 0–82 m zweiphasig (rein: 45,0 bar, 0–236 m)</t>
  </si>
  <si>
    <t>Einspeicherung, Kaverne V1 (tief) · Stillstand: Temperatur = Gebirgstemperatur · Worst-Case-Gemisch</t>
  </si>
  <si>
    <t>Kopfdruck = Cricondenbar (82,2 bar): ab hier ist das Bohrloch ganz einphasig</t>
  </si>
  <si>
    <t>Kopf 50,7 bar → zweiphasig 0–82 m (reines CO₂: 45,0 bar, 0–236 m)</t>
  </si>
  <si>
    <t>Schraffierte Felder: Zweiphasengebiet des Gemischs (Q-028: „multiphase region“). Beim leeren Fall liegt das Bohrloch von 0 bis ca. 82 m zwischen Tau- und Blasenlinie. Anders als bei reinem CO₂ ist der Druck dort nicht auf eine Linie festgelegt – ein Gemisch verdampft über ein Druckband. Die Dichte ist die Gleichgewichtsdichte bei homogen verteilten Phasen; im Stillstand würden sich Gas und Flüssigkeit trennen, die Werte sind dort Richtwerte.</t>
  </si>
  <si>
    <t>CO₂-Gemisch [bar]</t>
  </si>
  <si>
    <t>CO₂-Gemisch: 67 bar weniger Kopfdruck zwischen 600 und 1600 m (reines CO₂: 74 bar) – Erdgas und Wasserstoff profitieren kaum von der Teufe.</t>
  </si>
  <si>
    <t>CO₂-Gemisch</t>
  </si>
  <si>
    <t>Pumpe (91 → 115 bar)</t>
  </si>
  <si>
    <t>p CO₂-Gemisch [bar]</t>
  </si>
  <si>
    <t>ρ CO₂-Gemisch [kg/m³]</t>
  </si>
  <si>
    <t>Einspeicherung S1 – Anlieferung in dichter Phase: Pumpe (Worst-Case-Gemisch)</t>
  </si>
  <si>
    <t>AUSGANGSLAGE:  Das CO₂-Gemisch kommt dicht (flüssigkeitsähnlich) aus der Fernleitung: 91 bar, 15 °C. Es liegt 19 bar über der Blasenlinie und 8,8 bar über der Cricondenbar – sicher außerhalb der Unsicherheit der Phasengrenze (±3 bar).
ZIEL:  114,9 bar am Bohrlochkopf – vorgegeben durch die Kaverne (Blatt „Kaverne &amp; Gassäule“).
WARUM EINE PUMPE?  Das Gemisch ist bereits dicht und kaum kompressibel. Eine Pumpe genügt, ein Verdichter wäre nur für Gas nötig.
RECHENWEG:  (1) Zustand am Eintritt → Enthalpie h₁, Entropie s₁.  (2) Idealfall: isentrope Druckerhöhung (Entropie bleibt gleich) → h₂s.  (3) Realfall mit Verlusten über den isentropen Wirkungsgrad: h₂ = h₁ + (h₂s − h₁) / η.  (4) Aus p₂ und h₂ → Austrittstemperatur T₂.  (5) Spezifische Arbeit w = h₂ − h₁, Leistung P = ṁ · w.
BEGRIFF:  isentrop = Entropie konstant (Pumpe, Verdichter). Nicht verwechseln mit isenthalp = Enthalpie konstant (Drossel bei der Ausspeicherung).
ANNAHMEN:  η = 0,80 (eigene Annahme, vgl. Q-016: Verdichter 84–76 %, Glykolpumpe 70 %); kein Druckverlust in Messtechnik und Filtration; Worst-Case-Gemisch (Enthalpien haben einen anderen Nullpunkt als bei reinem CO₂ – vergleichbar sind nur Differenzen).</t>
  </si>
  <si>
    <t>dicht (flüssig)</t>
  </si>
  <si>
    <t>Normdichte Gemisch (0 °C; 1,01325 bar)</t>
  </si>
  <si>
    <t>dicht (flüssig)</t>
  </si>
  <si>
    <t>dicht (flüssig)</t>
  </si>
  <si>
    <t>Phasendiagramm – Prozesspfade der Einspeicherung und Betriebsfenster von Bohrloch und Kaverne (Worst-Case-Gemisch)</t>
  </si>
  <si>
    <t>Worst-Case-Gemisch (95 % CO₂ + 5 % Begleitstoffe) · Stoffdaten CoolProp (GERG-2008-Mischungsregel) · Fest-Gebiet, Sublimations- und Schmelzlinie: Näherung reines CO₂ (Span &amp; Wagner 1996)</t>
  </si>
  <si>
    <t>DIAGRAMM 2:  Jede gestrichelte Linie ist eine Gassäule – ein Füllstand der Kaverne im Stillstand. Sie läuft vom Bohrlochkopf (grauer Balken, 0 m, 10 °C) bis zur Kaverne (dunkelblauer Balken, 1200 m, 46 °C). Jeder Punkt auf der Linie ist eine Teufe: oben kalt und niedriger Druck, unten warm und hoher Druck.
BETRIEBSFENSTER IM STILLSTAND:  Der Bereich zwischen der Linie „voll“ (oben) und der Linie „leer“ (unten), links begrenzt durch den Kopf-Balken und rechts durch den Kavernen-Balken.
WICHTIG BEI LEERER KAVERNE:  70 bar unten ergeben oben 50,7 bar (reines CO₂: 45,0 bar). Das obere Bohrloch (0–82 m) liegt dann im Zweiphasengebiet des Gemischs. Erst ab ca. 171,2 bar Kavernendruck (Grenzfall: Kopf = Cricondenbar 82,2 bar) bleibt das ganze Bohrloch einphasig.
KAVERNE SELBST:  Bei 46 °C liegt sie immer über der Cricondentherm des Gemischs (28,1 °C) – dort gibt es keine Flüssigphase. Über 81,5 bar ist das Gemisch überkritisch, bei 70 bar gasförmig.
STILLSTAND VS. BETRIEB:  Die Gassäulen sind mit Gebirgstemperatur gerechnet (Kopf 10 °C) und gelten nur, solange nichts fließt. Beim Einspeichern kommt das Gemisch wärmer aus der Pumpe (S1 18,4 °C, S2 27,0 °C).</t>
  </si>
  <si>
    <t>—</t>
  </si>
  <si>
    <t>Kunz, O.; Wagner, W. (2012): The GERG-2008 Wide-Range Equation of State for Natural Gases and Other Mixtures: An Expansion of GERG-2004. J. Chem. Eng. Data 57, 3032–3091.</t>
  </si>
  <si>
    <t>Mischungsregel (Mehrfluid-Helmholtz-Modell) für das Worst-Case-Gemisch; Paarparameter CO₂–CH₄, CO₂–H₂</t>
  </si>
  <si>
    <t>—</t>
  </si>
  <si>
    <t>Gernert, J.; Span, R. (2016): EOS–CG: A Helmholtz energy mixture model for humid gases and CCS mixtures. J. Chem. Thermodyn. 93, 274–293 (Parameter aus Gernert 2013, Diss. RUB).</t>
  </si>
  <si>
    <t>Paarparameter CO₂–N₂, CO₂–Ar, CO₂–CO in CoolProp</t>
  </si>
  <si>
    <t>Gemisch</t>
  </si>
  <si>
    <t>Vorschlag Worst-Case-Gemisch Anlieferung: 95 % CO₂, 2,4 % N₂, 1 % Ar, 1 % CH₄, 0,5 % H₂, 0,1 % CO (mol-%); Belege DIN EN 18397, ISO 27913, Porthos-Grenzwerte, DVGW C 260.</t>
  </si>
  <si>
    <t>Zusammensetzung des Gemischs (Blatt „Gemisch &amp; Grenzen“)</t>
  </si>
  <si>
    <t>Doku</t>
  </si>
  <si>
    <t>Dokumentation_Stoffmodelle_Validierung.docx (eigene Arbeit): Gleichungen, Modellvergleich mit thermopack (GERG-2008, Peng-Robinson, SRK), Unsicherheit der Phasengrenze.</t>
  </si>
  <si>
    <t>Unsicherheit der Phasengrenze ±3 bar; Validierung der Stoffwerte</t>
  </si>
  <si>
    <t>Grundlage für das Phasendiagramm. Farbflächen: gestapelte Druckbereiche je Temperatur (Gemisch: gasförmig bis Taulinie, zweiphasig bis Blasenlinie, darüber flüssig; oberhalb des kritischen Punkts des Gemischs überkritisch; fest als Näherung reines CO₂). Linien: Punkte mit T, p und Position im Diagramm.</t>
  </si>
  <si>
    <t>zweiphasig [bar]</t>
  </si>
  <si>
    <t>Phasengrenze Gemisch (Tau-/Blasenlinie)</t>
  </si>
  <si>
    <t>Kritischer Punkt Gemisch</t>
  </si>
  <si>
    <t>Gassäule Grenzfall (Kopf = Cricondenbar)</t>
  </si>
  <si>
    <t>Bohrlochkopf (0 m): 50,7–114,9 bar</t>
  </si>
  <si>
    <t>Sättigungslinie reines CO₂ (Vergleich)</t>
  </si>
  <si>
    <t>Blasenlinie + 3 bar (sicher flüssig)</t>
  </si>
  <si>
    <t>Taulinie − 3 bar (sicher gasförmig)</t>
  </si>
  <si>
    <t>Gemisch &amp; Grenzen – was die Begleitstoffe am Phasendiagramm ändern</t>
  </si>
  <si>
    <t>← zur Übersicht</t>
  </si>
  <si>
    <t>Kurz gesagt</t>
  </si>
  <si>
    <t>Reines CO₂ hat eine Dampfdrucklinie: bei jeder Temperatur genau ein Druck, bei dem es siedet. Das Gemisch hat stattdessen ein Zweiphasengebiet zwischen Taulinie (erster Tropfen) und Blasenlinie (letzte Blase). Die leichtflüchtigen Begleitstoffe (vor allem H₂ und N₂) schieben die Blasenlinie nach oben – für „sicher flüssig“ braucht man mehr Druck. Weil die Phasengrenze eines Gemischs unsicherer ist als die von reinem CO₂, gilt ein Sicherheitsabstand von ±3 bar (Modellvergleich, Dokumentation Kap. 9).</t>
  </si>
  <si>
    <t>Zusammensetzung (mol-%)</t>
  </si>
  <si>
    <t>Komponente</t>
  </si>
  <si>
    <t>mol-%</t>
  </si>
  <si>
    <t>Beleg</t>
  </si>
  <si>
    <t>CO₂</t>
  </si>
  <si>
    <t>DIN EN 18397 / ISO 27913</t>
  </si>
  <si>
    <t>N₂</t>
  </si>
  <si>
    <t>Porthos-Grenzwert</t>
  </si>
  <si>
    <t>Ar</t>
  </si>
  <si>
    <t>ca. Oxyfuel-Zusammensetzung</t>
  </si>
  <si>
    <t>CH₄</t>
  </si>
  <si>
    <t>Porthos-Grenzwert</t>
  </si>
  <si>
    <t>H₂</t>
  </si>
  <si>
    <t>DIN EN 18397 / DVGW C 260</t>
  </si>
  <si>
    <t>CO</t>
  </si>
  <si>
    <t>DIN EN 18397 (1000 ppm)</t>
  </si>
  <si>
    <t>Σ Begleitstoffe</t>
  </si>
  <si>
    <t>= Grenze DIN EN 18397</t>
  </si>
  <si>
    <t>Kennpunkte der Phasengrenze</t>
  </si>
  <si>
    <t>Kennpunkt</t>
  </si>
  <si>
    <t>T [°C]</t>
  </si>
  <si>
    <t>p [bar]</t>
  </si>
  <si>
    <t>reines CO₂</t>
  </si>
  <si>
    <t>Bedeutung</t>
  </si>
  <si>
    <t>Kritischer Punkt</t>
  </si>
  <si>
    <t>31,0 °C / 73,8 bar</t>
  </si>
  <si>
    <t>Tau- und Blasenlinie treffen sich</t>
  </si>
  <si>
    <t>Cricondenbar</t>
  </si>
  <si>
    <t>= krit. Punkt</t>
  </si>
  <si>
    <t>darüber bei jeder Temperatur einphasig</t>
  </si>
  <si>
    <t>Cricondentherm</t>
  </si>
  <si>
    <t>= krit. Punkt</t>
  </si>
  <si>
    <t>darüber bei jedem Druck einphasig</t>
  </si>
  <si>
    <t>Unsicherheit der Phasengrenze</t>
  </si>
  <si>
    <t>bar</t>
  </si>
  <si>
    <t>Dokumentation Kap. 9: Modellstreuung 1 bar + Modellfehler 1–3 %</t>
  </si>
  <si>
    <t>Blasendruck bei T_K</t>
  </si>
  <si>
    <t>darüber vollständig flüssig</t>
  </si>
  <si>
    <t>Taudruck bei T_K</t>
  </si>
  <si>
    <t>darunter vollständig gasförmig</t>
  </si>
  <si>
    <t>Tau- und Blasendruck über der Temperatur</t>
  </si>
  <si>
    <t>T [°C]</t>
  </si>
  <si>
    <t>p_sat reines CO₂ [bar]</t>
  </si>
  <si>
    <t>Taudruck Gemisch [bar]</t>
  </si>
  <si>
    <t>Blasendruck Gemisch [bar]</t>
  </si>
  <si>
    <t>sicher gasförmig unter [bar]</t>
  </si>
  <si>
    <t>sicher flüssig über [bar]</t>
  </si>
  <si>
    <t>Unter −56,6 °C bildet sich Trockeneis (nicht im Modell). Oberhalb von 28,1 °C gibt es beim Gemisch kein Zweiphasengebiet mehr.</t>
  </si>
  <si>
    <t>Neue Grenzen der Einspeicherung – wo sie sich ergeben</t>
  </si>
  <si>
    <t>Grenze</t>
  </si>
  <si>
    <t>reines CO₂</t>
  </si>
  <si>
    <t>Gemisch</t>
  </si>
  <si>
    <t>Folge für die Anlage</t>
  </si>
  <si>
    <t>Blatt</t>
  </si>
  <si>
    <t>Mindestdruck dichte Anlieferung bei 15 °C</t>
  </si>
  <si>
    <t>50,9 bar</t>
  </si>
  <si>
    <t>71,9 + 3 bar</t>
  </si>
  <si>
    <t>S1 mit 91 bar sicher dicht (8,8 bar über der Cricondenbar)</t>
  </si>
  <si>
    <t>Einspeicherung S1</t>
  </si>
  <si>
    <t>Einspeicherung S2</t>
  </si>
  <si>
    <t>Kopfdruck bei voller Kaverne</t>
  </si>
  <si>
    <t>107,6 bar</t>
  </si>
  <si>
    <t>114,9 bar</t>
  </si>
  <si>
    <t>Pumpe muss 7,3 bar mehr liefern; Gemisch ist leichter</t>
  </si>
  <si>
    <t>Kaverne &amp; Gassäule</t>
  </si>
  <si>
    <t>Bohrloch ganz einphasig (Grenzfall)</t>
  </si>
  <si>
    <t>Kopf ≥ 73,8 bar (p_krit)</t>
  </si>
  <si>
    <t>Kopf ≥ 82,2 bar (Cricondenbar)</t>
  </si>
  <si>
    <t>Kavernendruck ab 171,2 bar (rein: 171,7 bar)</t>
  </si>
  <si>
    <t>Kaverne &amp; Gassäule</t>
  </si>
  <si>
    <t>Leere Kaverne (70 bar unten)</t>
  </si>
  <si>
    <t>Kopf 45,0 bar, 0–236 m zweiphasig</t>
  </si>
  <si>
    <t>Kopf 50,7 bar, 0–82 m zweiphasig</t>
  </si>
  <si>
    <t>Zweiphasengebiet im oberen Bohrloch kleiner, aber vorhanden</t>
  </si>
  <si>
    <t>Kaverne &amp; Gassäule</t>
  </si>
  <si>
    <t>Kritische Temperatur</t>
  </si>
  <si>
    <t>31,0 °C</t>
  </si>
  <si>
    <t>28,0 °C</t>
  </si>
  <si>
    <t>Einspeicherung S2</t>
  </si>
  <si>
    <t>Dichte am Kavernenboden (210 bar, 46 °C)</t>
  </si>
  <si>
    <t>817,6 kg/m³</t>
  </si>
  <si>
    <t>756,0 kg/m³</t>
  </si>
  <si>
    <t>-7.5 % Masse je m³ Kavernenvolumen</t>
  </si>
  <si>
    <t>Kaverne &amp; Gassäule</t>
  </si>
  <si>
    <t>Pfad</t>
  </si>
  <si>
    <t>Weg</t>
  </si>
  <si>
    <t>A</t>
  </si>
  <si>
    <t>B</t>
  </si>
  <si>
    <t>C</t>
  </si>
  <si>
    <t>D</t>
  </si>
  <si>
    <t>E</t>
  </si>
  <si>
    <t>p_ük</t>
  </si>
  <si>
    <t>ρ_min</t>
  </si>
  <si>
    <t>Realgasfaktor am Verdichtereintritt mindestens</t>
  </si>
  <si>
    <t>Z_min</t>
  </si>
  <si>
    <t>Realgasfaktor Eintritt Stufe 2</t>
  </si>
  <si>
    <t>CoolProp: Z(p_zw, T_K)</t>
  </si>
  <si>
    <t>Prüfung Realgasfaktor (Q-017)</t>
  </si>
  <si>
    <t>Z ≥ Z_min ?</t>
  </si>
  <si>
    <t>CoolProp: H(p_ük, s(p_zw, T_K))</t>
  </si>
  <si>
    <t>CoolProp: T(p_ük, h)</t>
  </si>
  <si>
    <t>Prüfung: über der Cricondenbar?</t>
  </si>
  <si>
    <t>p_ük ≥ Cricondenbar + 3 bar ?</t>
  </si>
  <si>
    <t>CoolProp: H(p_ük, T_K)</t>
  </si>
  <si>
    <t>Dichte nach Kühler = Pumpeneintritt</t>
  </si>
  <si>
    <t>CoolProp: D(p_ük, T_K)</t>
  </si>
  <si>
    <t>ρ ≥ ρ_min ?</t>
  </si>
  <si>
    <t>CoolProp: H(p_Kopf, s(p_ük, T_K))</t>
  </si>
  <si>
    <t>q = q_ZK + q_K</t>
  </si>
  <si>
    <t>Q = ṁ_max · q</t>
  </si>
  <si>
    <t>gasförmig</t>
  </si>
  <si>
    <t>Bewertung</t>
  </si>
  <si>
    <t>Kühlmittel für Verflüssigung (Pfad A)</t>
  </si>
  <si>
    <t>≤ 13,8 °C (60 bar)</t>
  </si>
  <si>
    <t>≤ 14,4 °C (80 bar)</t>
  </si>
  <si>
    <t>nur mit kaltem Kühlwasser oder Kältemaschine; Pfad B bis ca. 26 °C</t>
  </si>
  <si>
    <t>Verflüssigen bei 30 bar (tiefkalt)</t>
  </si>
  <si>
    <t>ab -5,6 °C flüssig</t>
  </si>
  <si>
    <t>nie vollständig (Blasendruck ≥ 45,9 bar)</t>
  </si>
  <si>
    <t>Niederdruck-Verflüssigung wie beim Schiffstransport scheidet aus</t>
  </si>
  <si>
    <t>Pumpeneintritt ohne Blasengefahr</t>
  </si>
  <si>
    <t>≥ 73,8 bar (p_krit)</t>
  </si>
  <si>
    <t>≥ 82,2 + 3 = 85,2 bar</t>
  </si>
  <si>
    <t>Q-017</t>
  </si>
  <si>
    <t>Wloka, M. (2010): Untersuchung der notwendigen Anlagentechnik zur Verdichtung und Einspeicherung von CO₂ (Diplomarbeit, Beispiel Kingsnorth).</t>
  </si>
  <si>
    <t>Q-120</t>
  </si>
  <si>
    <t>Adams, R. (Sulzer Pumps); Miller, H. (Dresser-Rand) (2011): Pumping &amp; Compression of CO₂ – A Tutorial. Turbomachinery &amp; Pump Symposia, Texas A&amp;M University (OAKTrust). Jahr prüfen.</t>
  </si>
  <si>
    <t>Q-121</t>
  </si>
  <si>
    <t>Bergamini, L.; del Vescovo, C.; Milone, F. (GE Oil &amp; Gas) (2011): Centrifugal Pumps for CO₂ Applications. Proc. 27th International Pump Users Symposium, Houston, 12.–15.09.2011, S. 1–5.</t>
  </si>
  <si>
    <t>ρ = 500 kg/m³ (Gemisch): rechts davon zu dünn für eine Pumpe</t>
  </si>
  <si>
    <t>T_min Zoom S1/S2 [°C]</t>
  </si>
  <si>
    <t>Position Zoom S1/S2</t>
  </si>
  <si>
    <t>reines CO₂ (Blatt „Gemisch &amp; Grenzen“):</t>
  </si>
  <si>
    <t>Kritischer Punkt reines CO₂</t>
  </si>
  <si>
    <t>Beschriftung Zoom S1</t>
  </si>
  <si>
    <t>Beschriftung Zoom S2</t>
  </si>
  <si>
    <t>Worst-Case-Gemisch Anlieferung · Stoffdaten CoolProp 8.0.0 (GERG-2008-Mischungsregel) · Vergleich mit der Mappe für reines CO₂ · rechts: Phasendiagramme reines CO₂ und Gemisch nebeneinander, darunter die Erklärung</t>
  </si>
  <si>
    <t>Die Pumpe hebt den Druck von 91 auf 114,9 bar; die Temperatur steigt nur um 3,4 K. Der ganze Weg liegt über der Cricondenbar (82,2 bar) – das Gemisch bleibt einphasig dicht, die Pumpe sieht nie das Zweiphasengebiet. Gesamtbild: Blatt „Phasendiagramm“.</t>
  </si>
  <si>
    <t>Zum Vergleich: reines CO₂ (gleiche Kaverne, Werte aus der Mappe für reines CO₂)</t>
  </si>
  <si>
    <t>Gemisch − rein: Kopfdruck [bar]</t>
  </si>
  <si>
    <t>Grenzfall (Kopf = p_krit 73,8 bar)</t>
  </si>
  <si>
    <t>p voll rein [bar]</t>
  </si>
  <si>
    <t>ρ voll rein [kg/m³]</t>
  </si>
  <si>
    <t>p Grenzfall rein [bar]</t>
  </si>
  <si>
    <t>ρ Grenzfall rein [kg/m³]</t>
  </si>
  <si>
    <t>p leer rein [bar]</t>
  </si>
  <si>
    <t>ρ leer rein [kg/m³]</t>
  </si>
  <si>
    <t>WAS WIRD BERECHNET?  Die Kaverne legt fest, welcher Druck unten an der LCCS (letzte zementierte Rohrtour) höchstens anliegen darf: 210 bar. Gesucht ist der Druck, den die Anlage dafür oben am Bohrlochkopf liefern muss.
WARUM?  Zwischen Kopf und Kaverne steht eine 1200 m hohe Säule aus dem CO₂-Gemisch. Ihr Gewicht erhöht den Druck nach unten: dp/dz = ρ(p,T) · g.
WIE WIRD GERECHNET?  Die Dichte ρ hängt selbst von Druck und Temperatur ab – deshalb wird die Säule in 600 Schritten à 2 m gerechnet, in jedem Schritt mit neuer Dichte aus CoolProp (Gemisch). Temperatur = Gebirgstemperatur T(z) = T₀ + grad T · z (Stillstand). Gerechnet wird von unten (bekannter Kavernendruck) nach oben – das Ergebnis ist direkt der Kopfdruck.
GRENZFALL:  Mit dem Sekantenverfahren wird der Kavernendruck gesucht, bei dem der Kopfdruck genau die Cricondenbar des Gemischs ist (82,2 bar = höchster Druck des Zweiphasengebiets; bei reinem CO₂ war es p_krit = 73,8 bar). Darüber bleibt das ganze Bohrloch einphasig, darunter kann sich im oberen Bohrloch eine Gasphase bilden.
ERGEBNIS:  Für 210 bar unten sind 114,9 bar am Kopf nötig – die Säule liefert rund 95 bar (reines CO₂: 107,6 bar bzw. 102 bar). Das Gemisch ist leichter, deshalb muss die Anlage oben mehr Druck aufbringen.
VERGLEICH:  Unter der Ergebnistabelle stehen dieselben drei Füllstände für reines CO₂; in den Diagrammen Druck und Dichte gepunktet. Das Gemisch ist in der Säule 7–10 % leichter – deshalb 7,3 bar mehr am Kopf bei voller Kaverne.</t>
  </si>
  <si>
    <t>reines CO₂ [bar]</t>
  </si>
  <si>
    <t>Pumpe (91 → 108 bar)</t>
  </si>
  <si>
    <t>p reines CO₂ [bar]</t>
  </si>
  <si>
    <t>ρ reines CO₂ [kg/m³]</t>
  </si>
  <si>
    <t>IDEE:  Je schwerer die Säule im Bohrloch, desto mehr Druck liefert sie und desto weniger muss die Anlage oben aufbringen.
Das CO₂-Gemisch ist unter diesen Bedingungen dicht (756–865 kg/m³; reines CO₂ 820–930 kg/m³), Erdgas und Wasserstoff bleiben Gase (Erdgas ~150 kg/m³, Wasserstoff ~15 kg/m³).
FOLGE:  Für das CO₂-Gemisch reicht eine Pumpe auf ~115 bar (reines CO₂ ~108 bar). Erdgas- und Wasserstoffspeicher brauchen Verdichter fast bis zum vollen Kavernendruck.
Rechnung wie auf Blatt „Kaverne &amp; Gassäule“: dp/dz = ρ(p,T) · g, von unten nach oben, Dichte aus CoolProp (CO₂: Worst-Case-Gemisch, Methan als Erdgas-Ersatz, reiner Wasserstoff). Der Zieldruck unten bleibt für alle Teufen bewusst bei 210 bar, damit nur der Effekt der Säule sichtbar wird.
REINES CO₂:  zum Vergleich in allen Tabellen und Diagrammen (dunkelblau gestrichelt, Werte aus der Mappe für reines CO₂). Reines CO₂ ist dichter (820–930 statt 756–865 kg/m³) und braucht oben 7,3 bar weniger.</t>
  </si>
  <si>
    <t>Welchen Kopfdruck gibt die Kaverne vor? Gassäule im Stillstand für drei Füllstände (wie Q-028, Fig. 3). Mit reinem CO₂ zum Vergleich.</t>
  </si>
  <si>
    <t>Warum braucht CO₂ oben weniger Druck als Erdgas oder Wasserstoff? Mit reinem CO₂ zum Vergleich.</t>
  </si>
  <si>
    <t>Anlieferung dicht: Pumpe – jeder Rechenschritt einzeln. Mit Phasendiagramm der Schritte.</t>
  </si>
  <si>
    <t>Was die Begleitstoffe ändern: Zweiphasengebiet, Unsicherheit ±3 bar, neue Grenzen der Anlage. Mit Phasendiagrammen rein vs. Gemisch.</t>
  </si>
  <si>
    <t>Stand: 01.10.2026 · Stoffdaten: CoolProp 8.0.0, Mehrfluid-Helmholtz-Modell (GERG-2008-Mischungsregel, Reinstoffe u. a. Span &amp; Wagner 1996) · Worst-Case-Gemisch 95 % CO₂, 2,4 % N₂, 1 % Ar, 1 % CH₄, 0,5 % H₂, 0,1 % CO (mol-%)</t>
  </si>
  <si>
    <t>#NV in M/N = Punkt liegt links vom Zoom-Ausschnitt (gewollt: Excel lässt ihn im Diagramm aus)</t>
  </si>
  <si>
    <t>CO₂-Temperatur nach jedem Kühler (S2)</t>
  </si>
  <si>
    <t>Kühlwasser 20 °C (Auslegung) + 6 K: CO₂ wird selten kälter als Kühlmittel + 6 K (Q-120, Folie 24) → Pumpeneintritt 660 kg/m³</t>
  </si>
  <si>
    <t>Druck nach Verdichtung = Kühldruck (S2)</t>
  </si>
  <si>
    <t>über der Cricondenbar (82,2 bar) + 8,8 bar ≥ 3 bar Unsicherheit → Kühler ohne Phasenwechsel; = Übergabedruck S1 (gleicher Pumpeneintritt)</t>
  </si>
  <si>
    <t>Zwischendruck (S2)</t>
  </si>
  <si>
    <t>Stufe 2 bleibt ≤ 95 °C (77,4 °C) und Z ≥ 0,7 am Eintritt Stufe 2 (0,714); 24 bar unter der Taulinie bei 26 °C</t>
  </si>
  <si>
    <t>Isentroper Wirkungsgrad Verdichter 2. Stufe (S2)</t>
  </si>
  <si>
    <t>Q-017 (S. 43): Herstellerrichtwert – darunter wird die Austrittsöffnung der Stufe sehr klein</t>
  </si>
  <si>
    <t>Dichte am Pumpeneintritt mindestens</t>
  </si>
  <si>
    <t>Q-121 (S. 2): Einsatzgrenze CO₂-Pumpen 400–500 kg/m³; Q-001 (Kap. 5.2): Pumpen ab ca. 500 kg/m³</t>
  </si>
  <si>
    <t>Diese Mappe zeigt Schritt für Schritt, wie die Obertageanlage für die Einspeicherung berechnet wird:
1. Welcher Druck muss am Bohrlochkopf anliegen? → das gibt die Kaverne über die Gassäule vor.
2. Wie bringt die Anlage das CO₂ auf diesen Druck? → Pumpe (dichte Anlieferung, S1) bzw. zwei Verdichterstufen, Kühler und Pumpe (gasförmige Anlieferung, S2).
3. Wo liegen alle Zustände im Phasendiagramm – und wo liegt das Betriebsfenster von Bohrloch und Kaverne?
Diese Mappe rechnet das Worst-Case-Gemisch mit 5 % Begleitstoffen – gleicher Aufbau wie die Mappe für reines CO₂. Was sich an den Grenzen ändert und warum: Blatt „Gemisch &amp; Grenzen“.</t>
  </si>
  <si>
    <t>Anlieferung gasförmig: 2 Verdichterstufen, Kühler bei 91 bar, Pumpe – mit Phasendiagramm und kurzer Begründung des Wegs.</t>
  </si>
  <si>
    <t>S2: spezifische Arbeit (2 Stufen, Kühler 91 bar, Pumpe)</t>
  </si>
  <si>
    <t>Blatt „Einspeicherung S2“</t>
  </si>
  <si>
    <t>S2: Dichte am Pumpeneintritt (91 bar / 26 °C)</t>
  </si>
  <si>
    <t>über der Cricondenbar – einphasig dicht, keine Gasblasen an der Pumpe</t>
  </si>
  <si>
    <t>S2: verdichten → überkritisch kühlen → pumpen</t>
  </si>
  <si>
    <t>Vergleich: Durchverdichten (2 Stufen) – Werte aus 04_phasenpfade_vergleich.py</t>
  </si>
  <si>
    <t>DIAGRAMM 1:  Farbflächen = Phasengebiete des Gemischs, rot = Zweiphasengebiet (reines CO₂ hat nur eine Linie, grau zum Vergleich). Rot gestrichelt = ±3 bar Unsicherheit der Phasengrenze. Grün = S1 (Pumpe). Blau = S2 (2 Verdichterstufen bis 91 bar, Kühler bei 91 bar auf 26 °C, Pumpe) – der Kühler liegt über der Cricondenbar und kreuzt kein Zweiphasengebiet. Violett gestrichelt = Vergleich Durchverdichten (2 Stufen bis 114,9 bar). Orange gepunktet = Dichte 500 kg/m³: rechts davon ist das Gemisch zu dünn für eine Pumpe.
ENDPUNKT:  Alle Pfade enden am Bohrlochkopf bei 114,9 bar (reines CO₂: 107,6 bar). Diagramm 2 zeigt Bohrloch und Kaverne – nur im Stillstand.</t>
  </si>
  <si>
    <t>Einspeicherung S2 – gasförmige Anlieferung: verdichten, kühlen, pumpen (Worst-Case-Gemisch)</t>
  </si>
  <si>
    <t>Netzübergabe → Messtechnik/Filtration → Verdichter 1 → Zwischenkühler → Verdichter 2 → Kühler (91 bar) → Pumpe → Bohrlochkopf</t>
  </si>
  <si>
    <r>
      <t>AUSGANGSLAGE:</t>
    </r>
    <r>
      <rPr>
        <sz val="10"/>
        <color theme="1"/>
        <rFont val="Calibri"/>
        <family val="2"/>
        <scheme val="minor"/>
      </rPr>
      <t xml:space="preserve">  Das CO₂-Gemisch kommt gasförmig an: 30 bar, 15 °C. Ziel sind 114,9 bar am Bohrlochkopf (Blatt „Kaverne &amp; Gassäule“).
</t>
    </r>
    <r>
      <rPr>
        <b/>
        <sz val="10"/>
        <color theme="1"/>
        <rFont val="Calibri"/>
        <family val="2"/>
        <scheme val="minor"/>
      </rPr>
      <t>WEG:</t>
    </r>
    <r>
      <rPr>
        <sz val="10"/>
        <color theme="1"/>
        <rFont val="Calibri"/>
        <family val="2"/>
        <scheme val="minor"/>
      </rPr>
      <t xml:space="preserve">  Zwei Verdichterstufen bis 91 bar – das liegt über der Cricondenbar des Gemischs (82,2 bar). Der Kühler bei 91 bar kühlt auf 26 °C: das Gemisch wird stetig dichter, ohne das Zweiphasengebiet zu berühren (keine Kondensation, kein Verflüssiger nötig). Die Pumpe saugt einphasig dichtes CO₂ an (660 kg/m³) – bei demselben Druck wie in S1.
</t>
    </r>
    <r>
      <rPr>
        <b/>
        <sz val="10"/>
        <color theme="1"/>
        <rFont val="Calibri"/>
        <family val="2"/>
        <scheme val="minor"/>
      </rPr>
      <t>ANNAHMEN (Übersicht):</t>
    </r>
    <r>
      <rPr>
        <sz val="10"/>
        <color theme="1"/>
        <rFont val="Calibri"/>
        <family val="2"/>
        <scheme val="minor"/>
      </rPr>
      <t xml:space="preserve">  Kühlwasser 20 °C → CO₂ nach jedem Kühler 26 °C (+6 K, Q-120) · Zwischendruck 50 bar · höchstens 95 °C je Stufe (Q-016) · Z ≥ 0,7 am Stufeneintritt (Q-017) · Dichte an der Pumpe ≥ 500 kg/m³ (Q-121) · Wirkungsgrade Verdichter 84 / 82 % (Q-016), Pumpe 80 %.
</t>
    </r>
    <r>
      <rPr>
        <b/>
        <sz val="10"/>
        <color theme="1"/>
        <rFont val="Calibri"/>
        <family val="2"/>
        <scheme val="minor"/>
      </rPr>
      <t>RECHENWEG:</t>
    </r>
    <r>
      <rPr>
        <sz val="10"/>
        <color theme="1"/>
        <rFont val="Calibri"/>
        <family val="2"/>
        <scheme val="minor"/>
      </rPr>
      <t xml:space="preserve">  wie in S1 – Verdichter und Pumpe isentrop + Wirkungsgrad: h_aus = h_ein + (h_s − h_ein) / η. Kühler: abgeführte Wärme q = h_vor − h_nach. Grau = CoolProp-Wert (fest), weiß = Excel-Formel, grün = Ergebnis.
</t>
    </r>
    <r>
      <rPr>
        <b/>
        <sz val="10"/>
        <color theme="1"/>
        <rFont val="Calibri"/>
        <family val="2"/>
        <scheme val="minor"/>
      </rPr>
      <t>WARUM DIESER WEG:</t>
    </r>
    <r>
      <rPr>
        <sz val="10"/>
        <color theme="1"/>
        <rFont val="Calibri"/>
        <family val="2"/>
        <scheme val="minor"/>
      </rPr>
      <t xml:space="preserve">  Kasten „Warum dieser Weg?“ unten; ausführlich in Dokumentation_S2_Gemisch.docx.</t>
    </r>
  </si>
  <si>
    <t>CoolProp: H(p_ein, T_ein)</t>
  </si>
  <si>
    <t>Prüfung: bleibt gasförmig?</t>
  </si>
  <si>
    <t>p_zw ≤ Taudruck(T_K) − 3 bar ?</t>
  </si>
  <si>
    <t>Enthalpie nach Zwischenkühler</t>
  </si>
  <si>
    <t>Austrittsdruck</t>
  </si>
  <si>
    <t>Kühler bei 91 bar (überkritischer Druck – kein Phasenwechsel)</t>
  </si>
  <si>
    <t>Prüfung Dichte (Q-121)</t>
  </si>
  <si>
    <t>Wirkungsgrad η_P</t>
  </si>
  <si>
    <t>Summe S2</t>
  </si>
  <si>
    <t>Kühlleistung gesamt, oberer Fall</t>
  </si>
  <si>
    <t>Massenstrom wie in S1 (gleicher Normvolumenstrom). Wird eine Annahme auf der Übersicht geändert, rechnen die weißen Werte mit; graue CoolProp-Werte färben sich rot und müssen mit Prozesskette/03_S2_verdichtung_kuehlung_pumpe_gemisch.py neu gerechnet werden.</t>
  </si>
  <si>
    <t>1 Netzübergabe / Verdichter 1 ein</t>
  </si>
  <si>
    <t>2 Verdichter 1 aus</t>
  </si>
  <si>
    <t>3 Zwischenkühler aus / Verdichter 2 ein</t>
  </si>
  <si>
    <t>4 Verdichter 2 aus</t>
  </si>
  <si>
    <t>überkritisch</t>
  </si>
  <si>
    <t>5 Kühler aus / Pumpe ein</t>
  </si>
  <si>
    <t>dicht (über der Cricondenbar)</t>
  </si>
  <si>
    <t>6 Pumpe aus / Bohrlochkopf</t>
  </si>
  <si>
    <t>dicht</t>
  </si>
  <si>
    <t>Warum dieser Weg? – mögliche Pfade im Vergleich</t>
  </si>
  <si>
    <t>Zweiphasengebiet</t>
  </si>
  <si>
    <t>Kühlwasser höchstens</t>
  </si>
  <si>
    <t>spez. Arbeit [kJ/kg]</t>
  </si>
  <si>
    <t>2 Stufen 30 → 50 → 91 bar, Kühler 26 °C, Pumpe</t>
  </si>
  <si>
    <t>wird nicht berührt (91 &gt; 82,2 bar)</t>
  </si>
  <si>
    <t>≈ 26 °C (ρ ≥ 500 kg/m³)</t>
  </si>
  <si>
    <t>gewählt</t>
  </si>
  <si>
    <t>2 Stufen bis 80 bar, verflüssigen bei 20 °C, Pumpe</t>
  </si>
  <si>
    <t>im Verflüssiger; Pumpe 3,3 bar neben der Blasenlinie</t>
  </si>
  <si>
    <t>≈ 14 °C</t>
  </si>
  <si>
    <t>möglich, nur mit Kältemaschine</t>
  </si>
  <si>
    <t>2 Stufen 30 → 52 → 114,9 bar, keine Pumpe</t>
  </si>
  <si>
    <t>wird nicht berührt</t>
  </si>
  <si>
    <t>beliebig</t>
  </si>
  <si>
    <t>möglich, aber teuerste Variante</t>
  </si>
  <si>
    <t>bei 30 bar tiefkalt verflüssigen, pumpen</t>
  </si>
  <si>
    <t>kommt nicht heraus (Blasendruck ≥ 45,9 bar)</t>
  </si>
  <si>
    <t>nicht möglich</t>
  </si>
  <si>
    <t>Pumpe saugt bei 80 bar / 25 °C an</t>
  </si>
  <si>
    <t>Pumpeneintritt darin (18 Vol-% Gas)</t>
  </si>
  <si>
    <t>A und C: grau = Werte aus 04_phasenpfade_vergleich.py (gleiche Annahmen; A mit 20 °C gerechnet, weil es wärmer nicht geht). Kühlwasser höchstens = CO₂-Temperatur − 6 K (Q-120).</t>
  </si>
  <si>
    <t>Vergleich: Durchverdichten (C), spezifische Arbeit</t>
  </si>
  <si>
    <t>Diagrammwerte – spezifische Arbeit je Maschine [kJ/kg]</t>
  </si>
  <si>
    <t>S2 gewählt (B)</t>
  </si>
  <si>
    <t>Alternative A: verflüssigen</t>
  </si>
  <si>
    <t>Alternative C: durchverdichten</t>
  </si>
  <si>
    <t>Der Kühler bei 91 bar liegt über der Spitze des roten Zweiphasengebiets (Cricondenbar 82,2 bar): das Gemisch wird ohne Phasenwechsel dicht. Gesamtbild mit S1: Blatt „Phasendiagramm“.</t>
  </si>
  <si>
    <t>65,8 (p_sat)</t>
  </si>
  <si>
    <t>Druck für den Kühler (S2)</t>
  </si>
  <si>
    <t>Mappe rein: verflüssigen bei 60 bar / 20 °C</t>
  </si>
  <si>
    <t>91 bar (Cricondenbar 82,2 + 8,8)</t>
  </si>
  <si>
    <t>überkritisch kühlen: kein Verflüssiger, keine Kondensation</t>
  </si>
  <si>
    <t>Verdichtung 30 bar → Enddruck in einer Stufe</t>
  </si>
  <si>
    <t>73,2 °C ✔ (bis 60 bar)</t>
  </si>
  <si>
    <t>112,7 °C ✘ (bis 91 bar)</t>
  </si>
  <si>
    <t>zwei Verdichterstufen nötig: 30 → 50 → 91 bar</t>
  </si>
  <si>
    <t>Zwischendruck (gasförmig bei 26 °C)</t>
  </si>
  <si>
    <t>&lt; 65,8 bar</t>
  </si>
  <si>
    <t>≤ 71,4 bar (Taudruck − 3 bar)</t>
  </si>
  <si>
    <t>gewählt 50 bar: Z ≥ 0,7 und Stufe 2 ≤ 95 °C</t>
  </si>
  <si>
    <t>S2-Kühler liegt über der Cricondenbar – keine Kondensation nötig; Dichte ≥ 500 kg/m³ bis 32 °C</t>
  </si>
  <si>
    <t>Doku S2</t>
  </si>
  <si>
    <t>Einspeicherung S1/S2</t>
  </si>
  <si>
    <t>S1-Übergabe und S2-Kühler (je 91 bar) liegen darüber</t>
  </si>
  <si>
    <t>WARUM AUS DER LINIE EIN GEBIET WIRD – kurz erklärt
•  Reiner Stoff: Siedet eine Flüssigkeit, bleiben Druck und Temperatur fest verbunden (Gibbs'sche Phasenregel F = K − P + 2 = 1 − 2 + 2 = 1). Zu jeder Temperatur gehört genau ein Dampfdruck → Sättigungslinie. Verdampfen und Kondensieren passieren bei einer einzigen Temperatur.
•  Gemisch aus 6 Stoffen: F = 6 − 2 + 2 = 6 → Gas und Flüssigkeit können über einen Bereich von Druck und Temperatur nebeneinander bestehen. Aus der Linie wird ein Gebiet zwischen Taulinie (erster Tropfen) und Blasenlinie (letzte Blase).
•  Die Begleitstoffe sind „leicht“: ihre kritischen Temperaturen liegen weit unter 0 °C (H₂ −240 °C, N₂ −147 °C, CO −140 °C, Ar −122 °C, CH₄ −83 °C). Sie wollen gasförmig bleiben und lösen sich in flüssigem CO₂ nur unter höherem Druck → die Blasenlinie steigt: bei 20 °C von 57,3 bar (reines CO₂) auf 76,7 bar.
•  Die Taulinie liegt ebenfalls höher (63,4 bar bei 20 °C): das CO₂ kondensiert erst, wenn sein eigener Partialdruck (≈ 95 % des Gesamtdrucks) seinen Dampfdruck erreicht → Gesamtdruck ≈ 57,3 / 0,95 ≈ 60 bar (real etwas mehr).
•  Beim Abkühlen fällt zuerst fast reines CO₂ aus; die Gasphase reichert sich mit N₂ und H₂ an (bei 30 bar / −40 °C: 30 % N₂, 11 % H₂ in der Gasphase). Deshalb Temperaturgleit statt fester Kondensationstemperatur – bei 80 bar von 27,9 auf 23,7 °C.
•  Kalt öffnet sich das Gebiet weit: in kaltem flüssigem CO₂ lösen sich die leichten Gase kaum, der Blasendruck fällt nie unter 45,9 bar. Ein Gemisch lässt sich bei 30 bar nicht vollständig verflüssigen.
•  Der kritische Punkt wandert von 31,0 °C / 73,8 bar nach 28,0 °C / 81,5 bar; höchster Druck des Gebiets (Cricondenbar) 82,2 bar, höchste Temperatur (Cricondentherm) 28,1 °C. Darüber gibt es – wie beim reinen CO₂ über dem kritischen Punkt – keine Phasengrenze mehr.
•  FOLGE:  Grenzen, die bei reinem CO₂ an p_krit hängen, hängen beim Gemisch an der Cricondenbar + 3 bar Unsicherheit = 85,2 bar (S1-Übergabe, Pumpeneintritt, einphasiges Bohrloch). Die Tabellen links nennen die Zahlen, Dokumentation_S2_Gemisch.docx die Folgen für die Einspeicherkette.</t>
  </si>
  <si>
    <t>Wirkungsgrade Verdichter 84 % (Stufe 1) / 82 % (Stufe 2) und höchstens 95 °C je Stufe (S. 4, Kap. 2.3). Die Kühlung auf 20 °C aus Q-016 ist nicht übernommen: beim Gemisch wird bei 91 bar überkritisch auf 26 °C gekühlt.</t>
  </si>
  <si>
    <t>S. 43: Realgasfaktor Z ≥ 0,7 am Stufeneintritt → Zwischendruck 50 bar</t>
  </si>
  <si>
    <t>Folie 24: CO₂ nach dem Kühler selten kälter als Kühlmittel + 6 K → Kühlwasser 20 °C ergibt 26 °C</t>
  </si>
  <si>
    <t>S. 2: Mindestdichte am Pumpeneintritt 400–500 kg/m³ → ρ_min = 500 kg/m³</t>
  </si>
  <si>
    <t>Zu prüfen: alte Annahmentabelle nennt Q-040 für die gasförmige Anlieferung mit 30 bar – Norm in der Matrix noch nicht ausgewertet</t>
  </si>
  <si>
    <t>Nur noch der Übergabedruck S2 (30 bar) stammt aus der Vorarbeit – Quelle zu prüfen. Frühere Annahmen (Zwischendruck 49 bar / 40 °C, Verflüssigung 80 bar / 25 °C) sind ersetzt.</t>
  </si>
  <si>
    <t>Dokumentation_S2_Gemisch.docx (eigene Arbeit): Vergleich der Wege A–E durchs Phasendiagramm, Anforderungen an Pumpe und Verdichter.</t>
  </si>
  <si>
    <t>Wahl des S2-Wegs (Blatt „Einspeicherung S2“)</t>
  </si>
  <si>
    <t>GEWÄHLT – ÜBERKRITISCH KÜHLEN (B):  Kühler und Pumpe liegen bei 91 bar über der Cricondenbar – weder Verdichter noch Pumpe sehen Tropfen oder Gasblasen. Funktioniert mit normalem Kühlwasser bis ca. 26 °C. Die Pumpe arbeitet bei demselben Druck wie in S1 (eine Pumpenbauart). Arbeit: 66,2 kJ/kg.
A – VERFLÜSSIGEN BEI 80 BAR:  möglich, aber nur mit Kühlwasser ≤ 14 °C oder Kältemaschine; die Pumpe saugt nur 3,7 K neben der Blasenlinie an. Braucht 11 % weniger Arbeit, dazu käme aber die Kältemaschine (nicht gerechnet).
C – DURCHVERDICHTEN:  möglich, aber 13 % mehr Arbeit, und die zweite Stufe liegt mit 94,7 °C an der 95-°C-Grenze.
D, E – NICHT MÖGLICH:  bei 30 bar wird das Gemisch nie ganz flüssig (D); eine Pumpe fördert kein Gas-Flüssig-Gemisch (E, 18 Vol-% Gas).
FAZIT:  B ist der einzige Weg ohne Phasengrenze und ohne Kältemaschine – geringstes Risiko bei vertretbarer Arbeit. Herleitung und Quellen: Dokumentation_S2_Gemisch.docx; Rechnung A–E: 04_phasenpfade_vergleich.py.</t>
  </si>
  <si>
    <t>T_min Zoom Alternativen [°C]</t>
  </si>
  <si>
    <t>Position Zoom Alternativen</t>
  </si>
  <si>
    <t>Alternative A: verflüssigen bei 80 bar / 20 °C (Werte aus 04_phasenpfade_vergleich.py)</t>
  </si>
  <si>
    <t>Alternative D: tiefkalt bei 30 bar (bleibt zweiphasig)</t>
  </si>
  <si>
    <t>Alternative E: Pumpe im Zweiphasengebiet (80 bar / 25 °C)</t>
  </si>
  <si>
    <t>B bleibt über der Spitze des roten Gebiets (Cricondenbar 82,2 bar). A kreuzt es im Verflüssiger, D kommt nicht heraus, E pumpt aus ihm heraus, C bleibt auf der Gasseite, braucht aber 13 % mehr Arbeit. Werte für A, C, D, E aus 04_phasenpfade_vergleich.py; Begründung: Dokumentation_S2_Gemisch.docx.</t>
  </si>
  <si>
    <t xml:space="preserve">Realgasfaktor am Verdichtereintritt mindestens (nur Verdichter, nicht Pumpe)</t>
  </si>
  <si>
    <t xml:space="preserve">Siemens Energy (E-Mail 08/2026): Grenze der Laufradberechnung; Q-017 (S. 43) nennt strenger 0,7 – das Gemisch erfüllt beide (0,714)</t>
  </si>
  <si>
    <t xml:space="preserve">Stufe 2 bleibt ≤ 95 °C (77,4 °C) und Z &gt; 0,65 am Eintritt Stufe 2 (0,714); 24 bar unter der Taulinie bei 26 °C</t>
  </si>
  <si>
    <t xml:space="preserve">gewählt 50 bar: Z &gt; 0,65 (Siemens) und Stufe 2 ≤ 95 °C</t>
  </si>
  <si>
    <t xml:space="preserve">AUSGANGSLAGE:  Das CO₂-Gemisch kommt gasförmig an: 30 bar, 15 °C. Ziel sind 114,9 bar am Bohrlochkopf (Blatt „Kaverne &amp; Gassäule“).
WEG:  Zwei Verdichterstufen bis 91 bar – das liegt über der Cricondenbar des Gemischs (82,2 bar). Der Kühler bei 91 bar kühlt auf 26 °C: das Gemisch wird stetig dichter, ohne das Zweiphasengebiet zu berühren (keine Kondensation, kein Verflüssiger nötig). Die Pumpe saugt einphasig dichtes CO₂ an (660 kg/m³) – bei demselben Druck wie in S1.
ANNAHMEN (Übersicht):  Kühlwasser 20 °C → CO₂ nach jedem Kühler 26 °C (+6 K, Q-120) · Zwischendruck 50 bar · höchstens 95 °C je Stufe (Q-016) · Z &gt; 0,65 am Verdichtereintritt (Siemens Energy; Q-017: 0,7) · Dichte an der Pumpe ≥ 500 kg/m³ (Q-121) · Wirkungsgrade Verdichter 84 / 82 % (Q-016), Pumpe 80 %.
RECHENWEG:  wie in S1 – Verdichter und Pumpe isentrop + Wirkungsgrad: h_aus = h_ein + (h_s − h_ein) / η. Kühler: abgeführte Wärme q = h_vor − h_nach. Grau = CoolProp-Wert (fest), weiß = Excel-Formel, grün = Ergebnis.
WARUM DIESER WEG:  Kasten „Warum dieser Weg?“ unten; ausführlich in Dokumentation_S2_Gemisch.docx.</t>
  </si>
  <si>
    <t xml:space="preserve">Prüfung Realgasfaktor (Siemens Energy)</t>
  </si>
  <si>
    <t xml:space="preserve">Z &gt; Z_min ?</t>
  </si>
  <si>
    <t xml:space="preserve">S. 43: Realgasfaktor Z ≥ 0,7 am Stufeneintritt – strengerer Literaturrichtwert, nur zum Vergleich</t>
  </si>
  <si>
    <t xml:space="preserve">Siemens</t>
  </si>
  <si>
    <t xml:space="preserve">Siemens Energy (Duisburg): E-Mail-Auskunft zur Auslegung von CO₂-Verdichtern, 08/2026 (persönliche Mitteilung).</t>
  </si>
  <si>
    <t xml:space="preserve">Z_min = 0,65 (Blatt „Übersicht“): „Damit die Berechnung der Laufräder in unseren Berechnungsprogrammen zuverlässig ausgeführt wird, bleiben wir bei einem Z-Wert von &gt; 0,65.“ Gilt nur für Verdichter, nicht für die Pumpe.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</si>
</sst>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;;;"/>
    <numFmt numFmtId="166" formatCode="0.0000"/>
    <numFmt numFmtId="167" formatCode="0.000"/>
    <numFmt numFmtId="168" formatCode="\+0.00;\-0.00"/>
  </numFmts>
  <fonts count="25" x14ac:knownFonts="1">
    <font>
      <sz val="11"/>
      <color theme="1"/>
      <name val="Calibri"/>
      <family val="2"/>
      <scheme val="minor"/>
    </font>
    <font>
      <b/>
      <sz val="20"/>
      <color rgb="FF00304F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1"/>
      <color rgb="FF00304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00FF"/>
      <name val="Calibri"/>
      <family val="2"/>
      <scheme val="minor"/>
    </font>
    <font>
      <sz val="10"/>
      <color rgb="FF40404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u/>
      <sz val="10"/>
      <color rgb="FF0476D9"/>
      <name val="Calibri"/>
      <family val="2"/>
      <scheme val="minor"/>
    </font>
    <font>
      <b/>
      <sz val="12"/>
      <color rgb="FFFFFFFF"/>
      <name val="Calibri"/>
      <family val="2"/>
      <scheme val="minor"/>
    </font>
    <font>
      <i/>
      <sz val="9"/>
      <color rgb="FF595959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rgb="FF00304F"/>
      <name val="Calibri"/>
      <family val="2"/>
      <scheme val="minor"/>
    </font>
    <font>
      <b/>
      <sz val="10"/>
      <color rgb="FF9C0006"/>
      <name val="Calibri"/>
      <family val="2"/>
      <scheme val="minor"/>
    </font>
    <font>
      <b/>
      <sz val="10"/>
      <color rgb="FF007335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476D9"/>
      <name val="Calibri"/>
      <family val="2"/>
      <scheme val="minor"/>
    </font>
    <font>
      <b/>
      <sz val="10"/>
      <color rgb="FFEE7203"/>
      <name val="Calibri"/>
      <family val="2"/>
      <scheme val="minor"/>
    </font>
    <font>
      <b/>
      <sz val="10"/>
      <color rgb="FFCA220E"/>
      <name val="Calibri"/>
      <family val="2"/>
      <scheme val="minor"/>
    </font>
    <font>
      <i/>
      <sz val="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00304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DE7F0"/>
        <bgColor indexed="64"/>
      </patternFill>
    </fill>
    <fill>
      <patternFill patternType="lightUp">
        <fgColor rgb="FFBFBFBF"/>
        <bgColor rgb="FFFFFFFF"/>
      </patternFill>
    </fill>
    <fill>
      <patternFill patternType="solid">
        <fgColor rgb="FFFFF7EE"/>
        <bgColor indexed="64"/>
      </patternFill>
    </fill>
    <fill>
      <patternFill patternType="solid">
        <fgColor rgb="FFFFE5E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00304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EE7203"/>
      </left>
      <right style="thin">
        <color rgb="FFEE7203"/>
      </right>
      <top style="thin">
        <color rgb="FFEE7203"/>
      </top>
      <bottom style="thin">
        <color rgb="FFEE7203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EE7203"/>
      </left>
      <right style="thin">
        <color rgb="FFEE7203"/>
      </right>
      <top style="thin">
        <color rgb="FFEE7203"/>
      </top>
      <bottom/>
      <diagonal/>
    </border>
    <border>
      <left style="thin">
        <color rgb="FFEE7203"/>
      </left>
      <right/>
      <top style="thin">
        <color rgb="FFEE7203"/>
      </top>
      <bottom style="thin">
        <color rgb="FFEE7203"/>
      </bottom>
      <diagonal/>
    </border>
    <border>
      <left/>
      <right/>
      <top style="thin">
        <color rgb="FFEE7203"/>
      </top>
      <bottom style="thin">
        <color rgb="FFEE7203"/>
      </bottom>
      <diagonal/>
    </border>
    <border>
      <left/>
      <right style="thin">
        <color rgb="FFEE7203"/>
      </right>
      <top style="thin">
        <color rgb="FFEE7203"/>
      </top>
      <bottom style="thin">
        <color rgb="FFEE7203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8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164" fontId="5" fillId="2" borderId="2" xfId="0" applyNumberFormat="1" applyFont="1" applyFill="1" applyBorder="1" applyAlignment="1">
      <alignment horizontal="center" vertical="center"/>
    </xf>
    <xf numFmtId="164" fontId="6" fillId="3" borderId="2" xfId="0" applyNumberFormat="1" applyFont="1" applyFill="1" applyBorder="1" applyAlignment="1">
      <alignment horizontal="center" vertical="center"/>
    </xf>
    <xf numFmtId="164" fontId="7" fillId="4" borderId="2" xfId="0" applyNumberFormat="1" applyFont="1" applyFill="1" applyBorder="1" applyAlignment="1">
      <alignment horizontal="center" vertical="center"/>
    </xf>
    <xf numFmtId="164" fontId="8" fillId="5" borderId="2" xfId="0" applyNumberFormat="1" applyFont="1" applyFill="1" applyBorder="1" applyAlignment="1">
      <alignment horizontal="center" vertical="center"/>
    </xf>
    <xf numFmtId="0" fontId="9" fillId="6" borderId="0" xfId="0" applyFont="1" applyFill="1"/>
    <xf numFmtId="0" fontId="10" fillId="0" borderId="0" xfId="0" applyFont="1" applyAlignment="1">
      <alignment vertical="center"/>
    </xf>
    <xf numFmtId="0" fontId="13" fillId="0" borderId="2" xfId="0" applyFont="1" applyBorder="1" applyAlignment="1">
      <alignment vertical="center" wrapText="1"/>
    </xf>
    <xf numFmtId="165" fontId="14" fillId="0" borderId="0" xfId="0" applyNumberFormat="1" applyFont="1" applyAlignment="1">
      <alignment vertical="center"/>
    </xf>
    <xf numFmtId="0" fontId="15" fillId="8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3" fontId="5" fillId="2" borderId="2" xfId="0" applyNumberFormat="1" applyFont="1" applyFill="1" applyBorder="1" applyAlignment="1">
      <alignment horizontal="center" vertical="center"/>
    </xf>
    <xf numFmtId="1" fontId="6" fillId="3" borderId="2" xfId="0" applyNumberFormat="1" applyFont="1" applyFill="1" applyBorder="1" applyAlignment="1">
      <alignment horizontal="center" vertical="center"/>
    </xf>
    <xf numFmtId="2" fontId="5" fillId="2" borderId="2" xfId="0" applyNumberFormat="1" applyFont="1" applyFill="1" applyBorder="1" applyAlignment="1">
      <alignment horizontal="center" vertical="center"/>
    </xf>
    <xf numFmtId="2" fontId="6" fillId="3" borderId="2" xfId="0" applyNumberFormat="1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vertical="center"/>
    </xf>
    <xf numFmtId="49" fontId="7" fillId="4" borderId="2" xfId="0" applyNumberFormat="1" applyFont="1" applyFill="1" applyBorder="1" applyAlignment="1">
      <alignment horizontal="center" vertical="center"/>
    </xf>
    <xf numFmtId="9" fontId="7" fillId="4" borderId="2" xfId="0" applyNumberFormat="1" applyFont="1" applyFill="1" applyBorder="1" applyAlignment="1">
      <alignment horizontal="center" vertical="center"/>
    </xf>
    <xf numFmtId="2" fontId="8" fillId="5" borderId="2" xfId="0" applyNumberFormat="1" applyFont="1" applyFill="1" applyBorder="1" applyAlignment="1">
      <alignment horizontal="center" vertical="center"/>
    </xf>
    <xf numFmtId="3" fontId="8" fillId="5" borderId="2" xfId="0" applyNumberFormat="1" applyFont="1" applyFill="1" applyBorder="1" applyAlignment="1">
      <alignment horizontal="center" vertical="center"/>
    </xf>
    <xf numFmtId="3" fontId="7" fillId="4" borderId="2" xfId="0" applyNumberFormat="1" applyFont="1" applyFill="1" applyBorder="1" applyAlignment="1">
      <alignment horizontal="center" vertical="center"/>
    </xf>
    <xf numFmtId="2" fontId="7" fillId="4" borderId="2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166" fontId="6" fillId="3" borderId="2" xfId="0" applyNumberFormat="1" applyFont="1" applyFill="1" applyBorder="1" applyAlignment="1">
      <alignment horizontal="center" vertical="center"/>
    </xf>
    <xf numFmtId="49" fontId="6" fillId="3" borderId="2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21" fillId="0" borderId="0" xfId="1" applyFont="1" applyAlignment="1">
      <alignment vertical="center"/>
    </xf>
    <xf numFmtId="0" fontId="15" fillId="8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13" fillId="0" borderId="6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5" fillId="8" borderId="7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64" fontId="4" fillId="4" borderId="5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2" fontId="4" fillId="4" borderId="5" xfId="0" applyNumberFormat="1" applyFont="1" applyFill="1" applyBorder="1" applyAlignment="1">
      <alignment horizontal="center" vertical="center"/>
    </xf>
    <xf numFmtId="2" fontId="6" fillId="3" borderId="6" xfId="0" applyNumberFormat="1" applyFont="1" applyFill="1" applyBorder="1" applyAlignment="1">
      <alignment horizontal="center" vertical="center"/>
    </xf>
    <xf numFmtId="2" fontId="6" fillId="3" borderId="5" xfId="0" applyNumberFormat="1" applyFont="1" applyFill="1" applyBorder="1" applyAlignment="1">
      <alignment horizontal="center" vertical="center"/>
    </xf>
    <xf numFmtId="164" fontId="6" fillId="3" borderId="5" xfId="0" applyNumberFormat="1" applyFont="1" applyFill="1" applyBorder="1" applyAlignment="1">
      <alignment horizontal="center" vertical="center"/>
    </xf>
    <xf numFmtId="2" fontId="13" fillId="5" borderId="5" xfId="0" applyNumberFormat="1" applyFont="1" applyFill="1" applyBorder="1" applyAlignment="1">
      <alignment horizontal="center" vertical="center"/>
    </xf>
    <xf numFmtId="167" fontId="6" fillId="3" borderId="5" xfId="0" applyNumberFormat="1" applyFont="1" applyFill="1" applyBorder="1" applyAlignment="1">
      <alignment horizontal="center" vertical="center"/>
    </xf>
    <xf numFmtId="1" fontId="6" fillId="3" borderId="5" xfId="0" applyNumberFormat="1" applyFont="1" applyFill="1" applyBorder="1" applyAlignment="1">
      <alignment horizontal="center" vertical="center"/>
    </xf>
    <xf numFmtId="2" fontId="6" fillId="3" borderId="7" xfId="0" applyNumberFormat="1" applyFont="1" applyFill="1" applyBorder="1" applyAlignment="1">
      <alignment horizontal="center" vertical="center"/>
    </xf>
    <xf numFmtId="0" fontId="20" fillId="0" borderId="0" xfId="0" applyFont="1"/>
    <xf numFmtId="0" fontId="12" fillId="0" borderId="0" xfId="0" applyFont="1"/>
    <xf numFmtId="0" fontId="4" fillId="0" borderId="0" xfId="0" applyFont="1" applyAlignment="1">
      <alignment vertical="center" wrapText="1"/>
    </xf>
    <xf numFmtId="164" fontId="4" fillId="10" borderId="2" xfId="0" applyNumberFormat="1" applyFont="1" applyFill="1" applyBorder="1" applyAlignment="1">
      <alignment vertical="center"/>
    </xf>
    <xf numFmtId="0" fontId="24" fillId="0" borderId="0" xfId="0" applyFont="1"/>
    <xf numFmtId="0" fontId="18" fillId="0" borderId="7" xfId="0" applyFont="1" applyBorder="1" applyAlignment="1">
      <alignment vertical="center" wrapText="1"/>
    </xf>
    <xf numFmtId="0" fontId="22" fillId="0" borderId="7" xfId="0" applyFont="1" applyBorder="1" applyAlignment="1">
      <alignment vertical="center" wrapText="1"/>
    </xf>
    <xf numFmtId="0" fontId="23" fillId="0" borderId="7" xfId="0" applyFont="1" applyBorder="1" applyAlignment="1">
      <alignment vertical="center" wrapText="1"/>
    </xf>
    <xf numFmtId="0" fontId="23" fillId="0" borderId="2" xfId="0" applyFont="1" applyBorder="1" applyAlignment="1">
      <alignment vertical="center" wrapText="1"/>
    </xf>
    <xf numFmtId="1" fontId="5" fillId="2" borderId="2" xfId="0" applyNumberFormat="1" applyFont="1" applyFill="1" applyBorder="1" applyAlignment="1">
      <alignment horizontal="center" vertical="center"/>
    </xf>
    <xf numFmtId="1" fontId="8" fillId="5" borderId="2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5" xfId="0" quotePrefix="1" applyFont="1" applyBorder="1" applyAlignment="1">
      <alignment vertical="center" wrapText="1"/>
    </xf>
    <xf numFmtId="164" fontId="4" fillId="4" borderId="6" xfId="0" applyNumberFormat="1" applyFont="1" applyFill="1" applyBorder="1" applyAlignment="1">
      <alignment horizontal="center" vertical="center"/>
    </xf>
    <xf numFmtId="2" fontId="4" fillId="4" borderId="6" xfId="0" applyNumberFormat="1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left" vertical="center" wrapText="1"/>
    </xf>
    <xf numFmtId="3" fontId="13" fillId="5" borderId="5" xfId="0" applyNumberFormat="1" applyFont="1" applyFill="1" applyBorder="1" applyAlignment="1">
      <alignment horizontal="center" vertical="center"/>
    </xf>
    <xf numFmtId="3" fontId="4" fillId="4" borderId="6" xfId="0" applyNumberFormat="1" applyFont="1" applyFill="1" applyBorder="1" applyAlignment="1">
      <alignment horizontal="center" vertical="center"/>
    </xf>
    <xf numFmtId="2" fontId="4" fillId="4" borderId="7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10" fillId="0" borderId="0" xfId="0" applyFont="1" applyAlignment="1">
      <alignment vertical="center"/>
    </xf>
    <xf numFmtId="0" fontId="0" fillId="0" borderId="0" xfId="0"/>
    <xf numFmtId="0" fontId="11" fillId="7" borderId="0" xfId="0" applyFont="1" applyFill="1" applyAlignment="1">
      <alignment vertical="center"/>
    </xf>
    <xf numFmtId="0" fontId="12" fillId="0" borderId="0" xfId="0" applyFont="1" applyAlignment="1">
      <alignment vertical="top" wrapText="1"/>
    </xf>
    <xf numFmtId="0" fontId="15" fillId="8" borderId="2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vertical="center" wrapText="1"/>
    </xf>
    <xf numFmtId="0" fontId="16" fillId="9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 wrapText="1"/>
    </xf>
    <xf numFmtId="0" fontId="13" fillId="11" borderId="9" xfId="0" applyFont="1" applyFill="1" applyBorder="1" applyAlignment="1">
      <alignment vertical="top" wrapText="1"/>
    </xf>
    <xf numFmtId="0" fontId="4" fillId="11" borderId="10" xfId="0" applyFont="1" applyFill="1" applyBorder="1" applyAlignment="1">
      <alignment vertical="top" wrapText="1"/>
    </xf>
    <xf numFmtId="0" fontId="4" fillId="11" borderId="11" xfId="0" applyFont="1" applyFill="1" applyBorder="1" applyAlignment="1">
      <alignment vertical="top" wrapText="1"/>
    </xf>
    <xf numFmtId="0" fontId="17" fillId="12" borderId="4" xfId="0" applyFont="1" applyFill="1" applyBorder="1" applyAlignment="1">
      <alignment vertical="center" wrapText="1"/>
    </xf>
    <xf numFmtId="0" fontId="4" fillId="11" borderId="3" xfId="0" applyFont="1" applyFill="1" applyBorder="1" applyAlignment="1">
      <alignment vertical="top" wrapText="1"/>
    </xf>
    <xf numFmtId="168" fontId="4" fillId="0" borderId="2" xfId="0" applyNumberFormat="1" applyFont="1" applyBorder="1" applyAlignment="1">
      <alignment vertical="center" wrapText="1"/>
    </xf>
    <xf numFmtId="0" fontId="16" fillId="9" borderId="7" xfId="0" applyFont="1" applyFill="1" applyBorder="1" applyAlignment="1">
      <alignment vertical="center"/>
    </xf>
    <xf numFmtId="0" fontId="13" fillId="11" borderId="8" xfId="0" applyFont="1" applyFill="1" applyBorder="1" applyAlignment="1">
      <alignment vertical="top" wrapText="1"/>
    </xf>
    <xf numFmtId="0" fontId="4" fillId="11" borderId="8" xfId="0" applyFont="1" applyFill="1" applyBorder="1" applyAlignment="1">
      <alignment vertical="top" wrapText="1"/>
    </xf>
    <xf numFmtId="0" fontId="13" fillId="11" borderId="3" xfId="0" applyFont="1" applyFill="1" applyBorder="1" applyAlignment="1">
      <alignment vertical="top" wrapText="1"/>
    </xf>
  </cellXfs>
  <cellStyles count="2">
    <cellStyle name="Link" xfId="1" builtinId="8"/>
    <cellStyle name="Standard" xfId="0" builtinId="0"/>
  </cellStyles>
  <dxfs count="26"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b/>
        <color rgb="FF007335"/>
      </font>
    </dxf>
    <dxf>
      <font>
        <b/>
        <color rgb="FF9C0006"/>
      </font>
      <fill>
        <patternFill>
          <bgColor rgb="FFFFE5E5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  <vertical/>
        <horizontal/>
      </border>
    </dxf>
    <dxf>
      <font>
        <b/>
        <color rgb="FF007335"/>
      </font>
    </dxf>
    <dxf>
      <font>
        <b/>
        <color rgb="FF9C0006"/>
      </font>
      <fill>
        <patternFill>
          <bgColor rgb="FFFFE5E5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>
                <a:solidFill>
                  <a:srgbClr val="00304F"/>
                </a:solidFill>
              </a:defRPr>
            </a:pPr>
            <a:r>
              <a:rPr lang="en-US" sz="1200" b="1" baseline="0">
                <a:solidFill>
                  <a:srgbClr val="00304F"/>
                </a:solidFill>
              </a:rPr>
              <a:t>Reines CO₂: eine Sättigungslinie – der Phasenwechsel liegt auf einer Linie</a:t>
            </a:r>
          </a:p>
        </c:rich>
      </c:tx>
      <c:overlay val="0"/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Diagrammdaten!$P$7</c:f>
              <c:strCache>
                <c:ptCount val="1"/>
                <c:pt idx="0">
                  <c:v>gasförmig [bar]</c:v>
                </c:pt>
              </c:strCache>
            </c:strRef>
          </c:tx>
          <c:spPr>
            <a:solidFill>
              <a:srgbClr val="CFE2F3"/>
            </a:solidFill>
            <a:ln>
              <a:noFill/>
            </a:ln>
          </c:spPr>
          <c:cat>
            <c:strRef>
              <c:f>Diagrammdaten!$C$8:$C$388</c:f>
              <c:strCache>
                <c:ptCount val="361"/>
                <c:pt idx="0">
                  <c:v>-80</c:v>
                </c:pt>
                <c:pt idx="40">
                  <c:v>-60</c:v>
                </c:pt>
                <c:pt idx="80">
                  <c:v>-40</c:v>
                </c:pt>
                <c:pt idx="120">
                  <c:v>-20</c:v>
                </c:pt>
                <c:pt idx="160">
                  <c:v>0</c:v>
                </c:pt>
                <c:pt idx="200">
                  <c:v>20</c:v>
                </c:pt>
                <c:pt idx="240">
                  <c:v>40</c:v>
                </c:pt>
                <c:pt idx="280">
                  <c:v>60</c:v>
                </c:pt>
                <c:pt idx="320">
                  <c:v>80</c:v>
                </c:pt>
                <c:pt idx="360">
                  <c:v>100</c:v>
                </c:pt>
              </c:strCache>
            </c:strRef>
          </c:cat>
          <c:val>
            <c:numRef>
              <c:f>Diagrammdaten!$P$8:$P$388</c:f>
              <c:numCache>
                <c:formatCode>General</c:formatCode>
                <c:ptCount val="381"/>
                <c:pt idx="0">
                  <c:v>0.89241567971802027</c:v>
                </c:pt>
                <c:pt idx="1">
                  <c:v>0.93029797403040304</c:v>
                </c:pt>
                <c:pt idx="2">
                  <c:v>0.96958837381022944</c:v>
                </c:pt>
                <c:pt idx="3">
                  <c:v>1.010331934508877</c:v>
                </c:pt>
                <c:pt idx="4">
                  <c:v>1.0525749397826214</c:v>
                </c:pt>
                <c:pt idx="5">
                  <c:v>1.0963649308553405</c:v>
                </c:pt>
                <c:pt idx="6">
                  <c:v>1.1417507366031867</c:v>
                </c:pt>
                <c:pt idx="7">
                  <c:v>1.1887825043863187</c:v>
                </c:pt>
                <c:pt idx="8">
                  <c:v>1.2375117316542428</c:v>
                </c:pt>
                <c:pt idx="9">
                  <c:v>1.2879912983528754</c:v>
                </c:pt>
                <c:pt idx="10">
                  <c:v>1.340275500163288</c:v>
                </c:pt>
                <c:pt idx="11">
                  <c:v>1.3944200826039743</c:v>
                </c:pt>
                <c:pt idx="12">
                  <c:v>1.4504822760307026</c:v>
                </c:pt>
                <c:pt idx="13">
                  <c:v>1.5085208315704552</c:v>
                </c:pt>
                <c:pt idx="14">
                  <c:v>1.5685960580286391</c:v>
                </c:pt>
                <c:pt idx="15">
                  <c:v>1.6307698598119242</c:v>
                </c:pt>
                <c:pt idx="16">
                  <c:v>1.6951057759124981</c:v>
                </c:pt>
                <c:pt idx="17">
                  <c:v>1.7616690200035732</c:v>
                </c:pt>
                <c:pt idx="18">
                  <c:v>1.8305265217005857</c:v>
                </c:pt>
                <c:pt idx="19">
                  <c:v>1.901746969047835</c:v>
                </c:pt>
                <c:pt idx="20">
                  <c:v>1.9754008522965969</c:v>
                </c:pt>
                <c:pt idx="21">
                  <c:v>2.0515605090479743</c:v>
                </c:pt>
                <c:pt idx="22">
                  <c:v>2.1303001708424727</c:v>
                </c:pt>
                <c:pt idx="23">
                  <c:v>2.2116960112886028</c:v>
                </c:pt>
                <c:pt idx="24">
                  <c:v>2.2958261958352479</c:v>
                </c:pt>
                <c:pt idx="25">
                  <c:v>2.3827709333077967</c:v>
                </c:pt>
                <c:pt idx="26">
                  <c:v>2.4726125293466135</c:v>
                </c:pt>
                <c:pt idx="27">
                  <c:v>2.5654354419096896</c:v>
                </c:pt>
                <c:pt idx="28">
                  <c:v>2.6613263390304978</c:v>
                </c:pt>
                <c:pt idx="29">
                  <c:v>2.7603741590594004</c:v>
                </c:pt>
                <c:pt idx="30">
                  <c:v>2.862670173664994</c:v>
                </c:pt>
                <c:pt idx="31">
                  <c:v>2.9683080539352531</c:v>
                </c:pt>
                <c:pt idx="32">
                  <c:v>3.0773839400026244</c:v>
                </c:pt>
                <c:pt idx="33">
                  <c:v>3.1899965147323135</c:v>
                </c:pt>
                <c:pt idx="34">
                  <c:v>3.3062470821726935</c:v>
                </c:pt>
                <c:pt idx="35">
                  <c:v>3.4262396516937059</c:v>
                </c:pt>
                <c:pt idx="36">
                  <c:v>3.5500810290707134</c:v>
                </c:pt>
                <c:pt idx="37">
                  <c:v>3.6778809162695403</c:v>
                </c:pt>
                <c:pt idx="38">
                  <c:v>3.8097520224647976</c:v>
                </c:pt>
                <c:pt idx="39">
                  <c:v>3.9458101900827693</c:v>
                </c:pt>
                <c:pt idx="40">
                  <c:v>4.0861745418042217</c:v>
                </c:pt>
                <c:pt idx="41">
                  <c:v>4.2309676583365281</c:v>
                </c:pt>
                <c:pt idx="42">
                  <c:v>4.3803158042993156</c:v>
                </c:pt>
                <c:pt idx="43">
                  <c:v>4.5343492356916677</c:v>
                </c:pt>
                <c:pt idx="44">
                  <c:v>4.6932026616762457</c:v>
                </c:pt>
                <c:pt idx="45">
                  <c:v>4.8570160489607197</c:v>
                </c:pt>
                <c:pt idx="46">
                  <c:v>5.0259364249698981</c:v>
                </c:pt>
                <c:pt idx="47">
                  <c:v>5.1927198057659556</c:v>
                </c:pt>
                <c:pt idx="48">
                  <c:v>5.3064848802506397</c:v>
                </c:pt>
                <c:pt idx="49">
                  <c:v>5.4221234030281806</c:v>
                </c:pt>
                <c:pt idx="50">
                  <c:v>5.539654879524182</c:v>
                </c:pt>
                <c:pt idx="51">
                  <c:v>5.6590988759954195</c:v>
                </c:pt>
                <c:pt idx="52">
                  <c:v>5.7804750190074019</c:v>
                </c:pt>
                <c:pt idx="53">
                  <c:v>5.9038029949308406</c:v>
                </c:pt>
                <c:pt idx="54">
                  <c:v>6.0291025494573338</c:v>
                </c:pt>
                <c:pt idx="55">
                  <c:v>6.1563934871346557</c:v>
                </c:pt>
                <c:pt idx="56">
                  <c:v>6.2856956709220215</c:v>
                </c:pt>
                <c:pt idx="57">
                  <c:v>6.4170290217656518</c:v>
                </c:pt>
                <c:pt idx="58">
                  <c:v>6.5504135181950858</c:v>
                </c:pt>
                <c:pt idx="59">
                  <c:v>6.6858691959405734</c:v>
                </c:pt>
                <c:pt idx="60">
                  <c:v>6.8234161475719795</c:v>
                </c:pt>
                <c:pt idx="61">
                  <c:v>6.9630745221595642</c:v>
                </c:pt>
                <c:pt idx="62">
                  <c:v>7.1048645249570672</c:v>
                </c:pt>
                <c:pt idx="63">
                  <c:v>7.2488064171074891</c:v>
                </c:pt>
                <c:pt idx="64">
                  <c:v>7.3949205153719406</c:v>
                </c:pt>
                <c:pt idx="65">
                  <c:v>7.5432271918819795</c:v>
                </c:pt>
                <c:pt idx="66">
                  <c:v>7.6937468739157939</c:v>
                </c:pt>
                <c:pt idx="67">
                  <c:v>7.8465000436985717</c:v>
                </c:pt>
                <c:pt idx="68">
                  <c:v>8.0015072382274344</c:v>
                </c:pt>
                <c:pt idx="69">
                  <c:v>8.1587890491211841</c:v>
                </c:pt>
                <c:pt idx="70">
                  <c:v>8.3183661224951848</c:v>
                </c:pt>
                <c:pt idx="71">
                  <c:v>8.4802591588616014</c:v>
                </c:pt>
                <c:pt idx="72">
                  <c:v>8.6444889130551719</c:v>
                </c:pt>
                <c:pt idx="73">
                  <c:v>8.8110761941846807</c:v>
                </c:pt>
                <c:pt idx="74">
                  <c:v>8.9800418656102678</c:v>
                </c:pt>
                <c:pt idx="75">
                  <c:v>9.1514068449465498</c:v>
                </c:pt>
                <c:pt idx="76">
                  <c:v>9.3251921040916734</c:v>
                </c:pt>
                <c:pt idx="77">
                  <c:v>9.5014186692821738</c:v>
                </c:pt>
                <c:pt idx="78">
                  <c:v>9.680107621173665</c:v>
                </c:pt>
                <c:pt idx="79">
                  <c:v>9.8612800949471033</c:v>
                </c:pt>
                <c:pt idx="80">
                  <c:v>10.044957280440851</c:v>
                </c:pt>
                <c:pt idx="81">
                  <c:v>10.231160422307985</c:v>
                </c:pt>
                <c:pt idx="82">
                  <c:v>10.419910820198993</c:v>
                </c:pt>
                <c:pt idx="83">
                  <c:v>10.611229828969988</c:v>
                </c:pt>
                <c:pt idx="84">
                  <c:v>10.805138858915866</c:v>
                </c:pt>
                <c:pt idx="85">
                  <c:v>11.001659376028829</c:v>
                </c:pt>
                <c:pt idx="86">
                  <c:v>11.200812902282449</c:v>
                </c:pt>
                <c:pt idx="87">
                  <c:v>11.402621015941182</c:v>
                </c:pt>
                <c:pt idx="88">
                  <c:v>11.60710535189593</c:v>
                </c:pt>
                <c:pt idx="89">
                  <c:v>11.814287602026154</c:v>
                </c:pt>
                <c:pt idx="90">
                  <c:v>12.024189515588898</c:v>
                </c:pt>
                <c:pt idx="91">
                  <c:v>12.236832899636186</c:v>
                </c:pt>
                <c:pt idx="92">
                  <c:v>12.452239619461134</c:v>
                </c:pt>
                <c:pt idx="93">
                  <c:v>12.670431599074488</c:v>
                </c:pt>
                <c:pt idx="94">
                  <c:v>12.891430821713051</c:v>
                </c:pt>
                <c:pt idx="95">
                  <c:v>13.115259330381436</c:v>
                </c:pt>
                <c:pt idx="96">
                  <c:v>13.341939228429226</c:v>
                </c:pt>
                <c:pt idx="97">
                  <c:v>13.57149268016556</c:v>
                </c:pt>
                <c:pt idx="98">
                  <c:v>13.803941911513528</c:v>
                </c:pt>
                <c:pt idx="99">
                  <c:v>14.039309210706827</c:v>
                </c:pt>
                <c:pt idx="100">
                  <c:v>14.277616929031305</c:v>
                </c:pt>
                <c:pt idx="101">
                  <c:v>14.518887481614144</c:v>
                </c:pt>
                <c:pt idx="102">
                  <c:v>14.763143348263691</c:v>
                </c:pt>
                <c:pt idx="103">
                  <c:v>15.01040707436286</c:v>
                </c:pt>
                <c:pt idx="104">
                  <c:v>15.260701271819112</c:v>
                </c:pt>
                <c:pt idx="105">
                  <c:v>15.514048620074346</c:v>
                </c:pt>
                <c:pt idx="106">
                  <c:v>15.770471867177426</c:v>
                </c:pt>
                <c:pt idx="107">
                  <c:v>16.029993830922614</c:v>
                </c:pt>
                <c:pt idx="108">
                  <c:v>16.292637400056993</c:v>
                </c:pt>
                <c:pt idx="109">
                  <c:v>16.558425535559685</c:v>
                </c:pt>
                <c:pt idx="110">
                  <c:v>16.827381271995694</c:v>
                </c:pt>
                <c:pt idx="111">
                  <c:v>17.099527718947119</c:v>
                </c:pt>
                <c:pt idx="112">
                  <c:v>17.374888062524249</c:v>
                </c:pt>
                <c:pt idx="113">
                  <c:v>17.65348556695907</c:v>
                </c:pt>
                <c:pt idx="114">
                  <c:v>17.935343576283362</c:v>
                </c:pt>
                <c:pt idx="115">
                  <c:v>18.220485516093508</c:v>
                </c:pt>
                <c:pt idx="116">
                  <c:v>18.508934895403964</c:v>
                </c:pt>
                <c:pt idx="117">
                  <c:v>18.800715308591172</c:v>
                </c:pt>
                <c:pt idx="118">
                  <c:v>19.095850437429569</c:v>
                </c:pt>
                <c:pt idx="119">
                  <c:v>19.394364053221242</c:v>
                </c:pt>
                <c:pt idx="120">
                  <c:v>19.696280019020698</c:v>
                </c:pt>
                <c:pt idx="121">
                  <c:v>20.001622291955982</c:v>
                </c:pt>
                <c:pt idx="122">
                  <c:v>20.310414925647429</c:v>
                </c:pt>
                <c:pt idx="123">
                  <c:v>20.622682072725492</c:v>
                </c:pt>
                <c:pt idx="124">
                  <c:v>20.938447987448733</c:v>
                </c:pt>
                <c:pt idx="125">
                  <c:v>21.257737028423293</c:v>
                </c:pt>
                <c:pt idx="126">
                  <c:v>21.580573661425333</c:v>
                </c:pt>
                <c:pt idx="127">
                  <c:v>21.906982462327871</c:v>
                </c:pt>
                <c:pt idx="128">
                  <c:v>22.236988120133816</c:v>
                </c:pt>
                <c:pt idx="129">
                  <c:v>22.570615440116931</c:v>
                </c:pt>
                <c:pt idx="130">
                  <c:v>22.90788934707302</c:v>
                </c:pt>
                <c:pt idx="131">
                  <c:v>23.248834888683721</c:v>
                </c:pt>
                <c:pt idx="132">
                  <c:v>23.593477238995661</c:v>
                </c:pt>
                <c:pt idx="133">
                  <c:v>23.941841702018358</c:v>
                </c:pt>
                <c:pt idx="134">
                  <c:v>24.293953715444392</c:v>
                </c:pt>
                <c:pt idx="135">
                  <c:v>24.649838854496167</c:v>
                </c:pt>
                <c:pt idx="136">
                  <c:v>25.00952283590393</c:v>
                </c:pt>
                <c:pt idx="137">
                  <c:v>25.373031522020629</c:v>
                </c:pt>
                <c:pt idx="138">
                  <c:v>25.740390925079538</c:v>
                </c:pt>
                <c:pt idx="139">
                  <c:v>26.111627211601697</c:v>
                </c:pt>
                <c:pt idx="140">
                  <c:v>26.486766706960875</c:v>
                </c:pt>
                <c:pt idx="141">
                  <c:v>26.865835900114593</c:v>
                </c:pt>
                <c:pt idx="142">
                  <c:v>27.248861448510997</c:v>
                </c:pt>
                <c:pt idx="143">
                  <c:v>27.635870183182206</c:v>
                </c:pt>
                <c:pt idx="144">
                  <c:v>28.026889114035942</c:v>
                </c:pt>
                <c:pt idx="145">
                  <c:v>28.421945435358584</c:v>
                </c:pt>
                <c:pt idx="146">
                  <c:v>28.821066531543856</c:v>
                </c:pt>
                <c:pt idx="147">
                  <c:v>29.224279983062953</c:v>
                </c:pt>
                <c:pt idx="148">
                  <c:v>29.631613572693674</c:v>
                </c:pt>
                <c:pt idx="149">
                  <c:v>30.043095292026621</c:v>
                </c:pt>
                <c:pt idx="150">
                  <c:v>30.458753348268996</c:v>
                </c:pt>
                <c:pt idx="151">
                  <c:v>30.878616171368314</c:v>
                </c:pt>
                <c:pt idx="152">
                  <c:v>31.302712421479345</c:v>
                </c:pt>
                <c:pt idx="153">
                  <c:v>31.731070996799659</c:v>
                </c:pt>
                <c:pt idx="154">
                  <c:v>32.163721041800734</c:v>
                </c:pt>
                <c:pt idx="155">
                  <c:v>32.600691955883526</c:v>
                </c:pt>
                <c:pt idx="156">
                  <c:v>33.042013402488855</c:v>
                </c:pt>
                <c:pt idx="157">
                  <c:v>33.487715318694562</c:v>
                </c:pt>
                <c:pt idx="158">
                  <c:v>33.937827925332847</c:v>
                </c:pt>
                <c:pt idx="159">
                  <c:v>34.39238173766244</c:v>
                </c:pt>
                <c:pt idx="160">
                  <c:v>34.851407576631608</c:v>
                </c:pt>
                <c:pt idx="161">
                  <c:v>35.314936580768631</c:v>
                </c:pt>
                <c:pt idx="162">
                  <c:v>35.783000218737484</c:v>
                </c:pt>
                <c:pt idx="163">
                  <c:v>36.255630302596593</c:v>
                </c:pt>
                <c:pt idx="164">
                  <c:v>36.732859001798673</c:v>
                </c:pt>
                <c:pt idx="165">
                  <c:v>37.214718857969494</c:v>
                </c:pt>
                <c:pt idx="166">
                  <c:v>37.701242800504772</c:v>
                </c:pt>
                <c:pt idx="167">
                  <c:v>38.192464163019899</c:v>
                </c:pt>
                <c:pt idx="168">
                  <c:v>38.688416700693111</c:v>
                </c:pt>
                <c:pt idx="169">
                  <c:v>39.189134608534893</c:v>
                </c:pt>
                <c:pt idx="170">
                  <c:v>39.694652540623991</c:v>
                </c:pt>
                <c:pt idx="171">
                  <c:v>40.205005630345198</c:v>
                </c:pt>
                <c:pt idx="172">
                  <c:v>40.720229511669196</c:v>
                </c:pt>
                <c:pt idx="173">
                  <c:v>41.240360341517039</c:v>
                </c:pt>
                <c:pt idx="174">
                  <c:v>41.765434823257834</c:v>
                </c:pt>
                <c:pt idx="175">
                  <c:v>42.295490231395377</c:v>
                </c:pt>
                <c:pt idx="176">
                  <c:v>42.830564437512301</c:v>
                </c:pt>
                <c:pt idx="177">
                  <c:v>43.370695937558452</c:v>
                </c:pt>
                <c:pt idx="178">
                  <c:v>43.915923880589062</c:v>
                </c:pt>
                <c:pt idx="179">
                  <c:v>44.466288099091834</c:v>
                </c:pt>
                <c:pt idx="180">
                  <c:v>45.021829141077745</c:v>
                </c:pt>
                <c:pt idx="181">
                  <c:v>45.58258830415997</c:v>
                </c:pt>
                <c:pt idx="182">
                  <c:v>46.148607671903456</c:v>
                </c:pt>
                <c:pt idx="183">
                  <c:v>46.719930152803094</c:v>
                </c:pt>
                <c:pt idx="184">
                  <c:v>47.296599522332883</c:v>
                </c:pt>
                <c:pt idx="185">
                  <c:v>47.878660468614633</c:v>
                </c:pt>
                <c:pt idx="186">
                  <c:v>48.466158642374708</c:v>
                </c:pt>
                <c:pt idx="187">
                  <c:v>49.059140711995113</c:v>
                </c:pt>
                <c:pt idx="188">
                  <c:v>49.657654424620681</c:v>
                </c:pt>
                <c:pt idx="189">
                  <c:v>50.261748674457117</c:v>
                </c:pt>
                <c:pt idx="190">
                  <c:v>50.871473579579622</c:v>
                </c:pt>
                <c:pt idx="191">
                  <c:v>51.486880568765706</c:v>
                </c:pt>
                <c:pt idx="192">
                  <c:v>52.108022480067454</c:v>
                </c:pt>
                <c:pt idx="193">
                  <c:v>52.734953673028897</c:v>
                </c:pt>
                <c:pt idx="194">
                  <c:v>53.367730156634174</c:v>
                </c:pt>
                <c:pt idx="195">
                  <c:v>54.006409735221233</c:v>
                </c:pt>
                <c:pt idx="196">
                  <c:v>54.651052174703032</c:v>
                </c:pt>
                <c:pt idx="197">
                  <c:v>55.301719391487829</c:v>
                </c:pt>
                <c:pt idx="198">
                  <c:v>55.958475666473511</c:v>
                </c:pt>
                <c:pt idx="199">
                  <c:v>56.621387886405877</c:v>
                </c:pt>
                <c:pt idx="200">
                  <c:v>57.290525814751483</c:v>
                </c:pt>
                <c:pt idx="201">
                  <c:v>57.965962394091143</c:v>
                </c:pt>
                <c:pt idx="202">
                  <c:v>58.64777408198038</c:v>
                </c:pt>
                <c:pt idx="203">
                  <c:v>59.336041222435689</c:v>
                </c:pt>
                <c:pt idx="204">
                  <c:v>60.030848455969853</c:v>
                </c:pt>
                <c:pt idx="205">
                  <c:v>60.732285172919006</c:v>
                </c:pt>
                <c:pt idx="206">
                  <c:v>61.44044601842505</c:v>
                </c:pt>
                <c:pt idx="207">
                  <c:v>62.155431464028673</c:v>
                </c:pt>
                <c:pt idx="208">
                  <c:v>62.877348472157799</c:v>
                </c:pt>
                <c:pt idx="209">
                  <c:v>63.606311298432871</c:v>
                </c:pt>
                <c:pt idx="210">
                  <c:v>64.342442506404197</c:v>
                </c:pt>
                <c:pt idx="211">
                  <c:v>65.085874315255694</c:v>
                </c:pt>
                <c:pt idx="212">
                  <c:v>65.836750470125125</c:v>
                </c:pt>
                <c:pt idx="213">
                  <c:v>66.595228926019871</c:v>
                </c:pt>
                <c:pt idx="214">
                  <c:v>67.361485781846483</c:v>
                </c:pt>
                <c:pt idx="215">
                  <c:v>68.135721110480731</c:v>
                </c:pt>
                <c:pt idx="216">
                  <c:v>68.918167651264497</c:v>
                </c:pt>
                <c:pt idx="217">
                  <c:v>69.709103911971511</c:v>
                </c:pt>
                <c:pt idx="218">
                  <c:v>70.508874587106746</c:v>
                </c:pt>
                <c:pt idx="219">
                  <c:v>71.317925280192156</c:v>
                </c:pt>
                <c:pt idx="220">
                  <c:v>72.136873827311533</c:v>
                </c:pt>
                <c:pt idx="221">
                  <c:v>72.966718261209081</c:v>
                </c:pt>
                <c:pt idx="222">
                  <c:v>73.772983734467516</c:v>
                </c:pt>
                <c:pt idx="223">
                  <c:v>73.772983734467516</c:v>
                </c:pt>
                <c:pt idx="224">
                  <c:v>73.772983734467516</c:v>
                </c:pt>
                <c:pt idx="225">
                  <c:v>73.772983734467516</c:v>
                </c:pt>
                <c:pt idx="226">
                  <c:v>73.772983734467516</c:v>
                </c:pt>
                <c:pt idx="227">
                  <c:v>73.772983734467516</c:v>
                </c:pt>
                <c:pt idx="228">
                  <c:v>73.772983734467516</c:v>
                </c:pt>
                <c:pt idx="229">
                  <c:v>73.772983734467516</c:v>
                </c:pt>
                <c:pt idx="230">
                  <c:v>73.772983734467516</c:v>
                </c:pt>
                <c:pt idx="231">
                  <c:v>73.772983734467516</c:v>
                </c:pt>
                <c:pt idx="232">
                  <c:v>73.772983734467516</c:v>
                </c:pt>
                <c:pt idx="233">
                  <c:v>73.772983734467516</c:v>
                </c:pt>
                <c:pt idx="234">
                  <c:v>73.772983734467516</c:v>
                </c:pt>
                <c:pt idx="235">
                  <c:v>73.772983734467516</c:v>
                </c:pt>
                <c:pt idx="236">
                  <c:v>73.772983734467516</c:v>
                </c:pt>
                <c:pt idx="237">
                  <c:v>73.772983734467516</c:v>
                </c:pt>
                <c:pt idx="238">
                  <c:v>73.772983734467516</c:v>
                </c:pt>
                <c:pt idx="239">
                  <c:v>73.772983734467516</c:v>
                </c:pt>
                <c:pt idx="240">
                  <c:v>73.772983734467516</c:v>
                </c:pt>
                <c:pt idx="241">
                  <c:v>73.772983734467516</c:v>
                </c:pt>
                <c:pt idx="242">
                  <c:v>73.772983734467516</c:v>
                </c:pt>
                <c:pt idx="243">
                  <c:v>73.772983734467516</c:v>
                </c:pt>
                <c:pt idx="244">
                  <c:v>73.772983734467516</c:v>
                </c:pt>
                <c:pt idx="245">
                  <c:v>73.772983734467516</c:v>
                </c:pt>
                <c:pt idx="246">
                  <c:v>73.772983734467516</c:v>
                </c:pt>
                <c:pt idx="247">
                  <c:v>73.772983734467516</c:v>
                </c:pt>
                <c:pt idx="248">
                  <c:v>73.772983734467516</c:v>
                </c:pt>
                <c:pt idx="249">
                  <c:v>73.772983734467516</c:v>
                </c:pt>
                <c:pt idx="250">
                  <c:v>73.772983734467516</c:v>
                </c:pt>
                <c:pt idx="251">
                  <c:v>73.772983734467516</c:v>
                </c:pt>
                <c:pt idx="252">
                  <c:v>73.772983734467516</c:v>
                </c:pt>
                <c:pt idx="253">
                  <c:v>73.772983734467516</c:v>
                </c:pt>
                <c:pt idx="254">
                  <c:v>73.772983734467516</c:v>
                </c:pt>
                <c:pt idx="255">
                  <c:v>73.772983734467516</c:v>
                </c:pt>
                <c:pt idx="256">
                  <c:v>73.772983734467516</c:v>
                </c:pt>
                <c:pt idx="257">
                  <c:v>73.772983734467516</c:v>
                </c:pt>
                <c:pt idx="258">
                  <c:v>73.772983734467516</c:v>
                </c:pt>
                <c:pt idx="259">
                  <c:v>73.772983734467516</c:v>
                </c:pt>
                <c:pt idx="260">
                  <c:v>73.772983734467516</c:v>
                </c:pt>
                <c:pt idx="261">
                  <c:v>73.772983734467516</c:v>
                </c:pt>
                <c:pt idx="262">
                  <c:v>73.772983734467516</c:v>
                </c:pt>
                <c:pt idx="263">
                  <c:v>73.772983734467516</c:v>
                </c:pt>
                <c:pt idx="264">
                  <c:v>73.772983734467516</c:v>
                </c:pt>
                <c:pt idx="265">
                  <c:v>73.772983734467516</c:v>
                </c:pt>
                <c:pt idx="266">
                  <c:v>73.772983734467516</c:v>
                </c:pt>
                <c:pt idx="267">
                  <c:v>73.772983734467516</c:v>
                </c:pt>
                <c:pt idx="268">
                  <c:v>73.772983734467516</c:v>
                </c:pt>
                <c:pt idx="269">
                  <c:v>73.772983734467516</c:v>
                </c:pt>
                <c:pt idx="270">
                  <c:v>73.772983734467516</c:v>
                </c:pt>
                <c:pt idx="271">
                  <c:v>73.772983734467516</c:v>
                </c:pt>
                <c:pt idx="272">
                  <c:v>73.772983734467516</c:v>
                </c:pt>
                <c:pt idx="273">
                  <c:v>73.772983734467516</c:v>
                </c:pt>
                <c:pt idx="274">
                  <c:v>73.772983734467516</c:v>
                </c:pt>
                <c:pt idx="275">
                  <c:v>73.772983734467516</c:v>
                </c:pt>
                <c:pt idx="276">
                  <c:v>73.772983734467516</c:v>
                </c:pt>
                <c:pt idx="277">
                  <c:v>73.772983734467516</c:v>
                </c:pt>
                <c:pt idx="278">
                  <c:v>73.772983734467516</c:v>
                </c:pt>
                <c:pt idx="279">
                  <c:v>73.772983734467516</c:v>
                </c:pt>
                <c:pt idx="280">
                  <c:v>73.772983734467516</c:v>
                </c:pt>
                <c:pt idx="281">
                  <c:v>73.772983734467516</c:v>
                </c:pt>
                <c:pt idx="282">
                  <c:v>73.772983734467516</c:v>
                </c:pt>
                <c:pt idx="283">
                  <c:v>73.772983734467516</c:v>
                </c:pt>
                <c:pt idx="284">
                  <c:v>73.772983734467516</c:v>
                </c:pt>
                <c:pt idx="285">
                  <c:v>73.772983734467516</c:v>
                </c:pt>
                <c:pt idx="286">
                  <c:v>73.772983734467516</c:v>
                </c:pt>
                <c:pt idx="287">
                  <c:v>73.772983734467516</c:v>
                </c:pt>
                <c:pt idx="288">
                  <c:v>73.772983734467516</c:v>
                </c:pt>
                <c:pt idx="289">
                  <c:v>73.772983734467516</c:v>
                </c:pt>
                <c:pt idx="290">
                  <c:v>73.772983734467516</c:v>
                </c:pt>
                <c:pt idx="291">
                  <c:v>73.772983734467516</c:v>
                </c:pt>
                <c:pt idx="292">
                  <c:v>73.772983734467516</c:v>
                </c:pt>
                <c:pt idx="293">
                  <c:v>73.772983734467516</c:v>
                </c:pt>
                <c:pt idx="294">
                  <c:v>73.772983734467516</c:v>
                </c:pt>
                <c:pt idx="295">
                  <c:v>73.772983734467516</c:v>
                </c:pt>
                <c:pt idx="296">
                  <c:v>73.772983734467516</c:v>
                </c:pt>
                <c:pt idx="297">
                  <c:v>73.772983734467516</c:v>
                </c:pt>
                <c:pt idx="298">
                  <c:v>73.772983734467516</c:v>
                </c:pt>
                <c:pt idx="299">
                  <c:v>73.772983734467516</c:v>
                </c:pt>
                <c:pt idx="300">
                  <c:v>73.772983734467516</c:v>
                </c:pt>
                <c:pt idx="301">
                  <c:v>73.772983734467516</c:v>
                </c:pt>
                <c:pt idx="302">
                  <c:v>73.772983734467516</c:v>
                </c:pt>
                <c:pt idx="303">
                  <c:v>73.772983734467516</c:v>
                </c:pt>
                <c:pt idx="304">
                  <c:v>73.772983734467516</c:v>
                </c:pt>
                <c:pt idx="305">
                  <c:v>73.772983734467516</c:v>
                </c:pt>
                <c:pt idx="306">
                  <c:v>73.772983734467516</c:v>
                </c:pt>
                <c:pt idx="307">
                  <c:v>73.772983734467516</c:v>
                </c:pt>
                <c:pt idx="308">
                  <c:v>73.772983734467516</c:v>
                </c:pt>
                <c:pt idx="309">
                  <c:v>73.772983734467516</c:v>
                </c:pt>
                <c:pt idx="310">
                  <c:v>73.772983734467516</c:v>
                </c:pt>
                <c:pt idx="311">
                  <c:v>73.772983734467516</c:v>
                </c:pt>
                <c:pt idx="312">
                  <c:v>73.772983734467516</c:v>
                </c:pt>
                <c:pt idx="313">
                  <c:v>73.772983734467516</c:v>
                </c:pt>
                <c:pt idx="314">
                  <c:v>73.772983734467516</c:v>
                </c:pt>
                <c:pt idx="315">
                  <c:v>73.772983734467516</c:v>
                </c:pt>
                <c:pt idx="316">
                  <c:v>73.772983734467516</c:v>
                </c:pt>
                <c:pt idx="317">
                  <c:v>73.772983734467516</c:v>
                </c:pt>
                <c:pt idx="318">
                  <c:v>73.772983734467516</c:v>
                </c:pt>
                <c:pt idx="319">
                  <c:v>73.772983734467516</c:v>
                </c:pt>
                <c:pt idx="320">
                  <c:v>73.772983734467516</c:v>
                </c:pt>
                <c:pt idx="321">
                  <c:v>73.772983734467516</c:v>
                </c:pt>
                <c:pt idx="322">
                  <c:v>73.772983734467516</c:v>
                </c:pt>
                <c:pt idx="323">
                  <c:v>73.772983734467516</c:v>
                </c:pt>
                <c:pt idx="324">
                  <c:v>73.772983734467516</c:v>
                </c:pt>
                <c:pt idx="325">
                  <c:v>73.772983734467516</c:v>
                </c:pt>
                <c:pt idx="326">
                  <c:v>73.772983734467516</c:v>
                </c:pt>
                <c:pt idx="327">
                  <c:v>73.772983734467516</c:v>
                </c:pt>
                <c:pt idx="328">
                  <c:v>73.772983734467516</c:v>
                </c:pt>
                <c:pt idx="329">
                  <c:v>73.772983734467516</c:v>
                </c:pt>
                <c:pt idx="330">
                  <c:v>73.772983734467516</c:v>
                </c:pt>
                <c:pt idx="331">
                  <c:v>73.772983734467516</c:v>
                </c:pt>
                <c:pt idx="332">
                  <c:v>73.772983734467516</c:v>
                </c:pt>
                <c:pt idx="333">
                  <c:v>73.772983734467516</c:v>
                </c:pt>
                <c:pt idx="334">
                  <c:v>73.772983734467516</c:v>
                </c:pt>
                <c:pt idx="335">
                  <c:v>73.772983734467516</c:v>
                </c:pt>
                <c:pt idx="336">
                  <c:v>73.772983734467516</c:v>
                </c:pt>
                <c:pt idx="337">
                  <c:v>73.772983734467516</c:v>
                </c:pt>
                <c:pt idx="338">
                  <c:v>73.772983734467516</c:v>
                </c:pt>
                <c:pt idx="339">
                  <c:v>73.772983734467516</c:v>
                </c:pt>
                <c:pt idx="340">
                  <c:v>73.772983734467516</c:v>
                </c:pt>
                <c:pt idx="341">
                  <c:v>73.772983734467516</c:v>
                </c:pt>
                <c:pt idx="342">
                  <c:v>73.772983734467516</c:v>
                </c:pt>
                <c:pt idx="343">
                  <c:v>73.772983734467516</c:v>
                </c:pt>
                <c:pt idx="344">
                  <c:v>73.772983734467516</c:v>
                </c:pt>
                <c:pt idx="345">
                  <c:v>73.772983734467516</c:v>
                </c:pt>
                <c:pt idx="346">
                  <c:v>73.772983734467516</c:v>
                </c:pt>
                <c:pt idx="347">
                  <c:v>73.772983734467516</c:v>
                </c:pt>
                <c:pt idx="348">
                  <c:v>73.772983734467516</c:v>
                </c:pt>
                <c:pt idx="349">
                  <c:v>73.772983734467516</c:v>
                </c:pt>
                <c:pt idx="350">
                  <c:v>73.772983734467516</c:v>
                </c:pt>
                <c:pt idx="351">
                  <c:v>73.772983734467516</c:v>
                </c:pt>
                <c:pt idx="352">
                  <c:v>73.772983734467516</c:v>
                </c:pt>
                <c:pt idx="353">
                  <c:v>73.772983734467516</c:v>
                </c:pt>
                <c:pt idx="354">
                  <c:v>73.772983734467516</c:v>
                </c:pt>
                <c:pt idx="355">
                  <c:v>73.772983734467516</c:v>
                </c:pt>
                <c:pt idx="356">
                  <c:v>73.772983734467516</c:v>
                </c:pt>
                <c:pt idx="357">
                  <c:v>73.772983734467516</c:v>
                </c:pt>
                <c:pt idx="358">
                  <c:v>73.772983734467516</c:v>
                </c:pt>
                <c:pt idx="359">
                  <c:v>73.772983734467516</c:v>
                </c:pt>
                <c:pt idx="360">
                  <c:v>73.772983734467516</c:v>
                </c:pt>
                <c:pt idx="361">
                  <c:v>73.772983734467516</c:v>
                </c:pt>
                <c:pt idx="362">
                  <c:v>73.772983734467516</c:v>
                </c:pt>
                <c:pt idx="363">
                  <c:v>73.772983734467516</c:v>
                </c:pt>
                <c:pt idx="364">
                  <c:v>73.772983734467516</c:v>
                </c:pt>
                <c:pt idx="365">
                  <c:v>73.772983734467516</c:v>
                </c:pt>
                <c:pt idx="366">
                  <c:v>73.772983734467516</c:v>
                </c:pt>
                <c:pt idx="367">
                  <c:v>73.772983734467516</c:v>
                </c:pt>
                <c:pt idx="368">
                  <c:v>73.772983734467516</c:v>
                </c:pt>
                <c:pt idx="369">
                  <c:v>73.772983734467516</c:v>
                </c:pt>
                <c:pt idx="370">
                  <c:v>73.772983734467516</c:v>
                </c:pt>
                <c:pt idx="371">
                  <c:v>73.772983734467516</c:v>
                </c:pt>
                <c:pt idx="372">
                  <c:v>73.772983734467516</c:v>
                </c:pt>
                <c:pt idx="373">
                  <c:v>73.772983734467516</c:v>
                </c:pt>
                <c:pt idx="374">
                  <c:v>73.772983734467516</c:v>
                </c:pt>
                <c:pt idx="375">
                  <c:v>73.772983734467516</c:v>
                </c:pt>
                <c:pt idx="376">
                  <c:v>73.772983734467516</c:v>
                </c:pt>
                <c:pt idx="377">
                  <c:v>73.772983734467516</c:v>
                </c:pt>
                <c:pt idx="378">
                  <c:v>73.772983734467516</c:v>
                </c:pt>
                <c:pt idx="379">
                  <c:v>73.772983734467516</c:v>
                </c:pt>
                <c:pt idx="380">
                  <c:v>73.772983734467516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9B-4878-9126-9B164879F278}"/>
            </c:ext>
          </c:extLst>
        </c:ser>
        <c:ser>
          <c:idx val="2"/>
          <c:order val="1"/>
          <c:tx>
            <c:strRef>
              <c:f>Diagrammdaten!$Q$7</c:f>
              <c:strCache>
                <c:ptCount val="1"/>
                <c:pt idx="0">
                  <c:v>flüssig [bar]</c:v>
                </c:pt>
              </c:strCache>
            </c:strRef>
          </c:tx>
          <c:spPr>
            <a:solidFill>
              <a:srgbClr val="D9EAD3"/>
            </a:solidFill>
            <a:ln>
              <a:noFill/>
            </a:ln>
          </c:spPr>
          <c:cat>
            <c:strRef>
              <c:f>Diagrammdaten!$C$8:$C$388</c:f>
              <c:strCache>
                <c:ptCount val="361"/>
                <c:pt idx="0">
                  <c:v>-80</c:v>
                </c:pt>
                <c:pt idx="40">
                  <c:v>-60</c:v>
                </c:pt>
                <c:pt idx="80">
                  <c:v>-40</c:v>
                </c:pt>
                <c:pt idx="120">
                  <c:v>-20</c:v>
                </c:pt>
                <c:pt idx="160">
                  <c:v>0</c:v>
                </c:pt>
                <c:pt idx="200">
                  <c:v>20</c:v>
                </c:pt>
                <c:pt idx="240">
                  <c:v>40</c:v>
                </c:pt>
                <c:pt idx="280">
                  <c:v>60</c:v>
                </c:pt>
                <c:pt idx="320">
                  <c:v>80</c:v>
                </c:pt>
                <c:pt idx="360">
                  <c:v>100</c:v>
                </c:pt>
              </c:strCache>
            </c:strRef>
          </c:cat>
          <c:val>
            <c:numRef>
              <c:f>Diagrammdaten!$Q$8:$Q$388</c:f>
              <c:numCache>
                <c:formatCode>General</c:formatCode>
                <c:ptCount val="3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2.7000757855221309</c:v>
                </c:pt>
                <c:pt idx="48">
                  <c:v>26.038871578846255</c:v>
                </c:pt>
                <c:pt idx="49">
                  <c:v>49.489267287089461</c:v>
                </c:pt>
                <c:pt idx="50">
                  <c:v>73.051243404821633</c:v>
                </c:pt>
                <c:pt idx="51">
                  <c:v>96.724780365788234</c:v>
                </c:pt>
                <c:pt idx="52">
                  <c:v>120.50985854342602</c:v>
                </c:pt>
                <c:pt idx="53">
                  <c:v>144.40645825135979</c:v>
                </c:pt>
                <c:pt idx="54">
                  <c:v>168.41455974390246</c:v>
                </c:pt>
                <c:pt idx="55">
                  <c:v>192.53414321650163</c:v>
                </c:pt>
                <c:pt idx="56">
                  <c:v>216.76518880620046</c:v>
                </c:pt>
                <c:pt idx="57">
                  <c:v>241.10767659205504</c:v>
                </c:pt>
                <c:pt idx="58">
                  <c:v>243.44958648180491</c:v>
                </c:pt>
                <c:pt idx="59">
                  <c:v>243.31413080405943</c:v>
                </c:pt>
                <c:pt idx="60">
                  <c:v>243.17658385242802</c:v>
                </c:pt>
                <c:pt idx="61">
                  <c:v>243.03692547784044</c:v>
                </c:pt>
                <c:pt idx="62">
                  <c:v>242.89513547504293</c:v>
                </c:pt>
                <c:pt idx="63">
                  <c:v>242.75119358289251</c:v>
                </c:pt>
                <c:pt idx="64">
                  <c:v>242.60507948462805</c:v>
                </c:pt>
                <c:pt idx="65">
                  <c:v>242.45677280811802</c:v>
                </c:pt>
                <c:pt idx="66">
                  <c:v>242.30625312608421</c:v>
                </c:pt>
                <c:pt idx="67">
                  <c:v>242.15349995630143</c:v>
                </c:pt>
                <c:pt idx="68">
                  <c:v>241.99849276177255</c:v>
                </c:pt>
                <c:pt idx="69">
                  <c:v>241.8412109508788</c:v>
                </c:pt>
                <c:pt idx="70">
                  <c:v>241.68163387750482</c:v>
                </c:pt>
                <c:pt idx="71">
                  <c:v>241.5197408411384</c:v>
                </c:pt>
                <c:pt idx="72">
                  <c:v>241.35551108694483</c:v>
                </c:pt>
                <c:pt idx="73">
                  <c:v>241.18892380581531</c:v>
                </c:pt>
                <c:pt idx="74">
                  <c:v>241.01995813438973</c:v>
                </c:pt>
                <c:pt idx="75">
                  <c:v>240.84859315505344</c:v>
                </c:pt>
                <c:pt idx="76">
                  <c:v>240.67480789590832</c:v>
                </c:pt>
                <c:pt idx="77">
                  <c:v>240.49858133071783</c:v>
                </c:pt>
                <c:pt idx="78">
                  <c:v>240.31989237882632</c:v>
                </c:pt>
                <c:pt idx="79">
                  <c:v>240.13871990505291</c:v>
                </c:pt>
                <c:pt idx="80">
                  <c:v>239.95504271955915</c:v>
                </c:pt>
                <c:pt idx="81">
                  <c:v>239.76883957769201</c:v>
                </c:pt>
                <c:pt idx="82">
                  <c:v>239.58008917980101</c:v>
                </c:pt>
                <c:pt idx="83">
                  <c:v>239.38877017103002</c:v>
                </c:pt>
                <c:pt idx="84">
                  <c:v>239.19486114108415</c:v>
                </c:pt>
                <c:pt idx="85">
                  <c:v>238.99834062397116</c:v>
                </c:pt>
                <c:pt idx="86">
                  <c:v>238.79918709771755</c:v>
                </c:pt>
                <c:pt idx="87">
                  <c:v>238.59737898405882</c:v>
                </c:pt>
                <c:pt idx="88">
                  <c:v>238.39289464810406</c:v>
                </c:pt>
                <c:pt idx="89">
                  <c:v>238.18571239797384</c:v>
                </c:pt>
                <c:pt idx="90">
                  <c:v>237.97581048441111</c:v>
                </c:pt>
                <c:pt idx="91">
                  <c:v>237.7631671003638</c:v>
                </c:pt>
                <c:pt idx="92">
                  <c:v>237.54776038053888</c:v>
                </c:pt>
                <c:pt idx="93">
                  <c:v>237.32956840092552</c:v>
                </c:pt>
                <c:pt idx="94">
                  <c:v>237.10856917828696</c:v>
                </c:pt>
                <c:pt idx="95">
                  <c:v>236.88474066961857</c:v>
                </c:pt>
                <c:pt idx="96">
                  <c:v>236.65806077157077</c:v>
                </c:pt>
                <c:pt idx="97">
                  <c:v>236.42850731983444</c:v>
                </c:pt>
                <c:pt idx="98">
                  <c:v>236.19605808848647</c:v>
                </c:pt>
                <c:pt idx="99">
                  <c:v>235.96069078929318</c:v>
                </c:pt>
                <c:pt idx="100">
                  <c:v>235.7223830709687</c:v>
                </c:pt>
                <c:pt idx="101">
                  <c:v>235.48111251838586</c:v>
                </c:pt>
                <c:pt idx="102">
                  <c:v>235.2368566517363</c:v>
                </c:pt>
                <c:pt idx="103">
                  <c:v>234.98959292563714</c:v>
                </c:pt>
                <c:pt idx="104">
                  <c:v>234.7392987281809</c:v>
                </c:pt>
                <c:pt idx="105">
                  <c:v>234.48595137992567</c:v>
                </c:pt>
                <c:pt idx="106">
                  <c:v>234.22952813282257</c:v>
                </c:pt>
                <c:pt idx="107">
                  <c:v>233.97000616907738</c:v>
                </c:pt>
                <c:pt idx="108">
                  <c:v>233.707362599943</c:v>
                </c:pt>
                <c:pt idx="109">
                  <c:v>233.44157446444032</c:v>
                </c:pt>
                <c:pt idx="110">
                  <c:v>233.1726187280043</c:v>
                </c:pt>
                <c:pt idx="111">
                  <c:v>232.90047228105288</c:v>
                </c:pt>
                <c:pt idx="112">
                  <c:v>232.62511193747576</c:v>
                </c:pt>
                <c:pt idx="113">
                  <c:v>232.34651443304094</c:v>
                </c:pt>
                <c:pt idx="114">
                  <c:v>232.06465642371663</c:v>
                </c:pt>
                <c:pt idx="115">
                  <c:v>231.7795144839065</c:v>
                </c:pt>
                <c:pt idx="116">
                  <c:v>231.49106510459603</c:v>
                </c:pt>
                <c:pt idx="117">
                  <c:v>231.19928469140882</c:v>
                </c:pt>
                <c:pt idx="118">
                  <c:v>230.90414956257044</c:v>
                </c:pt>
                <c:pt idx="119">
                  <c:v>230.60563594677876</c:v>
                </c:pt>
                <c:pt idx="120">
                  <c:v>230.30371998097931</c:v>
                </c:pt>
                <c:pt idx="121">
                  <c:v>229.99837770804402</c:v>
                </c:pt>
                <c:pt idx="122">
                  <c:v>229.68958507435258</c:v>
                </c:pt>
                <c:pt idx="123">
                  <c:v>229.3773179272745</c:v>
                </c:pt>
                <c:pt idx="124">
                  <c:v>229.06155201255126</c:v>
                </c:pt>
                <c:pt idx="125">
                  <c:v>228.74226297157671</c:v>
                </c:pt>
                <c:pt idx="126">
                  <c:v>228.41942633857468</c:v>
                </c:pt>
                <c:pt idx="127">
                  <c:v>228.09301753767213</c:v>
                </c:pt>
                <c:pt idx="128">
                  <c:v>227.76301187986618</c:v>
                </c:pt>
                <c:pt idx="129">
                  <c:v>227.42938455988306</c:v>
                </c:pt>
                <c:pt idx="130">
                  <c:v>227.09211065292698</c:v>
                </c:pt>
                <c:pt idx="131">
                  <c:v>226.75116511131628</c:v>
                </c:pt>
                <c:pt idx="132">
                  <c:v>226.40652276100434</c:v>
                </c:pt>
                <c:pt idx="133">
                  <c:v>226.05815829798163</c:v>
                </c:pt>
                <c:pt idx="134">
                  <c:v>225.70604628455561</c:v>
                </c:pt>
                <c:pt idx="135">
                  <c:v>225.35016114550382</c:v>
                </c:pt>
                <c:pt idx="136">
                  <c:v>224.99047716409606</c:v>
                </c:pt>
                <c:pt idx="137">
                  <c:v>224.62696847797937</c:v>
                </c:pt>
                <c:pt idx="138">
                  <c:v>224.25960907492046</c:v>
                </c:pt>
                <c:pt idx="139">
                  <c:v>223.8883727883983</c:v>
                </c:pt>
                <c:pt idx="140">
                  <c:v>223.51323329303912</c:v>
                </c:pt>
                <c:pt idx="141">
                  <c:v>223.1341640998854</c:v>
                </c:pt>
                <c:pt idx="142">
                  <c:v>222.75113855148899</c:v>
                </c:pt>
                <c:pt idx="143">
                  <c:v>222.36412981681781</c:v>
                </c:pt>
                <c:pt idx="144">
                  <c:v>221.97311088596405</c:v>
                </c:pt>
                <c:pt idx="145">
                  <c:v>221.57805456464141</c:v>
                </c:pt>
                <c:pt idx="146">
                  <c:v>221.17893346845614</c:v>
                </c:pt>
                <c:pt idx="147">
                  <c:v>220.77572001693704</c:v>
                </c:pt>
                <c:pt idx="148">
                  <c:v>220.36838642730632</c:v>
                </c:pt>
                <c:pt idx="149">
                  <c:v>219.95690470797337</c:v>
                </c:pt>
                <c:pt idx="150">
                  <c:v>219.541246651731</c:v>
                </c:pt>
                <c:pt idx="151">
                  <c:v>219.12138382863168</c:v>
                </c:pt>
                <c:pt idx="152">
                  <c:v>218.69728757852064</c:v>
                </c:pt>
                <c:pt idx="153">
                  <c:v>218.26892900320036</c:v>
                </c:pt>
                <c:pt idx="154">
                  <c:v>217.83627895819927</c:v>
                </c:pt>
                <c:pt idx="155">
                  <c:v>217.39930804411648</c:v>
                </c:pt>
                <c:pt idx="156">
                  <c:v>216.95798659751114</c:v>
                </c:pt>
                <c:pt idx="157">
                  <c:v>216.51228468130543</c:v>
                </c:pt>
                <c:pt idx="158">
                  <c:v>216.06217207466716</c:v>
                </c:pt>
                <c:pt idx="159">
                  <c:v>215.60761826233755</c:v>
                </c:pt>
                <c:pt idx="160">
                  <c:v>215.1485924233684</c:v>
                </c:pt>
                <c:pt idx="161">
                  <c:v>214.68506341923137</c:v>
                </c:pt>
                <c:pt idx="162">
                  <c:v>214.21699978126253</c:v>
                </c:pt>
                <c:pt idx="163">
                  <c:v>213.74436969740341</c:v>
                </c:pt>
                <c:pt idx="164">
                  <c:v>213.26714099820134</c:v>
                </c:pt>
                <c:pt idx="165">
                  <c:v>212.7852811420305</c:v>
                </c:pt>
                <c:pt idx="166">
                  <c:v>212.29875719949524</c:v>
                </c:pt>
                <c:pt idx="167">
                  <c:v>211.80753583698009</c:v>
                </c:pt>
                <c:pt idx="168">
                  <c:v>211.3115832993069</c:v>
                </c:pt>
                <c:pt idx="169">
                  <c:v>210.81086539146511</c:v>
                </c:pt>
                <c:pt idx="170">
                  <c:v>210.30534745937601</c:v>
                </c:pt>
                <c:pt idx="171">
                  <c:v>209.7949943696548</c:v>
                </c:pt>
                <c:pt idx="172">
                  <c:v>209.2797704883308</c:v>
                </c:pt>
                <c:pt idx="173">
                  <c:v>208.75963965848297</c:v>
                </c:pt>
                <c:pt idx="174">
                  <c:v>208.23456517674217</c:v>
                </c:pt>
                <c:pt idx="175">
                  <c:v>207.70450976860462</c:v>
                </c:pt>
                <c:pt idx="176">
                  <c:v>207.16943556248771</c:v>
                </c:pt>
                <c:pt idx="177">
                  <c:v>206.62930406244155</c:v>
                </c:pt>
                <c:pt idx="178">
                  <c:v>206.08407611941095</c:v>
                </c:pt>
                <c:pt idx="179">
                  <c:v>205.53371190090817</c:v>
                </c:pt>
                <c:pt idx="180">
                  <c:v>204.97817085892225</c:v>
                </c:pt>
                <c:pt idx="181">
                  <c:v>204.41741169584003</c:v>
                </c:pt>
                <c:pt idx="182">
                  <c:v>203.85139232809655</c:v>
                </c:pt>
                <c:pt idx="183">
                  <c:v>203.2800698471969</c:v>
                </c:pt>
                <c:pt idx="184">
                  <c:v>202.70340047766712</c:v>
                </c:pt>
                <c:pt idx="185">
                  <c:v>202.12133953138536</c:v>
                </c:pt>
                <c:pt idx="186">
                  <c:v>201.53384135762531</c:v>
                </c:pt>
                <c:pt idx="187">
                  <c:v>200.9408592880049</c:v>
                </c:pt>
                <c:pt idx="188">
                  <c:v>200.34234557537931</c:v>
                </c:pt>
                <c:pt idx="189">
                  <c:v>199.73825132554288</c:v>
                </c:pt>
                <c:pt idx="190">
                  <c:v>199.12852642042037</c:v>
                </c:pt>
                <c:pt idx="191">
                  <c:v>198.51311943123429</c:v>
                </c:pt>
                <c:pt idx="192">
                  <c:v>197.89197751993254</c:v>
                </c:pt>
                <c:pt idx="193">
                  <c:v>197.26504632697112</c:v>
                </c:pt>
                <c:pt idx="194">
                  <c:v>196.63226984336583</c:v>
                </c:pt>
                <c:pt idx="195">
                  <c:v>195.99359026477876</c:v>
                </c:pt>
                <c:pt idx="196">
                  <c:v>195.34894782529696</c:v>
                </c:pt>
                <c:pt idx="197">
                  <c:v>194.69828060851216</c:v>
                </c:pt>
                <c:pt idx="198">
                  <c:v>194.0415243335265</c:v>
                </c:pt>
                <c:pt idx="199">
                  <c:v>193.37861211359413</c:v>
                </c:pt>
                <c:pt idx="200">
                  <c:v>192.70947418524852</c:v>
                </c:pt>
                <c:pt idx="201">
                  <c:v>192.03403760590885</c:v>
                </c:pt>
                <c:pt idx="202">
                  <c:v>191.35222591801963</c:v>
                </c:pt>
                <c:pt idx="203">
                  <c:v>190.66395877756432</c:v>
                </c:pt>
                <c:pt idx="204">
                  <c:v>189.96915154403015</c:v>
                </c:pt>
                <c:pt idx="205">
                  <c:v>189.26771482708099</c:v>
                </c:pt>
                <c:pt idx="206">
                  <c:v>188.55955398157494</c:v>
                </c:pt>
                <c:pt idx="207">
                  <c:v>187.84456853597132</c:v>
                </c:pt>
                <c:pt idx="208">
                  <c:v>187.12265152784221</c:v>
                </c:pt>
                <c:pt idx="209">
                  <c:v>186.39368870156713</c:v>
                </c:pt>
                <c:pt idx="210">
                  <c:v>185.65755749359579</c:v>
                </c:pt>
                <c:pt idx="211">
                  <c:v>184.91412568474431</c:v>
                </c:pt>
                <c:pt idx="212">
                  <c:v>184.16324952987486</c:v>
                </c:pt>
                <c:pt idx="213">
                  <c:v>183.40477107398013</c:v>
                </c:pt>
                <c:pt idx="214">
                  <c:v>182.63851421815352</c:v>
                </c:pt>
                <c:pt idx="215">
                  <c:v>181.86427888951926</c:v>
                </c:pt>
                <c:pt idx="216">
                  <c:v>181.0818323487355</c:v>
                </c:pt>
                <c:pt idx="217">
                  <c:v>180.29089608802849</c:v>
                </c:pt>
                <c:pt idx="218">
                  <c:v>179.49112541289327</c:v>
                </c:pt>
                <c:pt idx="219">
                  <c:v>178.68207471980784</c:v>
                </c:pt>
                <c:pt idx="220">
                  <c:v>177.86312617268845</c:v>
                </c:pt>
                <c:pt idx="221">
                  <c:v>177.03328173879092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9B-4878-9126-9B164879F278}"/>
            </c:ext>
          </c:extLst>
        </c:ser>
        <c:ser>
          <c:idx val="3"/>
          <c:order val="2"/>
          <c:tx>
            <c:strRef>
              <c:f>Diagrammdaten!$R$7</c:f>
              <c:strCache>
                <c:ptCount val="1"/>
                <c:pt idx="0">
                  <c:v>überkritisch [bar]</c:v>
                </c:pt>
              </c:strCache>
            </c:strRef>
          </c:tx>
          <c:spPr>
            <a:solidFill>
              <a:srgbClr val="FCE5CD"/>
            </a:solidFill>
            <a:ln>
              <a:noFill/>
            </a:ln>
          </c:spPr>
          <c:cat>
            <c:strRef>
              <c:f>Diagrammdaten!$C$8:$C$388</c:f>
              <c:strCache>
                <c:ptCount val="361"/>
                <c:pt idx="0">
                  <c:v>-80</c:v>
                </c:pt>
                <c:pt idx="40">
                  <c:v>-60</c:v>
                </c:pt>
                <c:pt idx="80">
                  <c:v>-40</c:v>
                </c:pt>
                <c:pt idx="120">
                  <c:v>-20</c:v>
                </c:pt>
                <c:pt idx="160">
                  <c:v>0</c:v>
                </c:pt>
                <c:pt idx="200">
                  <c:v>20</c:v>
                </c:pt>
                <c:pt idx="240">
                  <c:v>40</c:v>
                </c:pt>
                <c:pt idx="280">
                  <c:v>60</c:v>
                </c:pt>
                <c:pt idx="320">
                  <c:v>80</c:v>
                </c:pt>
                <c:pt idx="360">
                  <c:v>100</c:v>
                </c:pt>
              </c:strCache>
            </c:strRef>
          </c:cat>
          <c:val>
            <c:numRef>
              <c:f>Diagrammdaten!$R$8:$R$388</c:f>
              <c:numCache>
                <c:formatCode>General</c:formatCode>
                <c:ptCount val="3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176.22701626553248</c:v>
                </c:pt>
                <c:pt idx="223">
                  <c:v>176.22701626553248</c:v>
                </c:pt>
                <c:pt idx="224">
                  <c:v>176.22701626553248</c:v>
                </c:pt>
                <c:pt idx="225">
                  <c:v>176.22701626553248</c:v>
                </c:pt>
                <c:pt idx="226">
                  <c:v>176.22701626553248</c:v>
                </c:pt>
                <c:pt idx="227">
                  <c:v>176.22701626553248</c:v>
                </c:pt>
                <c:pt idx="228">
                  <c:v>176.22701626553248</c:v>
                </c:pt>
                <c:pt idx="229">
                  <c:v>176.22701626553248</c:v>
                </c:pt>
                <c:pt idx="230">
                  <c:v>176.22701626553248</c:v>
                </c:pt>
                <c:pt idx="231">
                  <c:v>176.22701626553248</c:v>
                </c:pt>
                <c:pt idx="232">
                  <c:v>176.22701626553248</c:v>
                </c:pt>
                <c:pt idx="233">
                  <c:v>176.22701626553248</c:v>
                </c:pt>
                <c:pt idx="234">
                  <c:v>176.22701626553248</c:v>
                </c:pt>
                <c:pt idx="235">
                  <c:v>176.22701626553248</c:v>
                </c:pt>
                <c:pt idx="236">
                  <c:v>176.22701626553248</c:v>
                </c:pt>
                <c:pt idx="237">
                  <c:v>176.22701626553248</c:v>
                </c:pt>
                <c:pt idx="238">
                  <c:v>176.22701626553248</c:v>
                </c:pt>
                <c:pt idx="239">
                  <c:v>176.22701626553248</c:v>
                </c:pt>
                <c:pt idx="240">
                  <c:v>176.22701626553248</c:v>
                </c:pt>
                <c:pt idx="241">
                  <c:v>176.22701626553248</c:v>
                </c:pt>
                <c:pt idx="242">
                  <c:v>176.22701626553248</c:v>
                </c:pt>
                <c:pt idx="243">
                  <c:v>176.22701626553248</c:v>
                </c:pt>
                <c:pt idx="244">
                  <c:v>176.22701626553248</c:v>
                </c:pt>
                <c:pt idx="245">
                  <c:v>176.22701626553248</c:v>
                </c:pt>
                <c:pt idx="246">
                  <c:v>176.22701626553248</c:v>
                </c:pt>
                <c:pt idx="247">
                  <c:v>176.22701626553248</c:v>
                </c:pt>
                <c:pt idx="248">
                  <c:v>176.22701626553248</c:v>
                </c:pt>
                <c:pt idx="249">
                  <c:v>176.22701626553248</c:v>
                </c:pt>
                <c:pt idx="250">
                  <c:v>176.22701626553248</c:v>
                </c:pt>
                <c:pt idx="251">
                  <c:v>176.22701626553248</c:v>
                </c:pt>
                <c:pt idx="252">
                  <c:v>176.22701626553248</c:v>
                </c:pt>
                <c:pt idx="253">
                  <c:v>176.22701626553248</c:v>
                </c:pt>
                <c:pt idx="254">
                  <c:v>176.22701626553248</c:v>
                </c:pt>
                <c:pt idx="255">
                  <c:v>176.22701626553248</c:v>
                </c:pt>
                <c:pt idx="256">
                  <c:v>176.22701626553248</c:v>
                </c:pt>
                <c:pt idx="257">
                  <c:v>176.22701626553248</c:v>
                </c:pt>
                <c:pt idx="258">
                  <c:v>176.22701626553248</c:v>
                </c:pt>
                <c:pt idx="259">
                  <c:v>176.22701626553248</c:v>
                </c:pt>
                <c:pt idx="260">
                  <c:v>176.22701626553248</c:v>
                </c:pt>
                <c:pt idx="261">
                  <c:v>176.22701626553248</c:v>
                </c:pt>
                <c:pt idx="262">
                  <c:v>176.22701626553248</c:v>
                </c:pt>
                <c:pt idx="263">
                  <c:v>176.22701626553248</c:v>
                </c:pt>
                <c:pt idx="264">
                  <c:v>176.22701626553248</c:v>
                </c:pt>
                <c:pt idx="265">
                  <c:v>176.22701626553248</c:v>
                </c:pt>
                <c:pt idx="266">
                  <c:v>176.22701626553248</c:v>
                </c:pt>
                <c:pt idx="267">
                  <c:v>176.22701626553248</c:v>
                </c:pt>
                <c:pt idx="268">
                  <c:v>176.22701626553248</c:v>
                </c:pt>
                <c:pt idx="269">
                  <c:v>176.22701626553248</c:v>
                </c:pt>
                <c:pt idx="270">
                  <c:v>176.22701626553248</c:v>
                </c:pt>
                <c:pt idx="271">
                  <c:v>176.22701626553248</c:v>
                </c:pt>
                <c:pt idx="272">
                  <c:v>176.22701626553248</c:v>
                </c:pt>
                <c:pt idx="273">
                  <c:v>176.22701626553248</c:v>
                </c:pt>
                <c:pt idx="274">
                  <c:v>176.22701626553248</c:v>
                </c:pt>
                <c:pt idx="275">
                  <c:v>176.22701626553248</c:v>
                </c:pt>
                <c:pt idx="276">
                  <c:v>176.22701626553248</c:v>
                </c:pt>
                <c:pt idx="277">
                  <c:v>176.22701626553248</c:v>
                </c:pt>
                <c:pt idx="278">
                  <c:v>176.22701626553248</c:v>
                </c:pt>
                <c:pt idx="279">
                  <c:v>176.22701626553248</c:v>
                </c:pt>
                <c:pt idx="280">
                  <c:v>176.22701626553248</c:v>
                </c:pt>
                <c:pt idx="281">
                  <c:v>176.22701626553248</c:v>
                </c:pt>
                <c:pt idx="282">
                  <c:v>176.22701626553248</c:v>
                </c:pt>
                <c:pt idx="283">
                  <c:v>176.22701626553248</c:v>
                </c:pt>
                <c:pt idx="284">
                  <c:v>176.22701626553248</c:v>
                </c:pt>
                <c:pt idx="285">
                  <c:v>176.22701626553248</c:v>
                </c:pt>
                <c:pt idx="286">
                  <c:v>176.22701626553248</c:v>
                </c:pt>
                <c:pt idx="287">
                  <c:v>176.22701626553248</c:v>
                </c:pt>
                <c:pt idx="288">
                  <c:v>176.22701626553248</c:v>
                </c:pt>
                <c:pt idx="289">
                  <c:v>176.22701626553248</c:v>
                </c:pt>
                <c:pt idx="290">
                  <c:v>176.22701626553248</c:v>
                </c:pt>
                <c:pt idx="291">
                  <c:v>176.22701626553248</c:v>
                </c:pt>
                <c:pt idx="292">
                  <c:v>176.22701626553248</c:v>
                </c:pt>
                <c:pt idx="293">
                  <c:v>176.22701626553248</c:v>
                </c:pt>
                <c:pt idx="294">
                  <c:v>176.22701626553248</c:v>
                </c:pt>
                <c:pt idx="295">
                  <c:v>176.22701626553248</c:v>
                </c:pt>
                <c:pt idx="296">
                  <c:v>176.22701626553248</c:v>
                </c:pt>
                <c:pt idx="297">
                  <c:v>176.22701626553248</c:v>
                </c:pt>
                <c:pt idx="298">
                  <c:v>176.22701626553248</c:v>
                </c:pt>
                <c:pt idx="299">
                  <c:v>176.22701626553248</c:v>
                </c:pt>
                <c:pt idx="300">
                  <c:v>176.22701626553248</c:v>
                </c:pt>
                <c:pt idx="301">
                  <c:v>176.22701626553248</c:v>
                </c:pt>
                <c:pt idx="302">
                  <c:v>176.22701626553248</c:v>
                </c:pt>
                <c:pt idx="303">
                  <c:v>176.22701626553248</c:v>
                </c:pt>
                <c:pt idx="304">
                  <c:v>176.22701626553248</c:v>
                </c:pt>
                <c:pt idx="305">
                  <c:v>176.22701626553248</c:v>
                </c:pt>
                <c:pt idx="306">
                  <c:v>176.22701626553248</c:v>
                </c:pt>
                <c:pt idx="307">
                  <c:v>176.22701626553248</c:v>
                </c:pt>
                <c:pt idx="308">
                  <c:v>176.22701626553248</c:v>
                </c:pt>
                <c:pt idx="309">
                  <c:v>176.22701626553248</c:v>
                </c:pt>
                <c:pt idx="310">
                  <c:v>176.22701626553248</c:v>
                </c:pt>
                <c:pt idx="311">
                  <c:v>176.22701626553248</c:v>
                </c:pt>
                <c:pt idx="312">
                  <c:v>176.22701626553248</c:v>
                </c:pt>
                <c:pt idx="313">
                  <c:v>176.22701626553248</c:v>
                </c:pt>
                <c:pt idx="314">
                  <c:v>176.22701626553248</c:v>
                </c:pt>
                <c:pt idx="315">
                  <c:v>176.22701626553248</c:v>
                </c:pt>
                <c:pt idx="316">
                  <c:v>176.22701626553248</c:v>
                </c:pt>
                <c:pt idx="317">
                  <c:v>176.22701626553248</c:v>
                </c:pt>
                <c:pt idx="318">
                  <c:v>176.22701626553248</c:v>
                </c:pt>
                <c:pt idx="319">
                  <c:v>176.22701626553248</c:v>
                </c:pt>
                <c:pt idx="320">
                  <c:v>176.22701626553248</c:v>
                </c:pt>
                <c:pt idx="321">
                  <c:v>176.22701626553248</c:v>
                </c:pt>
                <c:pt idx="322">
                  <c:v>176.22701626553248</c:v>
                </c:pt>
                <c:pt idx="323">
                  <c:v>176.22701626553248</c:v>
                </c:pt>
                <c:pt idx="324">
                  <c:v>176.22701626553248</c:v>
                </c:pt>
                <c:pt idx="325">
                  <c:v>176.22701626553248</c:v>
                </c:pt>
                <c:pt idx="326">
                  <c:v>176.22701626553248</c:v>
                </c:pt>
                <c:pt idx="327">
                  <c:v>176.22701626553248</c:v>
                </c:pt>
                <c:pt idx="328">
                  <c:v>176.22701626553248</c:v>
                </c:pt>
                <c:pt idx="329">
                  <c:v>176.22701626553248</c:v>
                </c:pt>
                <c:pt idx="330">
                  <c:v>176.22701626553248</c:v>
                </c:pt>
                <c:pt idx="331">
                  <c:v>176.22701626553248</c:v>
                </c:pt>
                <c:pt idx="332">
                  <c:v>176.22701626553248</c:v>
                </c:pt>
                <c:pt idx="333">
                  <c:v>176.22701626553248</c:v>
                </c:pt>
                <c:pt idx="334">
                  <c:v>176.22701626553248</c:v>
                </c:pt>
                <c:pt idx="335">
                  <c:v>176.22701626553248</c:v>
                </c:pt>
                <c:pt idx="336">
                  <c:v>176.22701626553248</c:v>
                </c:pt>
                <c:pt idx="337">
                  <c:v>176.22701626553248</c:v>
                </c:pt>
                <c:pt idx="338">
                  <c:v>176.22701626553248</c:v>
                </c:pt>
                <c:pt idx="339">
                  <c:v>176.22701626553248</c:v>
                </c:pt>
                <c:pt idx="340">
                  <c:v>176.22701626553248</c:v>
                </c:pt>
                <c:pt idx="341">
                  <c:v>176.22701626553248</c:v>
                </c:pt>
                <c:pt idx="342">
                  <c:v>176.22701626553248</c:v>
                </c:pt>
                <c:pt idx="343">
                  <c:v>176.22701626553248</c:v>
                </c:pt>
                <c:pt idx="344">
                  <c:v>176.22701626553248</c:v>
                </c:pt>
                <c:pt idx="345">
                  <c:v>176.22701626553248</c:v>
                </c:pt>
                <c:pt idx="346">
                  <c:v>176.22701626553248</c:v>
                </c:pt>
                <c:pt idx="347">
                  <c:v>176.22701626553248</c:v>
                </c:pt>
                <c:pt idx="348">
                  <c:v>176.22701626553248</c:v>
                </c:pt>
                <c:pt idx="349">
                  <c:v>176.22701626553248</c:v>
                </c:pt>
                <c:pt idx="350">
                  <c:v>176.22701626553248</c:v>
                </c:pt>
                <c:pt idx="351">
                  <c:v>176.22701626553248</c:v>
                </c:pt>
                <c:pt idx="352">
                  <c:v>176.22701626553248</c:v>
                </c:pt>
                <c:pt idx="353">
                  <c:v>176.22701626553248</c:v>
                </c:pt>
                <c:pt idx="354">
                  <c:v>176.22701626553248</c:v>
                </c:pt>
                <c:pt idx="355">
                  <c:v>176.22701626553248</c:v>
                </c:pt>
                <c:pt idx="356">
                  <c:v>176.22701626553248</c:v>
                </c:pt>
                <c:pt idx="357">
                  <c:v>176.22701626553248</c:v>
                </c:pt>
                <c:pt idx="358">
                  <c:v>176.22701626553248</c:v>
                </c:pt>
                <c:pt idx="359">
                  <c:v>176.22701626553248</c:v>
                </c:pt>
                <c:pt idx="360">
                  <c:v>176.22701626553248</c:v>
                </c:pt>
                <c:pt idx="361">
                  <c:v>176.22701626553248</c:v>
                </c:pt>
                <c:pt idx="362">
                  <c:v>176.22701626553248</c:v>
                </c:pt>
                <c:pt idx="363">
                  <c:v>176.22701626553248</c:v>
                </c:pt>
                <c:pt idx="364">
                  <c:v>176.22701626553248</c:v>
                </c:pt>
                <c:pt idx="365">
                  <c:v>176.22701626553248</c:v>
                </c:pt>
                <c:pt idx="366">
                  <c:v>176.22701626553248</c:v>
                </c:pt>
                <c:pt idx="367">
                  <c:v>176.22701626553248</c:v>
                </c:pt>
                <c:pt idx="368">
                  <c:v>176.22701626553248</c:v>
                </c:pt>
                <c:pt idx="369">
                  <c:v>176.22701626553248</c:v>
                </c:pt>
                <c:pt idx="370">
                  <c:v>176.22701626553248</c:v>
                </c:pt>
                <c:pt idx="371">
                  <c:v>176.22701626553248</c:v>
                </c:pt>
                <c:pt idx="372">
                  <c:v>176.22701626553248</c:v>
                </c:pt>
                <c:pt idx="373">
                  <c:v>176.22701626553248</c:v>
                </c:pt>
                <c:pt idx="374">
                  <c:v>176.22701626553248</c:v>
                </c:pt>
                <c:pt idx="375">
                  <c:v>176.22701626553248</c:v>
                </c:pt>
                <c:pt idx="376">
                  <c:v>176.22701626553248</c:v>
                </c:pt>
                <c:pt idx="377">
                  <c:v>176.22701626553248</c:v>
                </c:pt>
                <c:pt idx="378">
                  <c:v>176.22701626553248</c:v>
                </c:pt>
                <c:pt idx="379">
                  <c:v>176.22701626553248</c:v>
                </c:pt>
                <c:pt idx="380">
                  <c:v>176.22701626553248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9B-4878-9126-9B164879F278}"/>
            </c:ext>
          </c:extLst>
        </c:ser>
        <c:ser>
          <c:idx val="4"/>
          <c:order val="3"/>
          <c:tx>
            <c:strRef>
              <c:f>Diagrammdaten!$G$7</c:f>
              <c:strCache>
                <c:ptCount val="1"/>
                <c:pt idx="0">
                  <c:v>fest [bar]</c:v>
                </c:pt>
              </c:strCache>
            </c:strRef>
          </c:tx>
          <c:spPr>
            <a:solidFill>
              <a:srgbClr val="D9D2E9"/>
            </a:solidFill>
            <a:ln>
              <a:noFill/>
            </a:ln>
          </c:spPr>
          <c:cat>
            <c:strRef>
              <c:f>Diagrammdaten!$C$8:$C$388</c:f>
              <c:strCache>
                <c:ptCount val="361"/>
                <c:pt idx="0">
                  <c:v>-80</c:v>
                </c:pt>
                <c:pt idx="40">
                  <c:v>-60</c:v>
                </c:pt>
                <c:pt idx="80">
                  <c:v>-40</c:v>
                </c:pt>
                <c:pt idx="120">
                  <c:v>-20</c:v>
                </c:pt>
                <c:pt idx="160">
                  <c:v>0</c:v>
                </c:pt>
                <c:pt idx="200">
                  <c:v>20</c:v>
                </c:pt>
                <c:pt idx="240">
                  <c:v>40</c:v>
                </c:pt>
                <c:pt idx="280">
                  <c:v>60</c:v>
                </c:pt>
                <c:pt idx="320">
                  <c:v>80</c:v>
                </c:pt>
                <c:pt idx="360">
                  <c:v>100</c:v>
                </c:pt>
              </c:strCache>
            </c:strRef>
          </c:cat>
          <c:val>
            <c:numRef>
              <c:f>Diagrammdaten!$G$8:$G$388</c:f>
              <c:numCache>
                <c:formatCode>General</c:formatCode>
                <c:ptCount val="381"/>
                <c:pt idx="0">
                  <c:v>249.10758432028197</c:v>
                </c:pt>
                <c:pt idx="1">
                  <c:v>249.0697020259696</c:v>
                </c:pt>
                <c:pt idx="2">
                  <c:v>249.03041162618976</c:v>
                </c:pt>
                <c:pt idx="3">
                  <c:v>248.98966806549112</c:v>
                </c:pt>
                <c:pt idx="4">
                  <c:v>248.94742506021737</c:v>
                </c:pt>
                <c:pt idx="5">
                  <c:v>248.90363506914466</c:v>
                </c:pt>
                <c:pt idx="6">
                  <c:v>248.8582492633968</c:v>
                </c:pt>
                <c:pt idx="7">
                  <c:v>248.81121749561368</c:v>
                </c:pt>
                <c:pt idx="8">
                  <c:v>248.76248826834575</c:v>
                </c:pt>
                <c:pt idx="9">
                  <c:v>248.71200870164714</c:v>
                </c:pt>
                <c:pt idx="10">
                  <c:v>248.6597244998367</c:v>
                </c:pt>
                <c:pt idx="11">
                  <c:v>248.60557991739603</c:v>
                </c:pt>
                <c:pt idx="12">
                  <c:v>248.5495177239693</c:v>
                </c:pt>
                <c:pt idx="13">
                  <c:v>248.49147916842955</c:v>
                </c:pt>
                <c:pt idx="14">
                  <c:v>248.43140394197135</c:v>
                </c:pt>
                <c:pt idx="15">
                  <c:v>248.36923014018808</c:v>
                </c:pt>
                <c:pt idx="16">
                  <c:v>248.30489422408749</c:v>
                </c:pt>
                <c:pt idx="17">
                  <c:v>248.23833097999642</c:v>
                </c:pt>
                <c:pt idx="18">
                  <c:v>248.16947347829941</c:v>
                </c:pt>
                <c:pt idx="19">
                  <c:v>248.09825303095215</c:v>
                </c:pt>
                <c:pt idx="20">
                  <c:v>248.02459914770341</c:v>
                </c:pt>
                <c:pt idx="21">
                  <c:v>247.94843949095201</c:v>
                </c:pt>
                <c:pt idx="22">
                  <c:v>247.86969982915753</c:v>
                </c:pt>
                <c:pt idx="23">
                  <c:v>247.78830398871139</c:v>
                </c:pt>
                <c:pt idx="24">
                  <c:v>247.70417380416475</c:v>
                </c:pt>
                <c:pt idx="25">
                  <c:v>247.6172290666922</c:v>
                </c:pt>
                <c:pt idx="26">
                  <c:v>247.52738747065339</c:v>
                </c:pt>
                <c:pt idx="27">
                  <c:v>247.4345645580903</c:v>
                </c:pt>
                <c:pt idx="28">
                  <c:v>247.3386736609695</c:v>
                </c:pt>
                <c:pt idx="29">
                  <c:v>247.23962584094059</c:v>
                </c:pt>
                <c:pt idx="30">
                  <c:v>247.13732982633502</c:v>
                </c:pt>
                <c:pt idx="31">
                  <c:v>247.03169194606474</c:v>
                </c:pt>
                <c:pt idx="32">
                  <c:v>246.92261605999738</c:v>
                </c:pt>
                <c:pt idx="33">
                  <c:v>246.81000348526769</c:v>
                </c:pt>
                <c:pt idx="34">
                  <c:v>246.69375291782731</c:v>
                </c:pt>
                <c:pt idx="35">
                  <c:v>246.57376034830631</c:v>
                </c:pt>
                <c:pt idx="36">
                  <c:v>246.44991897092928</c:v>
                </c:pt>
                <c:pt idx="37">
                  <c:v>246.32211908373046</c:v>
                </c:pt>
                <c:pt idx="38">
                  <c:v>246.19024797753519</c:v>
                </c:pt>
                <c:pt idx="39">
                  <c:v>246.05418980991723</c:v>
                </c:pt>
                <c:pt idx="40">
                  <c:v>245.91382545819579</c:v>
                </c:pt>
                <c:pt idx="41">
                  <c:v>245.76903234166346</c:v>
                </c:pt>
                <c:pt idx="42">
                  <c:v>245.61968419570067</c:v>
                </c:pt>
                <c:pt idx="43">
                  <c:v>245.46565076430832</c:v>
                </c:pt>
                <c:pt idx="44">
                  <c:v>245.30679733832375</c:v>
                </c:pt>
                <c:pt idx="45">
                  <c:v>245.14298395103927</c:v>
                </c:pt>
                <c:pt idx="46">
                  <c:v>244.9740635750301</c:v>
                </c:pt>
                <c:pt idx="47">
                  <c:v>242.10720440871191</c:v>
                </c:pt>
                <c:pt idx="48">
                  <c:v>218.65464354090309</c:v>
                </c:pt>
                <c:pt idx="49">
                  <c:v>195.08860930988234</c:v>
                </c:pt>
                <c:pt idx="50">
                  <c:v>171.40910171565417</c:v>
                </c:pt>
                <c:pt idx="51">
                  <c:v>147.61612075821634</c:v>
                </c:pt>
                <c:pt idx="52">
                  <c:v>123.70966643756657</c:v>
                </c:pt>
                <c:pt idx="53">
                  <c:v>99.689738753709378</c:v>
                </c:pt>
                <c:pt idx="54">
                  <c:v>75.556337706640221</c:v>
                </c:pt>
                <c:pt idx="55">
                  <c:v>51.309463296363703</c:v>
                </c:pt>
                <c:pt idx="56">
                  <c:v>26.94911552287752</c:v>
                </c:pt>
                <c:pt idx="57">
                  <c:v>2.4752943861793142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79B-4878-9126-9B164879F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80001"/>
        <c:axId val="50080002"/>
      </c:areaChart>
      <c:scatterChart>
        <c:scatterStyle val="lineMarker"/>
        <c:varyColors val="0"/>
        <c:ser>
          <c:idx val="6"/>
          <c:order val="4"/>
          <c:tx>
            <c:v>Sättigungslinie reines CO₂</c:v>
          </c:tx>
          <c:spPr>
            <a:ln w="31750" cap="rnd">
              <a:solidFill>
                <a:srgbClr val="CA220E"/>
              </a:solidFill>
              <a:prstDash val="solid"/>
              <a:round/>
            </a:ln>
          </c:spPr>
          <c:marker>
            <c:symbol val="none"/>
          </c:marker>
          <c:xVal>
            <c:numRef>
              <c:f>Diagrammdaten!$L$256:$L$296</c:f>
              <c:numCache>
                <c:formatCode>General</c:formatCode>
                <c:ptCount val="41"/>
                <c:pt idx="0">
                  <c:v>47.884000000000071</c:v>
                </c:pt>
                <c:pt idx="1">
                  <c:v>52.260760000149105</c:v>
                </c:pt>
                <c:pt idx="2">
                  <c:v>56.637520000298139</c:v>
                </c:pt>
                <c:pt idx="3">
                  <c:v>61.014280000447172</c:v>
                </c:pt>
                <c:pt idx="4">
                  <c:v>65.391040000596206</c:v>
                </c:pt>
                <c:pt idx="5">
                  <c:v>69.76780000074524</c:v>
                </c:pt>
                <c:pt idx="6">
                  <c:v>74.144560000894273</c:v>
                </c:pt>
                <c:pt idx="7">
                  <c:v>78.521320001043307</c:v>
                </c:pt>
                <c:pt idx="8">
                  <c:v>82.898080001192341</c:v>
                </c:pt>
                <c:pt idx="9">
                  <c:v>87.274840001341374</c:v>
                </c:pt>
                <c:pt idx="10">
                  <c:v>91.651600001490408</c:v>
                </c:pt>
                <c:pt idx="11">
                  <c:v>96.028360001639442</c:v>
                </c:pt>
                <c:pt idx="12">
                  <c:v>100.40512000178848</c:v>
                </c:pt>
                <c:pt idx="13">
                  <c:v>104.78188000193751</c:v>
                </c:pt>
                <c:pt idx="14">
                  <c:v>109.1586400020866</c:v>
                </c:pt>
                <c:pt idx="15">
                  <c:v>113.53540000223563</c:v>
                </c:pt>
                <c:pt idx="16">
                  <c:v>117.91216000238467</c:v>
                </c:pt>
                <c:pt idx="17">
                  <c:v>122.2889200025337</c:v>
                </c:pt>
                <c:pt idx="18">
                  <c:v>126.66568000268273</c:v>
                </c:pt>
                <c:pt idx="19">
                  <c:v>131.04244000283177</c:v>
                </c:pt>
                <c:pt idx="20">
                  <c:v>135.4192000029808</c:v>
                </c:pt>
                <c:pt idx="21">
                  <c:v>139.79596000312984</c:v>
                </c:pt>
                <c:pt idx="22">
                  <c:v>144.17272000327887</c:v>
                </c:pt>
                <c:pt idx="23">
                  <c:v>148.5494800034279</c:v>
                </c:pt>
                <c:pt idx="24">
                  <c:v>152.92624000357694</c:v>
                </c:pt>
                <c:pt idx="25">
                  <c:v>157.30300000372597</c:v>
                </c:pt>
                <c:pt idx="26">
                  <c:v>161.679760003875</c:v>
                </c:pt>
                <c:pt idx="27">
                  <c:v>166.05652000402404</c:v>
                </c:pt>
                <c:pt idx="28">
                  <c:v>170.43328000417307</c:v>
                </c:pt>
                <c:pt idx="29">
                  <c:v>174.8100400043221</c:v>
                </c:pt>
                <c:pt idx="30">
                  <c:v>179.18680000447114</c:v>
                </c:pt>
                <c:pt idx="31">
                  <c:v>183.56356000462017</c:v>
                </c:pt>
                <c:pt idx="32">
                  <c:v>187.94032000476921</c:v>
                </c:pt>
                <c:pt idx="33">
                  <c:v>192.31708000491824</c:v>
                </c:pt>
                <c:pt idx="34">
                  <c:v>196.69384000506727</c:v>
                </c:pt>
                <c:pt idx="35">
                  <c:v>201.07060000521631</c:v>
                </c:pt>
                <c:pt idx="36">
                  <c:v>205.44736000536534</c:v>
                </c:pt>
                <c:pt idx="37">
                  <c:v>209.82412000551437</c:v>
                </c:pt>
                <c:pt idx="38">
                  <c:v>214.20088000566341</c:v>
                </c:pt>
                <c:pt idx="39">
                  <c:v>218.57764000581244</c:v>
                </c:pt>
                <c:pt idx="40">
                  <c:v>222.95440000596147</c:v>
                </c:pt>
              </c:numCache>
            </c:numRef>
          </c:xVal>
          <c:yVal>
            <c:numRef>
              <c:f>Diagrammdaten!$K$256:$K$296</c:f>
              <c:numCache>
                <c:formatCode>General</c:formatCode>
                <c:ptCount val="41"/>
                <c:pt idx="0">
                  <c:v>5.179643433349451</c:v>
                </c:pt>
                <c:pt idx="1">
                  <c:v>5.690561898357319</c:v>
                </c:pt>
                <c:pt idx="2">
                  <c:v>6.2385925725646123</c:v>
                </c:pt>
                <c:pt idx="3">
                  <c:v>6.825395560929695</c:v>
                </c:pt>
                <c:pt idx="4">
                  <c:v>7.4526521748979997</c:v>
                </c:pt>
                <c:pt idx="5">
                  <c:v>8.1220643662310241</c:v>
                </c:pt>
                <c:pt idx="6">
                  <c:v>8.8353543202131775</c:v>
                </c:pt>
                <c:pt idx="7">
                  <c:v>9.5942642191494194</c:v>
                </c:pt>
                <c:pt idx="8">
                  <c:v>10.400556183845032</c:v>
                </c:pt>
                <c:pt idx="9">
                  <c:v>11.256012395801237</c:v>
                </c:pt>
                <c:pt idx="10">
                  <c:v>12.162435399008638</c:v>
                </c:pt>
                <c:pt idx="11">
                  <c:v>13.12164858209297</c:v>
                </c:pt>
                <c:pt idx="12">
                  <c:v>14.135496853100509</c:v>
                </c:pt>
                <c:pt idx="13">
                  <c:v>15.205847540490653</c:v>
                </c:pt>
                <c:pt idx="14">
                  <c:v>16.334591579694806</c:v>
                </c:pt>
                <c:pt idx="15">
                  <c:v>17.523645066186731</c:v>
                </c:pt>
                <c:pt idx="16">
                  <c:v>18.774951265593533</c:v>
                </c:pt>
                <c:pt idx="17">
                  <c:v>20.09048316632229</c:v>
                </c:pt>
                <c:pt idx="18">
                  <c:v>21.472246644534383</c:v>
                </c:pt>
                <c:pt idx="19">
                  <c:v>22.922284294019239</c:v>
                </c:pt>
                <c:pt idx="20">
                  <c:v>24.442679965043133</c:v>
                </c:pt>
                <c:pt idx="21">
                  <c:v>26.035564065652519</c:v>
                </c:pt>
                <c:pt idx="22">
                  <c:v>27.703119713043016</c:v>
                </c:pt>
                <c:pt idx="23">
                  <c:v>29.447589887066314</c:v>
                </c:pt>
                <c:pt idx="24">
                  <c:v>31.271285838462976</c:v>
                </c:pt>
                <c:pt idx="25">
                  <c:v>33.176597146455947</c:v>
                </c:pt>
                <c:pt idx="26">
                  <c:v>35.166004004476882</c:v>
                </c:pt>
                <c:pt idx="27">
                  <c:v>37.242092524682882</c:v>
                </c:pt>
                <c:pt idx="28">
                  <c:v>39.40757405146131</c:v>
                </c:pt>
                <c:pt idx="29">
                  <c:v>41.665309602075148</c:v>
                </c:pt>
                <c:pt idx="30">
                  <c:v>44.018340595742728</c:v>
                </c:pt>
                <c:pt idx="31">
                  <c:v>46.46992720935107</c:v>
                </c:pt>
                <c:pt idx="32">
                  <c:v>49.023596810330844</c:v>
                </c:pt>
                <c:pt idx="33">
                  <c:v>51.683208775895139</c:v>
                </c:pt>
                <c:pt idx="34">
                  <c:v>54.453051446377017</c:v>
                </c:pt>
                <c:pt idx="35">
                  <c:v>57.338004121264795</c:v>
                </c:pt>
                <c:pt idx="36">
                  <c:v>60.343818172330835</c:v>
                </c:pt>
                <c:pt idx="37">
                  <c:v>63.4775854036277</c:v>
                </c:pt>
                <c:pt idx="38">
                  <c:v>66.748524248563641</c:v>
                </c:pt>
                <c:pt idx="39">
                  <c:v>70.169980059503217</c:v>
                </c:pt>
                <c:pt idx="40">
                  <c:v>73.771278108842608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79B-4878-9126-9B164879F278}"/>
            </c:ext>
          </c:extLst>
        </c:ser>
        <c:ser>
          <c:idx val="17"/>
          <c:order val="5"/>
          <c:tx>
            <c:v>Beschriftung Phasengebiete E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1100" b="1"/>
                    </a:pPr>
                    <a:r>
                      <a:rPr lang="en-US"/>
                      <a:t>fest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379B-4878-9126-9B164879F278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1100" b="1"/>
                    </a:pPr>
                    <a:r>
                      <a:rPr lang="en-US"/>
                      <a:t>flüssig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379B-4878-9126-9B164879F278}"/>
                </c:ext>
              </c:extLst>
            </c:dLbl>
            <c:dLbl>
              <c:idx val="2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1100" b="1"/>
                    </a:pPr>
                    <a:r>
                      <a:rPr lang="en-US"/>
                      <a:t>gasförmig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379B-4878-9126-9B164879F278}"/>
                </c:ext>
              </c:extLst>
            </c:dLbl>
            <c:dLbl>
              <c:idx val="3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1100" b="1"/>
                    </a:pPr>
                    <a:r>
                      <a:rPr lang="en-US"/>
                      <a:t>überkritisch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379B-4878-9126-9B164879F27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CA220E"/>
                        </a:solidFill>
                      </a:rPr>
                      <a:t>zweiphasig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379B-4878-9126-9B164879F278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Diagrammdaten!$L$144:$L$147</c:f>
              <c:numCache>
                <c:formatCode>General</c:formatCode>
                <c:ptCount val="4"/>
                <c:pt idx="0">
                  <c:v>19</c:v>
                </c:pt>
                <c:pt idx="1">
                  <c:v>101</c:v>
                </c:pt>
                <c:pt idx="2">
                  <c:v>305</c:v>
                </c:pt>
                <c:pt idx="3">
                  <c:v>331</c:v>
                </c:pt>
              </c:numCache>
            </c:numRef>
          </c:xVal>
          <c:yVal>
            <c:numRef>
              <c:f>Diagrammdaten!$K$144:$K$147</c:f>
              <c:numCache>
                <c:formatCode>General</c:formatCode>
                <c:ptCount val="4"/>
                <c:pt idx="0">
                  <c:v>70</c:v>
                </c:pt>
                <c:pt idx="1">
                  <c:v>105</c:v>
                </c:pt>
                <c:pt idx="2">
                  <c:v>12</c:v>
                </c:pt>
                <c:pt idx="3">
                  <c:v>120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379B-4878-9126-9B164879F278}"/>
            </c:ext>
          </c:extLst>
        </c:ser>
        <c:ser>
          <c:idx val="9"/>
          <c:order val="6"/>
          <c:tx>
            <c:v>Sublimationslinie</c:v>
          </c:tx>
          <c:spPr>
            <a:ln w="19050">
              <a:solidFill>
                <a:srgbClr val="333333"/>
              </a:solidFill>
            </a:ln>
          </c:spPr>
          <c:marker>
            <c:symbol val="none"/>
          </c:marker>
          <c:xVal>
            <c:numRef>
              <c:f>Diagrammdaten!$L$79:$L$103</c:f>
              <c:numCache>
                <c:formatCode>General</c:formatCode>
                <c:ptCount val="25"/>
                <c:pt idx="0">
                  <c:v>1</c:v>
                </c:pt>
                <c:pt idx="1">
                  <c:v>2.9535999999999945</c:v>
                </c:pt>
                <c:pt idx="2">
                  <c:v>4.9070000000000107</c:v>
                </c:pt>
                <c:pt idx="3">
                  <c:v>6.8606000000000051</c:v>
                </c:pt>
                <c:pt idx="4">
                  <c:v>8.813999999999993</c:v>
                </c:pt>
                <c:pt idx="5">
                  <c:v>10.767599999999987</c:v>
                </c:pt>
                <c:pt idx="6">
                  <c:v>12.721000000000004</c:v>
                </c:pt>
                <c:pt idx="7">
                  <c:v>14.674599999999998</c:v>
                </c:pt>
                <c:pt idx="8">
                  <c:v>16.627999999999986</c:v>
                </c:pt>
                <c:pt idx="9">
                  <c:v>18.581600000000009</c:v>
                </c:pt>
                <c:pt idx="10">
                  <c:v>20.534999999999997</c:v>
                </c:pt>
                <c:pt idx="11">
                  <c:v>22.488599999999991</c:v>
                </c:pt>
                <c:pt idx="12">
                  <c:v>24.442000000000007</c:v>
                </c:pt>
                <c:pt idx="13">
                  <c:v>26.395600000000002</c:v>
                </c:pt>
                <c:pt idx="14">
                  <c:v>28.34899999999999</c:v>
                </c:pt>
                <c:pt idx="15">
                  <c:v>30.302600000000012</c:v>
                </c:pt>
                <c:pt idx="16">
                  <c:v>32.256</c:v>
                </c:pt>
                <c:pt idx="17">
                  <c:v>34.209599999999995</c:v>
                </c:pt>
                <c:pt idx="18">
                  <c:v>36.162999999999997</c:v>
                </c:pt>
                <c:pt idx="19">
                  <c:v>38.116600000000005</c:v>
                </c:pt>
                <c:pt idx="20">
                  <c:v>40.069999999999993</c:v>
                </c:pt>
                <c:pt idx="21">
                  <c:v>42.023600000000002</c:v>
                </c:pt>
                <c:pt idx="22">
                  <c:v>43.977000000000004</c:v>
                </c:pt>
                <c:pt idx="23">
                  <c:v>45.930599999999998</c:v>
                </c:pt>
                <c:pt idx="24">
                  <c:v>47.884</c:v>
                </c:pt>
              </c:numCache>
            </c:numRef>
          </c:xVal>
          <c:yVal>
            <c:numRef>
              <c:f>Diagrammdaten!$K$79:$K$103</c:f>
              <c:numCache>
                <c:formatCode>General</c:formatCode>
                <c:ptCount val="25"/>
                <c:pt idx="0">
                  <c:v>0.89239999999999997</c:v>
                </c:pt>
                <c:pt idx="1">
                  <c:v>0.9677</c:v>
                </c:pt>
                <c:pt idx="2">
                  <c:v>1.0486</c:v>
                </c:pt>
                <c:pt idx="3">
                  <c:v>1.1353</c:v>
                </c:pt>
                <c:pt idx="4">
                  <c:v>1.2282999999999999</c:v>
                </c:pt>
                <c:pt idx="5">
                  <c:v>1.3280000000000001</c:v>
                </c:pt>
                <c:pt idx="6">
                  <c:v>1.4346000000000001</c:v>
                </c:pt>
                <c:pt idx="7">
                  <c:v>1.5488</c:v>
                </c:pt>
                <c:pt idx="8">
                  <c:v>1.6709000000000001</c:v>
                </c:pt>
                <c:pt idx="9">
                  <c:v>1.8013999999999999</c:v>
                </c:pt>
                <c:pt idx="10">
                  <c:v>1.9408000000000001</c:v>
                </c:pt>
                <c:pt idx="11">
                  <c:v>2.0897000000000001</c:v>
                </c:pt>
                <c:pt idx="12">
                  <c:v>2.2484999999999999</c:v>
                </c:pt>
                <c:pt idx="13">
                  <c:v>2.4180000000000001</c:v>
                </c:pt>
                <c:pt idx="14">
                  <c:v>2.5985</c:v>
                </c:pt>
                <c:pt idx="15">
                  <c:v>2.7909999999999999</c:v>
                </c:pt>
                <c:pt idx="16">
                  <c:v>2.9958999999999998</c:v>
                </c:pt>
                <c:pt idx="17">
                  <c:v>3.214</c:v>
                </c:pt>
                <c:pt idx="18">
                  <c:v>3.4462000000000002</c:v>
                </c:pt>
                <c:pt idx="19">
                  <c:v>3.6930000000000001</c:v>
                </c:pt>
                <c:pt idx="20">
                  <c:v>3.9554999999999998</c:v>
                </c:pt>
                <c:pt idx="21">
                  <c:v>4.2343999999999999</c:v>
                </c:pt>
                <c:pt idx="22">
                  <c:v>4.5308000000000002</c:v>
                </c:pt>
                <c:pt idx="23">
                  <c:v>4.8455000000000004</c:v>
                </c:pt>
                <c:pt idx="24">
                  <c:v>5.1795999999999998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79B-4878-9126-9B164879F278}"/>
            </c:ext>
          </c:extLst>
        </c:ser>
        <c:ser>
          <c:idx val="10"/>
          <c:order val="7"/>
          <c:tx>
            <c:v>Schmelzlinie</c:v>
          </c:tx>
          <c:spPr>
            <a:ln w="19050">
              <a:solidFill>
                <a:srgbClr val="5F2176"/>
              </a:solidFill>
            </a:ln>
          </c:spPr>
          <c:marker>
            <c:symbol val="none"/>
          </c:marker>
          <c:xVal>
            <c:numRef>
              <c:f>Diagrammdaten!$L$105:$L$119</c:f>
              <c:numCache>
                <c:formatCode>General</c:formatCode>
                <c:ptCount val="15"/>
                <c:pt idx="0">
                  <c:v>47.884</c:v>
                </c:pt>
                <c:pt idx="1">
                  <c:v>48.613799999999998</c:v>
                </c:pt>
                <c:pt idx="2">
                  <c:v>49.343599999999995</c:v>
                </c:pt>
                <c:pt idx="3">
                  <c:v>50.073400000000007</c:v>
                </c:pt>
                <c:pt idx="4">
                  <c:v>50.803200000000004</c:v>
                </c:pt>
                <c:pt idx="5">
                  <c:v>51.532799999999995</c:v>
                </c:pt>
                <c:pt idx="6">
                  <c:v>52.262600000000006</c:v>
                </c:pt>
                <c:pt idx="7">
                  <c:v>52.992400000000004</c:v>
                </c:pt>
                <c:pt idx="8">
                  <c:v>53.722200000000001</c:v>
                </c:pt>
                <c:pt idx="9">
                  <c:v>54.451999999999998</c:v>
                </c:pt>
                <c:pt idx="10">
                  <c:v>55.181799999999996</c:v>
                </c:pt>
                <c:pt idx="11">
                  <c:v>55.911600000000007</c:v>
                </c:pt>
                <c:pt idx="12">
                  <c:v>56.641400000000004</c:v>
                </c:pt>
                <c:pt idx="13">
                  <c:v>57.371200000000002</c:v>
                </c:pt>
                <c:pt idx="14">
                  <c:v>58.100800000000007</c:v>
                </c:pt>
              </c:numCache>
            </c:numRef>
          </c:xVal>
          <c:yVal>
            <c:numRef>
              <c:f>Diagrammdaten!$K$105:$K$119</c:f>
              <c:numCache>
                <c:formatCode>General</c:formatCode>
                <c:ptCount val="15"/>
                <c:pt idx="0">
                  <c:v>5.1795999999999998</c:v>
                </c:pt>
                <c:pt idx="1">
                  <c:v>22.274000000000001</c:v>
                </c:pt>
                <c:pt idx="2">
                  <c:v>39.428800000000003</c:v>
                </c:pt>
                <c:pt idx="3">
                  <c:v>56.643999999999998</c:v>
                </c:pt>
                <c:pt idx="4">
                  <c:v>73.919700000000006</c:v>
                </c:pt>
                <c:pt idx="5">
                  <c:v>91.255700000000004</c:v>
                </c:pt>
                <c:pt idx="6">
                  <c:v>108.6523</c:v>
                </c:pt>
                <c:pt idx="7">
                  <c:v>126.1092</c:v>
                </c:pt>
                <c:pt idx="8">
                  <c:v>143.6266</c:v>
                </c:pt>
                <c:pt idx="9">
                  <c:v>161.20439999999999</c:v>
                </c:pt>
                <c:pt idx="10">
                  <c:v>178.84270000000001</c:v>
                </c:pt>
                <c:pt idx="11">
                  <c:v>196.54130000000001</c:v>
                </c:pt>
                <c:pt idx="12">
                  <c:v>214.3005</c:v>
                </c:pt>
                <c:pt idx="13">
                  <c:v>232.12</c:v>
                </c:pt>
                <c:pt idx="14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79B-4878-9126-9B164879F278}"/>
            </c:ext>
          </c:extLst>
        </c:ser>
        <c:ser>
          <c:idx val="11"/>
          <c:order val="8"/>
          <c:tx>
            <c:v>Tripelpunkt</c:v>
          </c:tx>
          <c:spPr>
            <a:ln>
              <a:noFill/>
            </a:ln>
          </c:spPr>
          <c:marker>
            <c:symbol val="circle"/>
            <c:size val="6"/>
            <c:spPr>
              <a:solidFill>
                <a:srgbClr val="000000"/>
              </a:solidFill>
              <a:ln>
                <a:solidFill>
                  <a:srgbClr val="000000"/>
                </a:solidFill>
              </a:ln>
            </c:spPr>
          </c:marker>
          <c:xVal>
            <c:numRef>
              <c:f>Diagrammdaten!$L$121</c:f>
              <c:numCache>
                <c:formatCode>General</c:formatCode>
                <c:ptCount val="1"/>
                <c:pt idx="0">
                  <c:v>47.884</c:v>
                </c:pt>
              </c:numCache>
            </c:numRef>
          </c:xVal>
          <c:yVal>
            <c:numRef>
              <c:f>Diagrammdaten!$K$121</c:f>
              <c:numCache>
                <c:formatCode>General</c:formatCode>
                <c:ptCount val="1"/>
                <c:pt idx="0">
                  <c:v>5.1795999999999998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79B-4878-9126-9B164879F278}"/>
            </c:ext>
          </c:extLst>
        </c:ser>
        <c:ser>
          <c:idx val="12"/>
          <c:order val="9"/>
          <c:tx>
            <c:v>Kritischer Punkt reines CO₂</c:v>
          </c:tx>
          <c:spPr>
            <a:ln>
              <a:noFill/>
            </a:ln>
          </c:spPr>
          <c:marker>
            <c:symbol val="circle"/>
            <c:size val="8"/>
            <c:spPr>
              <a:solidFill>
                <a:srgbClr val="CA220E"/>
              </a:solidFill>
              <a:ln>
                <a:solidFill>
                  <a:srgbClr val="CA220E"/>
                </a:solidFill>
              </a:ln>
            </c:spPr>
          </c:marker>
          <c:xVal>
            <c:numRef>
              <c:f>Diagrammdaten!$L$380</c:f>
              <c:numCache>
                <c:formatCode>General</c:formatCode>
                <c:ptCount val="1"/>
                <c:pt idx="0">
                  <c:v>222.95640000596143</c:v>
                </c:pt>
              </c:numCache>
            </c:numRef>
          </c:xVal>
          <c:yVal>
            <c:numRef>
              <c:f>Diagrammdaten!$K$380</c:f>
              <c:numCache>
                <c:formatCode>General</c:formatCode>
                <c:ptCount val="1"/>
                <c:pt idx="0">
                  <c:v>73.772983734467516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379B-4878-9126-9B164879F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080001"/>
        <c:axId val="60080002"/>
      </c:scatterChart>
      <c:catAx>
        <c:axId val="5008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aseline="0"/>
                </a:pPr>
                <a:r>
                  <a:rPr lang="en-US" sz="1000" baseline="0"/>
                  <a:t>Temperatur [°C]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900" baseline="0"/>
            </a:pPr>
            <a:endParaRPr lang="en-US"/>
          </a:p>
        </c:txPr>
        <c:crossAx val="50080002"/>
        <c:crosses val="autoZero"/>
        <c:auto val="1"/>
        <c:lblAlgn val="ctr"/>
        <c:lblOffset val="100"/>
        <c:tickLblSkip val="40"/>
        <c:tickMarkSkip val="40"/>
        <c:noMultiLvlLbl val="0"/>
      </c:catAx>
      <c:valAx>
        <c:axId val="50080002"/>
        <c:scaling>
          <c:orientation val="minMax"/>
          <c:max val="130"/>
          <c:min val="0"/>
        </c:scaling>
        <c:delete val="0"/>
        <c:axPos val="l"/>
        <c:majorGridlines>
          <c:spPr>
            <a:ln w="6350">
              <a:solidFill>
                <a:srgbClr val="FFFFFF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aseline="0"/>
                </a:pPr>
                <a:r>
                  <a:rPr lang="en-US" sz="1000" baseline="0"/>
                  <a:t>Druck [bar]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80001"/>
        <c:crosses val="autoZero"/>
        <c:crossBetween val="between"/>
        <c:majorUnit val="10"/>
      </c:valAx>
      <c:valAx>
        <c:axId val="60080002"/>
        <c:scaling>
          <c:orientation val="minMax"/>
          <c:max val="130"/>
          <c:min val="0"/>
        </c:scaling>
        <c:delete val="1"/>
        <c:axPos val="r"/>
        <c:numFmt formatCode="General" sourceLinked="1"/>
        <c:majorTickMark val="out"/>
        <c:minorTickMark val="none"/>
        <c:tickLblPos val="nextTo"/>
        <c:crossAx val="60080001"/>
        <c:crosses val="max"/>
        <c:crossBetween val="midCat"/>
      </c:valAx>
      <c:valAx>
        <c:axId val="6008000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60080002"/>
        <c:crosses val="autoZero"/>
        <c:crossBetween val="midCat"/>
      </c:valAx>
    </c:plotArea>
    <c:legend>
      <c:legendPos val="r"/>
      <c:legendEntry>
        <c:idx val="5"/>
        <c:delete val="1"/>
      </c:legendEntry>
      <c:overlay val="0"/>
      <c:txPr>
        <a:bodyPr/>
        <a:lstStyle/>
        <a:p>
          <a:pPr>
            <a:defRPr sz="900" baseline="0"/>
          </a:pPr>
          <a:endParaRPr lang="en-US"/>
        </a:p>
      </c:txPr>
    </c:legend>
    <c:plotVisOnly val="1"/>
    <c:dispBlanksAs val="zero"/>
    <c:showDLblsOverMax val="0"/>
  </c:chart>
  <c:spPr>
    <a:ln>
      <a:solidFill>
        <a:srgbClr val="BFBFB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>
                <a:solidFill>
                  <a:srgbClr val="00304F"/>
                </a:solidFill>
              </a:defRPr>
            </a:pPr>
            <a:r>
              <a:rPr lang="en-US" sz="1200" b="1" baseline="0">
                <a:solidFill>
                  <a:srgbClr val="00304F"/>
                </a:solidFill>
              </a:rPr>
              <a:t>Worst-Case-Gemisch: Zweiphasengebiet zwischen Tau- und Blasenlinie</a:t>
            </a:r>
          </a:p>
        </c:rich>
      </c:tx>
      <c:overlay val="0"/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Diagrammdaten!$D$7</c:f>
              <c:strCache>
                <c:ptCount val="1"/>
                <c:pt idx="0">
                  <c:v>gasförmig [bar]</c:v>
                </c:pt>
              </c:strCache>
            </c:strRef>
          </c:tx>
          <c:spPr>
            <a:solidFill>
              <a:srgbClr val="CFE2F3"/>
            </a:solidFill>
            <a:ln>
              <a:noFill/>
            </a:ln>
          </c:spPr>
          <c:cat>
            <c:strRef>
              <c:f>Diagrammdaten!$C$8:$C$388</c:f>
              <c:strCache>
                <c:ptCount val="361"/>
                <c:pt idx="0">
                  <c:v>-80</c:v>
                </c:pt>
                <c:pt idx="40">
                  <c:v>-60</c:v>
                </c:pt>
                <c:pt idx="80">
                  <c:v>-40</c:v>
                </c:pt>
                <c:pt idx="120">
                  <c:v>-20</c:v>
                </c:pt>
                <c:pt idx="160">
                  <c:v>0</c:v>
                </c:pt>
                <c:pt idx="200">
                  <c:v>20</c:v>
                </c:pt>
                <c:pt idx="240">
                  <c:v>40</c:v>
                </c:pt>
                <c:pt idx="280">
                  <c:v>60</c:v>
                </c:pt>
                <c:pt idx="320">
                  <c:v>80</c:v>
                </c:pt>
                <c:pt idx="360">
                  <c:v>100</c:v>
                </c:pt>
              </c:strCache>
            </c:strRef>
          </c:cat>
          <c:val>
            <c:numRef>
              <c:f>Diagrammdaten!$D$8:$D$388</c:f>
              <c:numCache>
                <c:formatCode>General</c:formatCode>
                <c:ptCount val="381"/>
                <c:pt idx="0">
                  <c:v>0.89241567971802016</c:v>
                </c:pt>
                <c:pt idx="1">
                  <c:v>0.93029797403040304</c:v>
                </c:pt>
                <c:pt idx="2">
                  <c:v>0.96958837381022944</c:v>
                </c:pt>
                <c:pt idx="3">
                  <c:v>1.010331934508877</c:v>
                </c:pt>
                <c:pt idx="4">
                  <c:v>1.0525749397826214</c:v>
                </c:pt>
                <c:pt idx="5">
                  <c:v>1.0963649308553405</c:v>
                </c:pt>
                <c:pt idx="6">
                  <c:v>1.1417507366031867</c:v>
                </c:pt>
                <c:pt idx="7">
                  <c:v>1.1887825043863187</c:v>
                </c:pt>
                <c:pt idx="8">
                  <c:v>1.2375117316542428</c:v>
                </c:pt>
                <c:pt idx="9">
                  <c:v>1.2879912983528754</c:v>
                </c:pt>
                <c:pt idx="10">
                  <c:v>1.340275500163288</c:v>
                </c:pt>
                <c:pt idx="11">
                  <c:v>1.3944200826039743</c:v>
                </c:pt>
                <c:pt idx="12">
                  <c:v>1.4504822760307026</c:v>
                </c:pt>
                <c:pt idx="13">
                  <c:v>1.5085208315704552</c:v>
                </c:pt>
                <c:pt idx="14">
                  <c:v>1.5685960580286391</c:v>
                </c:pt>
                <c:pt idx="15">
                  <c:v>1.6307698598119242</c:v>
                </c:pt>
                <c:pt idx="16">
                  <c:v>1.6951057759124981</c:v>
                </c:pt>
                <c:pt idx="17">
                  <c:v>1.7616690200035732</c:v>
                </c:pt>
                <c:pt idx="18">
                  <c:v>1.8305265217005857</c:v>
                </c:pt>
                <c:pt idx="19">
                  <c:v>1.901746969047835</c:v>
                </c:pt>
                <c:pt idx="20">
                  <c:v>1.9754008522965969</c:v>
                </c:pt>
                <c:pt idx="21">
                  <c:v>2.0515605090479743</c:v>
                </c:pt>
                <c:pt idx="22">
                  <c:v>2.1303001708424727</c:v>
                </c:pt>
                <c:pt idx="23">
                  <c:v>2.2116960112886028</c:v>
                </c:pt>
                <c:pt idx="24">
                  <c:v>2.2958261958352479</c:v>
                </c:pt>
                <c:pt idx="25">
                  <c:v>2.3827709333077967</c:v>
                </c:pt>
                <c:pt idx="26">
                  <c:v>2.4726125293466135</c:v>
                </c:pt>
                <c:pt idx="27">
                  <c:v>2.5654354419096896</c:v>
                </c:pt>
                <c:pt idx="28">
                  <c:v>2.6613263390304978</c:v>
                </c:pt>
                <c:pt idx="29">
                  <c:v>2.7603741590594004</c:v>
                </c:pt>
                <c:pt idx="30">
                  <c:v>2.862670173664994</c:v>
                </c:pt>
                <c:pt idx="31">
                  <c:v>2.9683080539352531</c:v>
                </c:pt>
                <c:pt idx="32">
                  <c:v>3.0773839400026244</c:v>
                </c:pt>
                <c:pt idx="33">
                  <c:v>3.1899965147323135</c:v>
                </c:pt>
                <c:pt idx="34">
                  <c:v>3.3062470821726935</c:v>
                </c:pt>
                <c:pt idx="35">
                  <c:v>3.426239651693705</c:v>
                </c:pt>
                <c:pt idx="36">
                  <c:v>3.5500810290707134</c:v>
                </c:pt>
                <c:pt idx="37">
                  <c:v>3.6778809162695403</c:v>
                </c:pt>
                <c:pt idx="38">
                  <c:v>3.8097520224647976</c:v>
                </c:pt>
                <c:pt idx="39">
                  <c:v>3.9458101900827693</c:v>
                </c:pt>
                <c:pt idx="40">
                  <c:v>4.0861745418042217</c:v>
                </c:pt>
                <c:pt idx="41">
                  <c:v>4.2309676583365281</c:v>
                </c:pt>
                <c:pt idx="42">
                  <c:v>4.3803158042993156</c:v>
                </c:pt>
                <c:pt idx="43">
                  <c:v>4.5343492356916677</c:v>
                </c:pt>
                <c:pt idx="44">
                  <c:v>4.6932026616762457</c:v>
                </c:pt>
                <c:pt idx="45">
                  <c:v>4.8570160489607197</c:v>
                </c:pt>
                <c:pt idx="46">
                  <c:v>5.0259364249698981</c:v>
                </c:pt>
                <c:pt idx="47">
                  <c:v>5.4919860799449749</c:v>
                </c:pt>
                <c:pt idx="48">
                  <c:v>5.6127439371801966</c:v>
                </c:pt>
                <c:pt idx="49">
                  <c:v>5.7355076682387329</c:v>
                </c:pt>
                <c:pt idx="50">
                  <c:v>5.8602987779670137</c:v>
                </c:pt>
                <c:pt idx="51">
                  <c:v>5.9871388591800443</c:v>
                </c:pt>
                <c:pt idx="52">
                  <c:v>6.1160495926643224</c:v>
                </c:pt>
                <c:pt idx="53">
                  <c:v>6.2470527471981425</c:v>
                </c:pt>
                <c:pt idx="54">
                  <c:v>6.3801701795764982</c:v>
                </c:pt>
                <c:pt idx="55">
                  <c:v>6.5154238347897238</c:v>
                </c:pt>
                <c:pt idx="56">
                  <c:v>6.6528357460767671</c:v>
                </c:pt>
                <c:pt idx="57">
                  <c:v>6.7924280351432822</c:v>
                </c:pt>
                <c:pt idx="58">
                  <c:v>6.9342229123897052</c:v>
                </c:pt>
                <c:pt idx="59">
                  <c:v>7.0782426771019722</c:v>
                </c:pt>
                <c:pt idx="60">
                  <c:v>7.2245097178489024</c:v>
                </c:pt>
                <c:pt idx="61">
                  <c:v>7.3730465127103502</c:v>
                </c:pt>
                <c:pt idx="62">
                  <c:v>7.5238756297246789</c:v>
                </c:pt>
                <c:pt idx="63">
                  <c:v>7.6770197272943728</c:v>
                </c:pt>
                <c:pt idx="64">
                  <c:v>7.8324218604236382</c:v>
                </c:pt>
                <c:pt idx="65">
                  <c:v>7.9903439524663922</c:v>
                </c:pt>
                <c:pt idx="66">
                  <c:v>8.1505698531683723</c:v>
                </c:pt>
                <c:pt idx="67">
                  <c:v>8.3132022818456477</c:v>
                </c:pt>
                <c:pt idx="68">
                  <c:v>8.4782643567241394</c:v>
                </c:pt>
                <c:pt idx="69">
                  <c:v>8.6457792899035155</c:v>
                </c:pt>
                <c:pt idx="70">
                  <c:v>8.8157703881778495</c:v>
                </c:pt>
                <c:pt idx="71">
                  <c:v>8.9882610537478094</c:v>
                </c:pt>
                <c:pt idx="72">
                  <c:v>9.1632747851362311</c:v>
                </c:pt>
                <c:pt idx="73">
                  <c:v>9.3408351781147942</c:v>
                </c:pt>
                <c:pt idx="74">
                  <c:v>9.5209659265827469</c:v>
                </c:pt>
                <c:pt idx="75">
                  <c:v>9.7036908236466317</c:v>
                </c:pt>
                <c:pt idx="76">
                  <c:v>9.889033762673316</c:v>
                </c:pt>
                <c:pt idx="77">
                  <c:v>10.077018738400762</c:v>
                </c:pt>
                <c:pt idx="78">
                  <c:v>10.267669848055281</c:v>
                </c:pt>
                <c:pt idx="79">
                  <c:v>10.461011292705777</c:v>
                </c:pt>
                <c:pt idx="80">
                  <c:v>10.65706737848825</c:v>
                </c:pt>
                <c:pt idx="81">
                  <c:v>10.855862517881613</c:v>
                </c:pt>
                <c:pt idx="82">
                  <c:v>11.057421231298767</c:v>
                </c:pt>
                <c:pt idx="83">
                  <c:v>11.261768148424618</c:v>
                </c:pt>
                <c:pt idx="84">
                  <c:v>11.46892800980112</c:v>
                </c:pt>
                <c:pt idx="85">
                  <c:v>11.678925668469054</c:v>
                </c:pt>
                <c:pt idx="86">
                  <c:v>11.891786091679583</c:v>
                </c:pt>
                <c:pt idx="87">
                  <c:v>12.107534362600649</c:v>
                </c:pt>
                <c:pt idx="88">
                  <c:v>12.326195682274205</c:v>
                </c:pt>
                <c:pt idx="89">
                  <c:v>12.547795371500028</c:v>
                </c:pt>
                <c:pt idx="90">
                  <c:v>12.772358872889802</c:v>
                </c:pt>
                <c:pt idx="91">
                  <c:v>12.999911753042955</c:v>
                </c:pt>
                <c:pt idx="92">
                  <c:v>13.230479704752533</c:v>
                </c:pt>
                <c:pt idx="93">
                  <c:v>13.464088549338307</c:v>
                </c:pt>
                <c:pt idx="94">
                  <c:v>13.700764239189271</c:v>
                </c:pt>
                <c:pt idx="95">
                  <c:v>13.940532860287671</c:v>
                </c:pt>
                <c:pt idx="96">
                  <c:v>14.183351703185131</c:v>
                </c:pt>
                <c:pt idx="97">
                  <c:v>14.429453924659507</c:v>
                </c:pt>
                <c:pt idx="98">
                  <c:v>14.678659233038044</c:v>
                </c:pt>
                <c:pt idx="99">
                  <c:v>14.931063208978326</c:v>
                </c:pt>
                <c:pt idx="100">
                  <c:v>15.186692649944018</c:v>
                </c:pt>
                <c:pt idx="101">
                  <c:v>15.445574505341019</c:v>
                </c:pt>
                <c:pt idx="102">
                  <c:v>15.707735880186359</c:v>
                </c:pt>
                <c:pt idx="103">
                  <c:v>15.973204038727578</c:v>
                </c:pt>
                <c:pt idx="104">
                  <c:v>16.242006408537232</c:v>
                </c:pt>
                <c:pt idx="105">
                  <c:v>16.514170584509827</c:v>
                </c:pt>
                <c:pt idx="106">
                  <c:v>16.789724333197771</c:v>
                </c:pt>
                <c:pt idx="107">
                  <c:v>17.06869559729407</c:v>
                </c:pt>
                <c:pt idx="108">
                  <c:v>17.351112500347501</c:v>
                </c:pt>
                <c:pt idx="109">
                  <c:v>17.637003351619452</c:v>
                </c:pt>
                <c:pt idx="110">
                  <c:v>17.926396651249259</c:v>
                </c:pt>
                <c:pt idx="111">
                  <c:v>18.219321095572891</c:v>
                </c:pt>
                <c:pt idx="112">
                  <c:v>18.515805582712161</c:v>
                </c:pt>
                <c:pt idx="113">
                  <c:v>18.815879218407041</c:v>
                </c:pt>
                <c:pt idx="114">
                  <c:v>19.119571322090206</c:v>
                </c:pt>
                <c:pt idx="115">
                  <c:v>19.426911433245074</c:v>
                </c:pt>
                <c:pt idx="116">
                  <c:v>19.737929318057201</c:v>
                </c:pt>
                <c:pt idx="117">
                  <c:v>20.052654976276475</c:v>
                </c:pt>
                <c:pt idx="118">
                  <c:v>20.371118648517893</c:v>
                </c:pt>
                <c:pt idx="119">
                  <c:v>20.693350823792674</c:v>
                </c:pt>
                <c:pt idx="120">
                  <c:v>21.019382247337123</c:v>
                </c:pt>
                <c:pt idx="121">
                  <c:v>21.349243928996074</c:v>
                </c:pt>
                <c:pt idx="122">
                  <c:v>21.682967151690651</c:v>
                </c:pt>
                <c:pt idx="123">
                  <c:v>22.020583480496693</c:v>
                </c:pt>
                <c:pt idx="124">
                  <c:v>22.362124772082222</c:v>
                </c:pt>
                <c:pt idx="125">
                  <c:v>22.707623184526081</c:v>
                </c:pt>
                <c:pt idx="126">
                  <c:v>23.057111187672984</c:v>
                </c:pt>
                <c:pt idx="127">
                  <c:v>23.410621573866361</c:v>
                </c:pt>
                <c:pt idx="128">
                  <c:v>23.768187469338002</c:v>
                </c:pt>
                <c:pt idx="129">
                  <c:v>24.12984234599627</c:v>
                </c:pt>
                <c:pt idx="130">
                  <c:v>24.495620033870402</c:v>
                </c:pt>
                <c:pt idx="131">
                  <c:v>24.865534504483001</c:v>
                </c:pt>
                <c:pt idx="132">
                  <c:v>25.239681032717183</c:v>
                </c:pt>
                <c:pt idx="133">
                  <c:v>25.618033914754317</c:v>
                </c:pt>
                <c:pt idx="134">
                  <c:v>26.000648779532593</c:v>
                </c:pt>
                <c:pt idx="135">
                  <c:v>26.387561456360864</c:v>
                </c:pt>
                <c:pt idx="136">
                  <c:v>26.77880822122118</c:v>
                </c:pt>
                <c:pt idx="137">
                  <c:v>27.174425814219134</c:v>
                </c:pt>
                <c:pt idx="138">
                  <c:v>27.574451458074829</c:v>
                </c:pt>
                <c:pt idx="139">
                  <c:v>27.978922877476542</c:v>
                </c:pt>
                <c:pt idx="140">
                  <c:v>28.387878319565097</c:v>
                </c:pt>
                <c:pt idx="141">
                  <c:v>28.801356575535983</c:v>
                </c:pt>
                <c:pt idx="142">
                  <c:v>29.21966600247509</c:v>
                </c:pt>
                <c:pt idx="143">
                  <c:v>29.644089510561468</c:v>
                </c:pt>
                <c:pt idx="144">
                  <c:v>30.069598596144392</c:v>
                </c:pt>
                <c:pt idx="145">
                  <c:v>30.503380530925153</c:v>
                </c:pt>
                <c:pt idx="146">
                  <c:v>30.937988822707315</c:v>
                </c:pt>
                <c:pt idx="147">
                  <c:v>31.379452087235325</c:v>
                </c:pt>
                <c:pt idx="148">
                  <c:v>31.82572702823888</c:v>
                </c:pt>
                <c:pt idx="149">
                  <c:v>32.276857732169212</c:v>
                </c:pt>
                <c:pt idx="150">
                  <c:v>32.732889090722054</c:v>
                </c:pt>
                <c:pt idx="151">
                  <c:v>33.193866839690045</c:v>
                </c:pt>
                <c:pt idx="152">
                  <c:v>33.659837600410995</c:v>
                </c:pt>
                <c:pt idx="153">
                  <c:v>34.130848923988133</c:v>
                </c:pt>
                <c:pt idx="154">
                  <c:v>34.606949338621241</c:v>
                </c:pt>
                <c:pt idx="155">
                  <c:v>35.088188400233264</c:v>
                </c:pt>
                <c:pt idx="156">
                  <c:v>35.574616746776918</c:v>
                </c:pt>
                <c:pt idx="157">
                  <c:v>36.066286156425733</c:v>
                </c:pt>
                <c:pt idx="158">
                  <c:v>36.563249610200728</c:v>
                </c:pt>
                <c:pt idx="159">
                  <c:v>37.065561359218584</c:v>
                </c:pt>
                <c:pt idx="160">
                  <c:v>37.573276997210179</c:v>
                </c:pt>
                <c:pt idx="161">
                  <c:v>38.086453538633471</c:v>
                </c:pt>
                <c:pt idx="162">
                  <c:v>38.60514950304249</c:v>
                </c:pt>
                <c:pt idx="163">
                  <c:v>39.129425006292543</c:v>
                </c:pt>
                <c:pt idx="164">
                  <c:v>39.659341859162808</c:v>
                </c:pt>
                <c:pt idx="165">
                  <c:v>40.19496367434504</c:v>
                </c:pt>
                <c:pt idx="166">
                  <c:v>40.736355982418857</c:v>
                </c:pt>
                <c:pt idx="167">
                  <c:v>41.283586357901441</c:v>
                </c:pt>
                <c:pt idx="168">
                  <c:v>41.836420633447588</c:v>
                </c:pt>
                <c:pt idx="169">
                  <c:v>42.3958426640854</c:v>
                </c:pt>
                <c:pt idx="170">
                  <c:v>42.961015260630354</c:v>
                </c:pt>
                <c:pt idx="171">
                  <c:v>43.532319597590259</c:v>
                </c:pt>
                <c:pt idx="172">
                  <c:v>44.109835793581581</c:v>
                </c:pt>
                <c:pt idx="173">
                  <c:v>44.693647048409758</c:v>
                </c:pt>
                <c:pt idx="174">
                  <c:v>45.283839878592119</c:v>
                </c:pt>
                <c:pt idx="175">
                  <c:v>45.880504376789766</c:v>
                </c:pt>
                <c:pt idx="176">
                  <c:v>46.483734498420105</c:v>
                </c:pt>
                <c:pt idx="177">
                  <c:v>47.093628379086717</c:v>
                </c:pt>
                <c:pt idx="178">
                  <c:v>47.710288687124077</c:v>
                </c:pt>
                <c:pt idx="179">
                  <c:v>48.333823016385388</c:v>
                </c:pt>
                <c:pt idx="180">
                  <c:v>48.964344325289865</c:v>
                </c:pt>
                <c:pt idx="181">
                  <c:v>49.601909301745991</c:v>
                </c:pt>
                <c:pt idx="182">
                  <c:v>50.246829555681302</c:v>
                </c:pt>
                <c:pt idx="183">
                  <c:v>50.899050970206332</c:v>
                </c:pt>
                <c:pt idx="184">
                  <c:v>51.558775689360345</c:v>
                </c:pt>
                <c:pt idx="185">
                  <c:v>52.226152292085246</c:v>
                </c:pt>
                <c:pt idx="186">
                  <c:v>52.901338850141386</c:v>
                </c:pt>
                <c:pt idx="187">
                  <c:v>53.584503999302882</c:v>
                </c:pt>
                <c:pt idx="188">
                  <c:v>54.275828179093409</c:v>
                </c:pt>
                <c:pt idx="189">
                  <c:v>54.975505075157592</c:v>
                </c:pt>
                <c:pt idx="190">
                  <c:v>55.683743306690538</c:v>
                </c:pt>
                <c:pt idx="191">
                  <c:v>56.400768411846606</c:v>
                </c:pt>
                <c:pt idx="192">
                  <c:v>57.126825197876414</c:v>
                </c:pt>
                <c:pt idx="193">
                  <c:v>57.862180540579779</c:v>
                </c:pt>
                <c:pt idx="194">
                  <c:v>58.607126741337744</c:v>
                </c:pt>
                <c:pt idx="195">
                  <c:v>59.361985581713512</c:v>
                </c:pt>
                <c:pt idx="196">
                  <c:v>60.131197783688393</c:v>
                </c:pt>
                <c:pt idx="197">
                  <c:v>60.94092026147699</c:v>
                </c:pt>
                <c:pt idx="198">
                  <c:v>61.750642739265587</c:v>
                </c:pt>
                <c:pt idx="199">
                  <c:v>62.560365217054184</c:v>
                </c:pt>
                <c:pt idx="200">
                  <c:v>63.37008769484278</c:v>
                </c:pt>
                <c:pt idx="201">
                  <c:v>64.179810172631377</c:v>
                </c:pt>
                <c:pt idx="202">
                  <c:v>64.989532650419974</c:v>
                </c:pt>
                <c:pt idx="203">
                  <c:v>65.817354559425965</c:v>
                </c:pt>
                <c:pt idx="204">
                  <c:v>66.703568505223032</c:v>
                </c:pt>
                <c:pt idx="205">
                  <c:v>67.589782451020099</c:v>
                </c:pt>
                <c:pt idx="206">
                  <c:v>68.475996396817166</c:v>
                </c:pt>
                <c:pt idx="207">
                  <c:v>69.40522495773665</c:v>
                </c:pt>
                <c:pt idx="208">
                  <c:v>70.363800093024707</c:v>
                </c:pt>
                <c:pt idx="209">
                  <c:v>71.322375228312765</c:v>
                </c:pt>
                <c:pt idx="210">
                  <c:v>72.325229642539654</c:v>
                </c:pt>
                <c:pt idx="211">
                  <c:v>73.38015838022605</c:v>
                </c:pt>
                <c:pt idx="212">
                  <c:v>74.43508711791246</c:v>
                </c:pt>
                <c:pt idx="213">
                  <c:v>75.61815476681673</c:v>
                </c:pt>
                <c:pt idx="214">
                  <c:v>76.817922880286346</c:v>
                </c:pt>
                <c:pt idx="215">
                  <c:v>78.254414833855236</c:v>
                </c:pt>
                <c:pt idx="216">
                  <c:v>81.455055721913254</c:v>
                </c:pt>
                <c:pt idx="217">
                  <c:v>81.455055721913254</c:v>
                </c:pt>
                <c:pt idx="218">
                  <c:v>81.455055721913254</c:v>
                </c:pt>
                <c:pt idx="219">
                  <c:v>81.455055721913254</c:v>
                </c:pt>
                <c:pt idx="220">
                  <c:v>81.455055721913254</c:v>
                </c:pt>
                <c:pt idx="221">
                  <c:v>81.455055721913254</c:v>
                </c:pt>
                <c:pt idx="222">
                  <c:v>81.455055721913254</c:v>
                </c:pt>
                <c:pt idx="223">
                  <c:v>81.455055721913254</c:v>
                </c:pt>
                <c:pt idx="224">
                  <c:v>81.455055721913254</c:v>
                </c:pt>
                <c:pt idx="225">
                  <c:v>81.455055721913254</c:v>
                </c:pt>
                <c:pt idx="226">
                  <c:v>81.455055721913254</c:v>
                </c:pt>
                <c:pt idx="227">
                  <c:v>81.455055721913254</c:v>
                </c:pt>
                <c:pt idx="228">
                  <c:v>81.455055721913254</c:v>
                </c:pt>
                <c:pt idx="229">
                  <c:v>81.455055721913254</c:v>
                </c:pt>
                <c:pt idx="230">
                  <c:v>81.455055721913254</c:v>
                </c:pt>
                <c:pt idx="231">
                  <c:v>81.455055721913254</c:v>
                </c:pt>
                <c:pt idx="232">
                  <c:v>81.455055721913254</c:v>
                </c:pt>
                <c:pt idx="233">
                  <c:v>81.455055721913254</c:v>
                </c:pt>
                <c:pt idx="234">
                  <c:v>81.455055721913254</c:v>
                </c:pt>
                <c:pt idx="235">
                  <c:v>81.455055721913254</c:v>
                </c:pt>
                <c:pt idx="236">
                  <c:v>81.455055721913254</c:v>
                </c:pt>
                <c:pt idx="237">
                  <c:v>81.455055721913254</c:v>
                </c:pt>
                <c:pt idx="238">
                  <c:v>81.455055721913254</c:v>
                </c:pt>
                <c:pt idx="239">
                  <c:v>81.455055721913254</c:v>
                </c:pt>
                <c:pt idx="240">
                  <c:v>81.455055721913254</c:v>
                </c:pt>
                <c:pt idx="241">
                  <c:v>81.455055721913254</c:v>
                </c:pt>
                <c:pt idx="242">
                  <c:v>81.455055721913254</c:v>
                </c:pt>
                <c:pt idx="243">
                  <c:v>81.455055721913254</c:v>
                </c:pt>
                <c:pt idx="244">
                  <c:v>81.455055721913254</c:v>
                </c:pt>
                <c:pt idx="245">
                  <c:v>81.455055721913254</c:v>
                </c:pt>
                <c:pt idx="246">
                  <c:v>81.455055721913254</c:v>
                </c:pt>
                <c:pt idx="247">
                  <c:v>81.455055721913254</c:v>
                </c:pt>
                <c:pt idx="248">
                  <c:v>81.455055721913254</c:v>
                </c:pt>
                <c:pt idx="249">
                  <c:v>81.455055721913254</c:v>
                </c:pt>
                <c:pt idx="250">
                  <c:v>81.455055721913254</c:v>
                </c:pt>
                <c:pt idx="251">
                  <c:v>81.455055721913254</c:v>
                </c:pt>
                <c:pt idx="252">
                  <c:v>81.455055721913254</c:v>
                </c:pt>
                <c:pt idx="253">
                  <c:v>81.455055721913254</c:v>
                </c:pt>
                <c:pt idx="254">
                  <c:v>81.455055721913254</c:v>
                </c:pt>
                <c:pt idx="255">
                  <c:v>81.455055721913254</c:v>
                </c:pt>
                <c:pt idx="256">
                  <c:v>81.455055721913254</c:v>
                </c:pt>
                <c:pt idx="257">
                  <c:v>81.455055721913254</c:v>
                </c:pt>
                <c:pt idx="258">
                  <c:v>81.455055721913254</c:v>
                </c:pt>
                <c:pt idx="259">
                  <c:v>81.455055721913254</c:v>
                </c:pt>
                <c:pt idx="260">
                  <c:v>81.455055721913254</c:v>
                </c:pt>
                <c:pt idx="261">
                  <c:v>81.455055721913254</c:v>
                </c:pt>
                <c:pt idx="262">
                  <c:v>81.455055721913254</c:v>
                </c:pt>
                <c:pt idx="263">
                  <c:v>81.455055721913254</c:v>
                </c:pt>
                <c:pt idx="264">
                  <c:v>81.455055721913254</c:v>
                </c:pt>
                <c:pt idx="265">
                  <c:v>81.455055721913254</c:v>
                </c:pt>
                <c:pt idx="266">
                  <c:v>81.455055721913254</c:v>
                </c:pt>
                <c:pt idx="267">
                  <c:v>81.455055721913254</c:v>
                </c:pt>
                <c:pt idx="268">
                  <c:v>81.455055721913254</c:v>
                </c:pt>
                <c:pt idx="269">
                  <c:v>81.455055721913254</c:v>
                </c:pt>
                <c:pt idx="270">
                  <c:v>81.455055721913254</c:v>
                </c:pt>
                <c:pt idx="271">
                  <c:v>81.455055721913254</c:v>
                </c:pt>
                <c:pt idx="272">
                  <c:v>81.455055721913254</c:v>
                </c:pt>
                <c:pt idx="273">
                  <c:v>81.455055721913254</c:v>
                </c:pt>
                <c:pt idx="274">
                  <c:v>81.455055721913254</c:v>
                </c:pt>
                <c:pt idx="275">
                  <c:v>81.455055721913254</c:v>
                </c:pt>
                <c:pt idx="276">
                  <c:v>81.455055721913254</c:v>
                </c:pt>
                <c:pt idx="277">
                  <c:v>81.455055721913254</c:v>
                </c:pt>
                <c:pt idx="278">
                  <c:v>81.455055721913254</c:v>
                </c:pt>
                <c:pt idx="279">
                  <c:v>81.455055721913254</c:v>
                </c:pt>
                <c:pt idx="280">
                  <c:v>81.455055721913254</c:v>
                </c:pt>
                <c:pt idx="281">
                  <c:v>81.455055721913254</c:v>
                </c:pt>
                <c:pt idx="282">
                  <c:v>81.455055721913254</c:v>
                </c:pt>
                <c:pt idx="283">
                  <c:v>81.455055721913254</c:v>
                </c:pt>
                <c:pt idx="284">
                  <c:v>81.455055721913254</c:v>
                </c:pt>
                <c:pt idx="285">
                  <c:v>81.455055721913254</c:v>
                </c:pt>
                <c:pt idx="286">
                  <c:v>81.455055721913254</c:v>
                </c:pt>
                <c:pt idx="287">
                  <c:v>81.455055721913254</c:v>
                </c:pt>
                <c:pt idx="288">
                  <c:v>81.455055721913254</c:v>
                </c:pt>
                <c:pt idx="289">
                  <c:v>81.455055721913254</c:v>
                </c:pt>
                <c:pt idx="290">
                  <c:v>81.455055721913254</c:v>
                </c:pt>
                <c:pt idx="291">
                  <c:v>81.455055721913254</c:v>
                </c:pt>
                <c:pt idx="292">
                  <c:v>81.455055721913254</c:v>
                </c:pt>
                <c:pt idx="293">
                  <c:v>81.455055721913254</c:v>
                </c:pt>
                <c:pt idx="294">
                  <c:v>81.455055721913254</c:v>
                </c:pt>
                <c:pt idx="295">
                  <c:v>81.455055721913254</c:v>
                </c:pt>
                <c:pt idx="296">
                  <c:v>81.455055721913254</c:v>
                </c:pt>
                <c:pt idx="297">
                  <c:v>81.455055721913254</c:v>
                </c:pt>
                <c:pt idx="298">
                  <c:v>81.455055721913254</c:v>
                </c:pt>
                <c:pt idx="299">
                  <c:v>81.455055721913254</c:v>
                </c:pt>
                <c:pt idx="300">
                  <c:v>81.455055721913254</c:v>
                </c:pt>
                <c:pt idx="301">
                  <c:v>81.455055721913254</c:v>
                </c:pt>
                <c:pt idx="302">
                  <c:v>81.455055721913254</c:v>
                </c:pt>
                <c:pt idx="303">
                  <c:v>81.455055721913254</c:v>
                </c:pt>
                <c:pt idx="304">
                  <c:v>81.455055721913254</c:v>
                </c:pt>
                <c:pt idx="305">
                  <c:v>81.455055721913254</c:v>
                </c:pt>
                <c:pt idx="306">
                  <c:v>81.455055721913254</c:v>
                </c:pt>
                <c:pt idx="307">
                  <c:v>81.455055721913254</c:v>
                </c:pt>
                <c:pt idx="308">
                  <c:v>81.455055721913254</c:v>
                </c:pt>
                <c:pt idx="309">
                  <c:v>81.455055721913254</c:v>
                </c:pt>
                <c:pt idx="310">
                  <c:v>81.455055721913254</c:v>
                </c:pt>
                <c:pt idx="311">
                  <c:v>81.455055721913254</c:v>
                </c:pt>
                <c:pt idx="312">
                  <c:v>81.455055721913254</c:v>
                </c:pt>
                <c:pt idx="313">
                  <c:v>81.455055721913254</c:v>
                </c:pt>
                <c:pt idx="314">
                  <c:v>81.455055721913254</c:v>
                </c:pt>
                <c:pt idx="315">
                  <c:v>81.455055721913254</c:v>
                </c:pt>
                <c:pt idx="316">
                  <c:v>81.455055721913254</c:v>
                </c:pt>
                <c:pt idx="317">
                  <c:v>81.455055721913254</c:v>
                </c:pt>
                <c:pt idx="318">
                  <c:v>81.455055721913254</c:v>
                </c:pt>
                <c:pt idx="319">
                  <c:v>81.455055721913254</c:v>
                </c:pt>
                <c:pt idx="320">
                  <c:v>81.455055721913254</c:v>
                </c:pt>
                <c:pt idx="321">
                  <c:v>81.455055721913254</c:v>
                </c:pt>
                <c:pt idx="322">
                  <c:v>81.455055721913254</c:v>
                </c:pt>
                <c:pt idx="323">
                  <c:v>81.455055721913254</c:v>
                </c:pt>
                <c:pt idx="324">
                  <c:v>81.455055721913254</c:v>
                </c:pt>
                <c:pt idx="325">
                  <c:v>81.455055721913254</c:v>
                </c:pt>
                <c:pt idx="326">
                  <c:v>81.455055721913254</c:v>
                </c:pt>
                <c:pt idx="327">
                  <c:v>81.455055721913254</c:v>
                </c:pt>
                <c:pt idx="328">
                  <c:v>81.455055721913254</c:v>
                </c:pt>
                <c:pt idx="329">
                  <c:v>81.455055721913254</c:v>
                </c:pt>
                <c:pt idx="330">
                  <c:v>81.455055721913254</c:v>
                </c:pt>
                <c:pt idx="331">
                  <c:v>81.455055721913254</c:v>
                </c:pt>
                <c:pt idx="332">
                  <c:v>81.455055721913254</c:v>
                </c:pt>
                <c:pt idx="333">
                  <c:v>81.455055721913254</c:v>
                </c:pt>
                <c:pt idx="334">
                  <c:v>81.455055721913254</c:v>
                </c:pt>
                <c:pt idx="335">
                  <c:v>81.455055721913254</c:v>
                </c:pt>
                <c:pt idx="336">
                  <c:v>81.455055721913254</c:v>
                </c:pt>
                <c:pt idx="337">
                  <c:v>81.455055721913254</c:v>
                </c:pt>
                <c:pt idx="338">
                  <c:v>81.455055721913254</c:v>
                </c:pt>
                <c:pt idx="339">
                  <c:v>81.455055721913254</c:v>
                </c:pt>
                <c:pt idx="340">
                  <c:v>81.455055721913254</c:v>
                </c:pt>
                <c:pt idx="341">
                  <c:v>81.455055721913254</c:v>
                </c:pt>
                <c:pt idx="342">
                  <c:v>81.455055721913254</c:v>
                </c:pt>
                <c:pt idx="343">
                  <c:v>81.455055721913254</c:v>
                </c:pt>
                <c:pt idx="344">
                  <c:v>81.455055721913254</c:v>
                </c:pt>
                <c:pt idx="345">
                  <c:v>81.455055721913254</c:v>
                </c:pt>
                <c:pt idx="346">
                  <c:v>81.455055721913254</c:v>
                </c:pt>
                <c:pt idx="347">
                  <c:v>81.455055721913254</c:v>
                </c:pt>
                <c:pt idx="348">
                  <c:v>81.455055721913254</c:v>
                </c:pt>
                <c:pt idx="349">
                  <c:v>81.455055721913254</c:v>
                </c:pt>
                <c:pt idx="350">
                  <c:v>81.455055721913254</c:v>
                </c:pt>
                <c:pt idx="351">
                  <c:v>81.455055721913254</c:v>
                </c:pt>
                <c:pt idx="352">
                  <c:v>81.455055721913254</c:v>
                </c:pt>
                <c:pt idx="353">
                  <c:v>81.455055721913254</c:v>
                </c:pt>
                <c:pt idx="354">
                  <c:v>81.455055721913254</c:v>
                </c:pt>
                <c:pt idx="355">
                  <c:v>81.455055721913254</c:v>
                </c:pt>
                <c:pt idx="356">
                  <c:v>81.455055721913254</c:v>
                </c:pt>
                <c:pt idx="357">
                  <c:v>81.455055721913254</c:v>
                </c:pt>
                <c:pt idx="358">
                  <c:v>81.455055721913254</c:v>
                </c:pt>
                <c:pt idx="359">
                  <c:v>81.455055721913254</c:v>
                </c:pt>
                <c:pt idx="360">
                  <c:v>81.455055721913254</c:v>
                </c:pt>
                <c:pt idx="361">
                  <c:v>81.455055721913254</c:v>
                </c:pt>
                <c:pt idx="362">
                  <c:v>81.455055721913254</c:v>
                </c:pt>
                <c:pt idx="363">
                  <c:v>81.455055721913254</c:v>
                </c:pt>
                <c:pt idx="364">
                  <c:v>81.455055721913254</c:v>
                </c:pt>
                <c:pt idx="365">
                  <c:v>81.455055721913254</c:v>
                </c:pt>
                <c:pt idx="366">
                  <c:v>81.455055721913254</c:v>
                </c:pt>
                <c:pt idx="367">
                  <c:v>81.455055721913254</c:v>
                </c:pt>
                <c:pt idx="368">
                  <c:v>81.455055721913254</c:v>
                </c:pt>
                <c:pt idx="369">
                  <c:v>81.455055721913254</c:v>
                </c:pt>
                <c:pt idx="370">
                  <c:v>81.455055721913254</c:v>
                </c:pt>
                <c:pt idx="371">
                  <c:v>81.455055721913254</c:v>
                </c:pt>
                <c:pt idx="372">
                  <c:v>81.455055721913254</c:v>
                </c:pt>
                <c:pt idx="373">
                  <c:v>81.455055721913254</c:v>
                </c:pt>
                <c:pt idx="374">
                  <c:v>81.455055721913254</c:v>
                </c:pt>
                <c:pt idx="375">
                  <c:v>81.455055721913254</c:v>
                </c:pt>
                <c:pt idx="376">
                  <c:v>81.455055721913254</c:v>
                </c:pt>
                <c:pt idx="377">
                  <c:v>81.455055721913254</c:v>
                </c:pt>
                <c:pt idx="378">
                  <c:v>81.455055721913254</c:v>
                </c:pt>
                <c:pt idx="379">
                  <c:v>81.455055721913254</c:v>
                </c:pt>
                <c:pt idx="380">
                  <c:v>81.455055721913254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96-478A-A4B5-1BCD8C7553FE}"/>
            </c:ext>
          </c:extLst>
        </c:ser>
        <c:ser>
          <c:idx val="1"/>
          <c:order val="1"/>
          <c:tx>
            <c:strRef>
              <c:f>Diagrammdaten!$H$7</c:f>
              <c:strCache>
                <c:ptCount val="1"/>
                <c:pt idx="0">
                  <c:v>zweiphasig [bar]</c:v>
                </c:pt>
              </c:strCache>
            </c:strRef>
          </c:tx>
          <c:spPr>
            <a:solidFill>
              <a:srgbClr val="F4B6B0"/>
            </a:solidFill>
            <a:ln>
              <a:noFill/>
            </a:ln>
          </c:spPr>
          <c:cat>
            <c:strRef>
              <c:f>Diagrammdaten!$C$8:$C$388</c:f>
              <c:strCache>
                <c:ptCount val="361"/>
                <c:pt idx="0">
                  <c:v>-80</c:v>
                </c:pt>
                <c:pt idx="40">
                  <c:v>-60</c:v>
                </c:pt>
                <c:pt idx="80">
                  <c:v>-40</c:v>
                </c:pt>
                <c:pt idx="120">
                  <c:v>-20</c:v>
                </c:pt>
                <c:pt idx="160">
                  <c:v>0</c:v>
                </c:pt>
                <c:pt idx="200">
                  <c:v>20</c:v>
                </c:pt>
                <c:pt idx="240">
                  <c:v>40</c:v>
                </c:pt>
                <c:pt idx="280">
                  <c:v>60</c:v>
                </c:pt>
                <c:pt idx="320">
                  <c:v>80</c:v>
                </c:pt>
                <c:pt idx="360">
                  <c:v>100</c:v>
                </c:pt>
              </c:strCache>
            </c:strRef>
          </c:cat>
          <c:val>
            <c:numRef>
              <c:f>Diagrammdaten!$H$8:$H$388</c:f>
              <c:numCache>
                <c:formatCode>General</c:formatCode>
                <c:ptCount val="3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45.722748286743055</c:v>
                </c:pt>
                <c:pt idx="48">
                  <c:v>45.306270291151449</c:v>
                </c:pt>
                <c:pt idx="49">
                  <c:v>44.898235173784293</c:v>
                </c:pt>
                <c:pt idx="50">
                  <c:v>44.498393260020549</c:v>
                </c:pt>
                <c:pt idx="51">
                  <c:v>44.106503675875182</c:v>
                </c:pt>
                <c:pt idx="52">
                  <c:v>43.722333963520306</c:v>
                </c:pt>
                <c:pt idx="53">
                  <c:v>43.345659478670214</c:v>
                </c:pt>
                <c:pt idx="54">
                  <c:v>42.976262222351501</c:v>
                </c:pt>
                <c:pt idx="55">
                  <c:v>42.6139365062973</c:v>
                </c:pt>
                <c:pt idx="56">
                  <c:v>42.25847791084562</c:v>
                </c:pt>
                <c:pt idx="57">
                  <c:v>41.909690947254987</c:v>
                </c:pt>
                <c:pt idx="58">
                  <c:v>41.567386607581334</c:v>
                </c:pt>
                <c:pt idx="59">
                  <c:v>41.231141055279281</c:v>
                </c:pt>
                <c:pt idx="60">
                  <c:v>40.901500569575866</c:v>
                </c:pt>
                <c:pt idx="61">
                  <c:v>40.577570899131587</c:v>
                </c:pt>
                <c:pt idx="62">
                  <c:v>40.25942743081113</c:v>
                </c:pt>
                <c:pt idx="63">
                  <c:v>39.946909766333974</c:v>
                </c:pt>
                <c:pt idx="64">
                  <c:v>39.639942244418144</c:v>
                </c:pt>
                <c:pt idx="65">
                  <c:v>39.33813526683506</c:v>
                </c:pt>
                <c:pt idx="66">
                  <c:v>39.04158204727181</c:v>
                </c:pt>
                <c:pt idx="67">
                  <c:v>38.750061483626425</c:v>
                </c:pt>
                <c:pt idx="68">
                  <c:v>38.463436452320316</c:v>
                </c:pt>
                <c:pt idx="69">
                  <c:v>38.181573944657551</c:v>
                </c:pt>
                <c:pt idx="70">
                  <c:v>37.904344904643793</c:v>
                </c:pt>
                <c:pt idx="71">
                  <c:v>37.631624073852237</c:v>
                </c:pt>
                <c:pt idx="72">
                  <c:v>37.36328984263298</c:v>
                </c:pt>
                <c:pt idx="73">
                  <c:v>37.099224107551983</c:v>
                </c:pt>
                <c:pt idx="74">
                  <c:v>36.839312134809603</c:v>
                </c:pt>
                <c:pt idx="75">
                  <c:v>36.583442429088898</c:v>
                </c:pt>
                <c:pt idx="76">
                  <c:v>36.331506607769825</c:v>
                </c:pt>
                <c:pt idx="77">
                  <c:v>36.083399280192502</c:v>
                </c:pt>
                <c:pt idx="78">
                  <c:v>35.839017931772077</c:v>
                </c:pt>
                <c:pt idx="79">
                  <c:v>35.598262812509311</c:v>
                </c:pt>
                <c:pt idx="80">
                  <c:v>35.361036830034898</c:v>
                </c:pt>
                <c:pt idx="81">
                  <c:v>35.127245446821036</c:v>
                </c:pt>
                <c:pt idx="82">
                  <c:v>34.896796581102883</c:v>
                </c:pt>
                <c:pt idx="83">
                  <c:v>34.669600511912378</c:v>
                </c:pt>
                <c:pt idx="84">
                  <c:v>34.445569787533124</c:v>
                </c:pt>
                <c:pt idx="85">
                  <c:v>34.224619137410848</c:v>
                </c:pt>
                <c:pt idx="86">
                  <c:v>34.006665387376245</c:v>
                </c:pt>
                <c:pt idx="87">
                  <c:v>33.791627378081984</c:v>
                </c:pt>
                <c:pt idx="88">
                  <c:v>33.579425886285762</c:v>
                </c:pt>
                <c:pt idx="89">
                  <c:v>33.369983549139207</c:v>
                </c:pt>
                <c:pt idx="90">
                  <c:v>33.163224791116974</c:v>
                </c:pt>
                <c:pt idx="91">
                  <c:v>32.959075753560001</c:v>
                </c:pt>
                <c:pt idx="92">
                  <c:v>32.757464226709367</c:v>
                </c:pt>
                <c:pt idx="93">
                  <c:v>32.558319584086718</c:v>
                </c:pt>
                <c:pt idx="94">
                  <c:v>32.361572719033006</c:v>
                </c:pt>
                <c:pt idx="95">
                  <c:v>32.167155983437041</c:v>
                </c:pt>
                <c:pt idx="96">
                  <c:v>31.975072060162574</c:v>
                </c:pt>
                <c:pt idx="97">
                  <c:v>31.785049246815383</c:v>
                </c:pt>
                <c:pt idx="98">
                  <c:v>31.597230717687562</c:v>
                </c:pt>
                <c:pt idx="99">
                  <c:v>31.411485152131501</c:v>
                </c:pt>
                <c:pt idx="100">
                  <c:v>31.22775134086918</c:v>
                </c:pt>
                <c:pt idx="101">
                  <c:v>31.045969203280194</c:v>
                </c:pt>
                <c:pt idx="102">
                  <c:v>30.866079737680554</c:v>
                </c:pt>
                <c:pt idx="103">
                  <c:v>30.688024973069787</c:v>
                </c:pt>
                <c:pt idx="104">
                  <c:v>30.511747837508988</c:v>
                </c:pt>
                <c:pt idx="105">
                  <c:v>30.337191814848332</c:v>
                </c:pt>
                <c:pt idx="106">
                  <c:v>30.164302996482316</c:v>
                </c:pt>
                <c:pt idx="107">
                  <c:v>29.993024995588339</c:v>
                </c:pt>
                <c:pt idx="108">
                  <c:v>29.823308954804144</c:v>
                </c:pt>
                <c:pt idx="109">
                  <c:v>29.65509689830397</c:v>
                </c:pt>
                <c:pt idx="110">
                  <c:v>29.488338763241014</c:v>
                </c:pt>
                <c:pt idx="111">
                  <c:v>29.322983206880078</c:v>
                </c:pt>
                <c:pt idx="112">
                  <c:v>29.158979519316084</c:v>
                </c:pt>
                <c:pt idx="113">
                  <c:v>28.996277459847995</c:v>
                </c:pt>
                <c:pt idx="114">
                  <c:v>28.834826720754894</c:v>
                </c:pt>
                <c:pt idx="115">
                  <c:v>28.674580252176824</c:v>
                </c:pt>
                <c:pt idx="116">
                  <c:v>28.515488540561048</c:v>
                </c:pt>
                <c:pt idx="117">
                  <c:v>28.357504110865033</c:v>
                </c:pt>
                <c:pt idx="118">
                  <c:v>28.20057764630419</c:v>
                </c:pt>
                <c:pt idx="119">
                  <c:v>28.044662753537356</c:v>
                </c:pt>
                <c:pt idx="120">
                  <c:v>27.889712345938602</c:v>
                </c:pt>
                <c:pt idx="121">
                  <c:v>27.7356797829489</c:v>
                </c:pt>
                <c:pt idx="122">
                  <c:v>27.582518633945266</c:v>
                </c:pt>
                <c:pt idx="123">
                  <c:v>27.430182685894895</c:v>
                </c:pt>
                <c:pt idx="124">
                  <c:v>27.278625924175163</c:v>
                </c:pt>
                <c:pt idx="125">
                  <c:v>27.127802485424557</c:v>
                </c:pt>
                <c:pt idx="126">
                  <c:v>26.977666626624814</c:v>
                </c:pt>
                <c:pt idx="127">
                  <c:v>26.828172689814085</c:v>
                </c:pt>
                <c:pt idx="128">
                  <c:v>26.679275067686859</c:v>
                </c:pt>
                <c:pt idx="129">
                  <c:v>26.530928169258171</c:v>
                </c:pt>
                <c:pt idx="130">
                  <c:v>26.383086385531215</c:v>
                </c:pt>
                <c:pt idx="131">
                  <c:v>26.235724284797229</c:v>
                </c:pt>
                <c:pt idx="132">
                  <c:v>26.088735429977124</c:v>
                </c:pt>
                <c:pt idx="133">
                  <c:v>25.942134640404841</c:v>
                </c:pt>
                <c:pt idx="134">
                  <c:v>25.795855660508817</c:v>
                </c:pt>
                <c:pt idx="135">
                  <c:v>25.649852272701452</c:v>
                </c:pt>
                <c:pt idx="136">
                  <c:v>25.504078031716734</c:v>
                </c:pt>
                <c:pt idx="137">
                  <c:v>25.358486228024951</c:v>
                </c:pt>
                <c:pt idx="138">
                  <c:v>25.213029850092948</c:v>
                </c:pt>
                <c:pt idx="139">
                  <c:v>25.067661545601041</c:v>
                </c:pt>
                <c:pt idx="140">
                  <c:v>24.922333581097384</c:v>
                </c:pt>
                <c:pt idx="141">
                  <c:v>24.776997799896648</c:v>
                </c:pt>
                <c:pt idx="142">
                  <c:v>24.631336578838134</c:v>
                </c:pt>
                <c:pt idx="143">
                  <c:v>24.484057818450818</c:v>
                </c:pt>
                <c:pt idx="144">
                  <c:v>24.339976664075426</c:v>
                </c:pt>
                <c:pt idx="145">
                  <c:v>24.192509398302992</c:v>
                </c:pt>
                <c:pt idx="146">
                  <c:v>24.048480736166471</c:v>
                </c:pt>
                <c:pt idx="147">
                  <c:v>23.902057137392948</c:v>
                </c:pt>
                <c:pt idx="148">
                  <c:v>23.755272683840936</c:v>
                </c:pt>
                <c:pt idx="149">
                  <c:v>23.608073967583614</c:v>
                </c:pt>
                <c:pt idx="150">
                  <c:v>23.460406625214745</c:v>
                </c:pt>
                <c:pt idx="151">
                  <c:v>23.312215250677021</c:v>
                </c:pt>
                <c:pt idx="152">
                  <c:v>23.163443299727874</c:v>
                </c:pt>
                <c:pt idx="153">
                  <c:v>23.014032985302606</c:v>
                </c:pt>
                <c:pt idx="154">
                  <c:v>22.86392516272636</c:v>
                </c:pt>
                <c:pt idx="155">
                  <c:v>22.713059204025228</c:v>
                </c:pt>
                <c:pt idx="156">
                  <c:v>22.561372860469525</c:v>
                </c:pt>
                <c:pt idx="157">
                  <c:v>22.408802112505327</c:v>
                </c:pt>
                <c:pt idx="158">
                  <c:v>22.255281006314725</c:v>
                </c:pt>
                <c:pt idx="159">
                  <c:v>22.100741476466304</c:v>
                </c:pt>
                <c:pt idx="160">
                  <c:v>21.945113153903144</c:v>
                </c:pt>
                <c:pt idx="161">
                  <c:v>21.788323159090801</c:v>
                </c:pt>
                <c:pt idx="162">
                  <c:v>21.630295879975947</c:v>
                </c:pt>
                <c:pt idx="163">
                  <c:v>21.470952734567852</c:v>
                </c:pt>
                <c:pt idx="164">
                  <c:v>21.310211918655718</c:v>
                </c:pt>
                <c:pt idx="165">
                  <c:v>21.147988138551462</c:v>
                </c:pt>
                <c:pt idx="166">
                  <c:v>20.984192329795583</c:v>
                </c:pt>
                <c:pt idx="167">
                  <c:v>20.818731362358008</c:v>
                </c:pt>
                <c:pt idx="168">
                  <c:v>20.651811656141327</c:v>
                </c:pt>
                <c:pt idx="169">
                  <c:v>20.482419247103287</c:v>
                </c:pt>
                <c:pt idx="170">
                  <c:v>20.311161067758604</c:v>
                </c:pt>
                <c:pt idx="171">
                  <c:v>20.138213473714643</c:v>
                </c:pt>
                <c:pt idx="172">
                  <c:v>19.962865316287264</c:v>
                </c:pt>
                <c:pt idx="173">
                  <c:v>19.785189851884226</c:v>
                </c:pt>
                <c:pt idx="174">
                  <c:v>19.605056274126355</c:v>
                </c:pt>
                <c:pt idx="175">
                  <c:v>19.422326947044688</c:v>
                </c:pt>
                <c:pt idx="176">
                  <c:v>19.236856999637254</c:v>
                </c:pt>
                <c:pt idx="177">
                  <c:v>19.048493893594831</c:v>
                </c:pt>
                <c:pt idx="178">
                  <c:v>18.857076953167322</c:v>
                </c:pt>
                <c:pt idx="179">
                  <c:v>18.662436841669852</c:v>
                </c:pt>
                <c:pt idx="180">
                  <c:v>18.464394963440107</c:v>
                </c:pt>
                <c:pt idx="181">
                  <c:v>18.262824890968815</c:v>
                </c:pt>
                <c:pt idx="182">
                  <c:v>18.057340887726184</c:v>
                </c:pt>
                <c:pt idx="183">
                  <c:v>17.847918159776697</c:v>
                </c:pt>
                <c:pt idx="184">
                  <c:v>17.634270313168798</c:v>
                </c:pt>
                <c:pt idx="185">
                  <c:v>17.416158411818969</c:v>
                </c:pt>
                <c:pt idx="186">
                  <c:v>17.193326871870781</c:v>
                </c:pt>
                <c:pt idx="187">
                  <c:v>16.965496087201018</c:v>
                </c:pt>
                <c:pt idx="188">
                  <c:v>16.732383826169155</c:v>
                </c:pt>
                <c:pt idx="189">
                  <c:v>16.493652415254395</c:v>
                </c:pt>
                <c:pt idx="190">
                  <c:v>16.248952980994012</c:v>
                </c:pt>
                <c:pt idx="191">
                  <c:v>15.997895168462172</c:v>
                </c:pt>
                <c:pt idx="192">
                  <c:v>15.740045012259728</c:v>
                </c:pt>
                <c:pt idx="193">
                  <c:v>15.474916485412827</c:v>
                </c:pt>
                <c:pt idx="194">
                  <c:v>15.202028549938014</c:v>
                </c:pt>
                <c:pt idx="195">
                  <c:v>14.921069231022145</c:v>
                </c:pt>
                <c:pt idx="196">
                  <c:v>14.62589851865242</c:v>
                </c:pt>
                <c:pt idx="197">
                  <c:v>14.291299425644738</c:v>
                </c:pt>
                <c:pt idx="198">
                  <c:v>13.956700332637055</c:v>
                </c:pt>
                <c:pt idx="199">
                  <c:v>13.622101239629387</c:v>
                </c:pt>
                <c:pt idx="200">
                  <c:v>13.280763404159487</c:v>
                </c:pt>
                <c:pt idx="201">
                  <c:v>12.928686063309783</c:v>
                </c:pt>
                <c:pt idx="202">
                  <c:v>12.576608722460065</c:v>
                </c:pt>
                <c:pt idx="203">
                  <c:v>12.206431950392968</c:v>
                </c:pt>
                <c:pt idx="204">
                  <c:v>11.777863141534795</c:v>
                </c:pt>
                <c:pt idx="205">
                  <c:v>11.349294332676607</c:v>
                </c:pt>
                <c:pt idx="206">
                  <c:v>10.920725523818433</c:v>
                </c:pt>
                <c:pt idx="207">
                  <c:v>10.449142099837843</c:v>
                </c:pt>
                <c:pt idx="208">
                  <c:v>9.8918304676368791</c:v>
                </c:pt>
                <c:pt idx="209">
                  <c:v>9.3330379831599544</c:v>
                </c:pt>
                <c:pt idx="210">
                  <c:v>8.7299662197441847</c:v>
                </c:pt>
                <c:pt idx="211">
                  <c:v>8.0059258842833714</c:v>
                </c:pt>
                <c:pt idx="212">
                  <c:v>7.2811354116850566</c:v>
                </c:pt>
                <c:pt idx="213">
                  <c:v>6.3423787961515785</c:v>
                </c:pt>
                <c:pt idx="214">
                  <c:v>5.334659025849902</c:v>
                </c:pt>
                <c:pt idx="215">
                  <c:v>3.8451784074934778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96-478A-A4B5-1BCD8C7553FE}"/>
            </c:ext>
          </c:extLst>
        </c:ser>
        <c:ser>
          <c:idx val="2"/>
          <c:order val="2"/>
          <c:tx>
            <c:strRef>
              <c:f>Diagrammdaten!$E$7</c:f>
              <c:strCache>
                <c:ptCount val="1"/>
                <c:pt idx="0">
                  <c:v>flüssig [bar]</c:v>
                </c:pt>
              </c:strCache>
            </c:strRef>
          </c:tx>
          <c:spPr>
            <a:solidFill>
              <a:srgbClr val="D9EAD3"/>
            </a:solidFill>
            <a:ln>
              <a:noFill/>
            </a:ln>
          </c:spPr>
          <c:cat>
            <c:strRef>
              <c:f>Diagrammdaten!$C$8:$C$388</c:f>
              <c:strCache>
                <c:ptCount val="361"/>
                <c:pt idx="0">
                  <c:v>-80</c:v>
                </c:pt>
                <c:pt idx="40">
                  <c:v>-60</c:v>
                </c:pt>
                <c:pt idx="80">
                  <c:v>-40</c:v>
                </c:pt>
                <c:pt idx="120">
                  <c:v>-20</c:v>
                </c:pt>
                <c:pt idx="160">
                  <c:v>0</c:v>
                </c:pt>
                <c:pt idx="200">
                  <c:v>20</c:v>
                </c:pt>
                <c:pt idx="240">
                  <c:v>40</c:v>
                </c:pt>
                <c:pt idx="280">
                  <c:v>60</c:v>
                </c:pt>
                <c:pt idx="320">
                  <c:v>80</c:v>
                </c:pt>
                <c:pt idx="360">
                  <c:v>100</c:v>
                </c:pt>
              </c:strCache>
            </c:strRef>
          </c:cat>
          <c:val>
            <c:numRef>
              <c:f>Diagrammdaten!$E$8:$E$388</c:f>
              <c:numCache>
                <c:formatCode>General</c:formatCode>
                <c:ptCount val="3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-43.321938775399936</c:v>
                </c:pt>
                <c:pt idx="48">
                  <c:v>-19.573657769234739</c:v>
                </c:pt>
                <c:pt idx="49">
                  <c:v>4.2776478480946309</c:v>
                </c:pt>
                <c:pt idx="50">
                  <c:v>28.232206246358245</c:v>
                </c:pt>
                <c:pt idx="51">
                  <c:v>52.290236706728436</c:v>
                </c:pt>
                <c:pt idx="52">
                  <c:v>76.451950006248808</c:v>
                </c:pt>
                <c:pt idx="53">
                  <c:v>100.71754902042227</c:v>
                </c:pt>
                <c:pt idx="54">
                  <c:v>125.08722989143178</c:v>
                </c:pt>
                <c:pt idx="55">
                  <c:v>149.56117636254928</c:v>
                </c:pt>
                <c:pt idx="56">
                  <c:v>174.13957082020011</c:v>
                </c:pt>
                <c:pt idx="57">
                  <c:v>198.82258663142241</c:v>
                </c:pt>
                <c:pt idx="58">
                  <c:v>201.49839048002895</c:v>
                </c:pt>
                <c:pt idx="59">
                  <c:v>201.69061626761874</c:v>
                </c:pt>
                <c:pt idx="60">
                  <c:v>201.87398971257522</c:v>
                </c:pt>
                <c:pt idx="61">
                  <c:v>202.04938258815807</c:v>
                </c:pt>
                <c:pt idx="62">
                  <c:v>202.21669693946419</c:v>
                </c:pt>
                <c:pt idx="63">
                  <c:v>202.37607050637166</c:v>
                </c:pt>
                <c:pt idx="64">
                  <c:v>202.52763589515823</c:v>
                </c:pt>
                <c:pt idx="65">
                  <c:v>202.67152078069856</c:v>
                </c:pt>
                <c:pt idx="66">
                  <c:v>202.80784809955981</c:v>
                </c:pt>
                <c:pt idx="67">
                  <c:v>202.93673623452793</c:v>
                </c:pt>
                <c:pt idx="68">
                  <c:v>203.05829919095555</c:v>
                </c:pt>
                <c:pt idx="69">
                  <c:v>203.17264676543894</c:v>
                </c:pt>
                <c:pt idx="70">
                  <c:v>203.27988470717835</c:v>
                </c:pt>
                <c:pt idx="71">
                  <c:v>203.38011487239996</c:v>
                </c:pt>
                <c:pt idx="72">
                  <c:v>203.4734353722308</c:v>
                </c:pt>
                <c:pt idx="73">
                  <c:v>203.55994071433321</c:v>
                </c:pt>
                <c:pt idx="74">
                  <c:v>203.63972193860764</c:v>
                </c:pt>
                <c:pt idx="75">
                  <c:v>203.71286674726446</c:v>
                </c:pt>
                <c:pt idx="76">
                  <c:v>203.77945962955687</c:v>
                </c:pt>
                <c:pt idx="77">
                  <c:v>203.83958198140675</c:v>
                </c:pt>
                <c:pt idx="78">
                  <c:v>203.89331222017265</c:v>
                </c:pt>
                <c:pt idx="79">
                  <c:v>203.94072589478492</c:v>
                </c:pt>
                <c:pt idx="80">
                  <c:v>203.98189579147686</c:v>
                </c:pt>
                <c:pt idx="81">
                  <c:v>204.01689203529736</c:v>
                </c:pt>
                <c:pt idx="82">
                  <c:v>204.04578218759835</c:v>
                </c:pt>
                <c:pt idx="83">
                  <c:v>204.068631339663</c:v>
                </c:pt>
                <c:pt idx="84">
                  <c:v>204.08550220266577</c:v>
                </c:pt>
                <c:pt idx="85">
                  <c:v>204.0964551941201</c:v>
                </c:pt>
                <c:pt idx="86">
                  <c:v>204.10154852094416</c:v>
                </c:pt>
                <c:pt idx="87">
                  <c:v>204.10083825931736</c:v>
                </c:pt>
                <c:pt idx="88">
                  <c:v>204.09437843144002</c:v>
                </c:pt>
                <c:pt idx="89">
                  <c:v>204.08222107936075</c:v>
                </c:pt>
                <c:pt idx="90">
                  <c:v>204.06441633599323</c:v>
                </c:pt>
                <c:pt idx="91">
                  <c:v>204.04101249339703</c:v>
                </c:pt>
                <c:pt idx="92">
                  <c:v>204.0120560685381</c:v>
                </c:pt>
                <c:pt idx="93">
                  <c:v>203.97759186657498</c:v>
                </c:pt>
                <c:pt idx="94">
                  <c:v>203.93766304177774</c:v>
                </c:pt>
                <c:pt idx="95">
                  <c:v>203.8923111562753</c:v>
                </c:pt>
                <c:pt idx="96">
                  <c:v>203.84157623665229</c:v>
                </c:pt>
                <c:pt idx="97">
                  <c:v>203.78549682852511</c:v>
                </c:pt>
                <c:pt idx="98">
                  <c:v>203.7241100492744</c:v>
                </c:pt>
                <c:pt idx="99">
                  <c:v>203.65745163889017</c:v>
                </c:pt>
                <c:pt idx="100">
                  <c:v>203.5855560091868</c:v>
                </c:pt>
                <c:pt idx="101">
                  <c:v>203.50845629137879</c:v>
                </c:pt>
                <c:pt idx="102">
                  <c:v>203.4261843821331</c:v>
                </c:pt>
                <c:pt idx="103">
                  <c:v>203.33877098820264</c:v>
                </c:pt>
                <c:pt idx="104">
                  <c:v>203.24624575395379</c:v>
                </c:pt>
                <c:pt idx="105">
                  <c:v>203.14863760064185</c:v>
                </c:pt>
                <c:pt idx="106">
                  <c:v>203.04597267031991</c:v>
                </c:pt>
                <c:pt idx="107">
                  <c:v>202.93827940711759</c:v>
                </c:pt>
                <c:pt idx="108">
                  <c:v>202.82557854484836</c:v>
                </c:pt>
                <c:pt idx="109">
                  <c:v>202.70789975007659</c:v>
                </c:pt>
                <c:pt idx="110">
                  <c:v>202.58526458550972</c:v>
                </c:pt>
                <c:pt idx="111">
                  <c:v>202.45769569754702</c:v>
                </c:pt>
                <c:pt idx="112">
                  <c:v>202.32521489797176</c:v>
                </c:pt>
                <c:pt idx="113">
                  <c:v>202.18784332174496</c:v>
                </c:pt>
                <c:pt idx="114">
                  <c:v>202.0456019571549</c:v>
                </c:pt>
                <c:pt idx="115">
                  <c:v>201.89850831457809</c:v>
                </c:pt>
                <c:pt idx="116">
                  <c:v>201.74658214138174</c:v>
                </c:pt>
                <c:pt idx="117">
                  <c:v>201.58984091285851</c:v>
                </c:pt>
                <c:pt idx="118">
                  <c:v>201.42830370517791</c:v>
                </c:pt>
                <c:pt idx="119">
                  <c:v>201.26198642266996</c:v>
                </c:pt>
                <c:pt idx="120">
                  <c:v>201.09090540672429</c:v>
                </c:pt>
                <c:pt idx="121">
                  <c:v>200.91507628805502</c:v>
                </c:pt>
                <c:pt idx="122">
                  <c:v>200.73451421436408</c:v>
                </c:pt>
                <c:pt idx="123">
                  <c:v>200.54923383360841</c:v>
                </c:pt>
                <c:pt idx="124">
                  <c:v>200.35924930374262</c:v>
                </c:pt>
                <c:pt idx="125">
                  <c:v>200.16457433004936</c:v>
                </c:pt>
                <c:pt idx="126">
                  <c:v>199.9652221857022</c:v>
                </c:pt>
                <c:pt idx="127">
                  <c:v>199.76120573631954</c:v>
                </c:pt>
                <c:pt idx="128">
                  <c:v>199.55253746297512</c:v>
                </c:pt>
                <c:pt idx="129">
                  <c:v>199.33922948474554</c:v>
                </c:pt>
                <c:pt idx="130">
                  <c:v>199.12129358059838</c:v>
                </c:pt>
                <c:pt idx="131">
                  <c:v>198.89874121071978</c:v>
                </c:pt>
                <c:pt idx="132">
                  <c:v>198.67158353730571</c:v>
                </c:pt>
                <c:pt idx="133">
                  <c:v>198.43983144484085</c:v>
                </c:pt>
                <c:pt idx="134">
                  <c:v>198.20349555995858</c:v>
                </c:pt>
                <c:pt idx="135">
                  <c:v>197.96258627093769</c:v>
                </c:pt>
                <c:pt idx="136">
                  <c:v>197.71711374706209</c:v>
                </c:pt>
                <c:pt idx="137">
                  <c:v>197.46708795775592</c:v>
                </c:pt>
                <c:pt idx="138">
                  <c:v>197.21251869183223</c:v>
                </c:pt>
                <c:pt idx="139">
                  <c:v>196.95341557692242</c:v>
                </c:pt>
                <c:pt idx="140">
                  <c:v>196.68978809933753</c:v>
                </c:pt>
                <c:pt idx="141">
                  <c:v>196.42164562456736</c:v>
                </c:pt>
                <c:pt idx="142">
                  <c:v>196.14899741868678</c:v>
                </c:pt>
                <c:pt idx="143">
                  <c:v>195.87185267098772</c:v>
                </c:pt>
                <c:pt idx="144">
                  <c:v>195.59042473978019</c:v>
                </c:pt>
                <c:pt idx="145">
                  <c:v>195.30411007077186</c:v>
                </c:pt>
                <c:pt idx="146">
                  <c:v>195.01353044112622</c:v>
                </c:pt>
                <c:pt idx="147">
                  <c:v>194.71849077537172</c:v>
                </c:pt>
                <c:pt idx="148">
                  <c:v>194.4190002879202</c:v>
                </c:pt>
                <c:pt idx="149">
                  <c:v>194.11506830024717</c:v>
                </c:pt>
                <c:pt idx="150">
                  <c:v>193.80670428406319</c:v>
                </c:pt>
                <c:pt idx="151">
                  <c:v>193.49391790963293</c:v>
                </c:pt>
                <c:pt idx="152">
                  <c:v>193.17671909986115</c:v>
                </c:pt>
                <c:pt idx="153">
                  <c:v>192.85511809070925</c:v>
                </c:pt>
                <c:pt idx="154">
                  <c:v>192.52912549865241</c:v>
                </c:pt>
                <c:pt idx="155">
                  <c:v>192.19875239574151</c:v>
                </c:pt>
                <c:pt idx="156">
                  <c:v>191.86401039275356</c:v>
                </c:pt>
                <c:pt idx="157">
                  <c:v>191.52491173106893</c:v>
                </c:pt>
                <c:pt idx="158">
                  <c:v>191.18146938348454</c:v>
                </c:pt>
                <c:pt idx="159">
                  <c:v>190.83369716431511</c:v>
                </c:pt>
                <c:pt idx="160">
                  <c:v>190.48160984888668</c:v>
                </c:pt>
                <c:pt idx="161">
                  <c:v>190.12522330227574</c:v>
                </c:pt>
                <c:pt idx="162">
                  <c:v>189.76455461698157</c:v>
                </c:pt>
                <c:pt idx="163">
                  <c:v>189.39962225913962</c:v>
                </c:pt>
                <c:pt idx="164">
                  <c:v>189.03044622218147</c:v>
                </c:pt>
                <c:pt idx="165">
                  <c:v>188.6570481871035</c:v>
                </c:pt>
                <c:pt idx="166">
                  <c:v>188.27945168778555</c:v>
                </c:pt>
                <c:pt idx="167">
                  <c:v>187.89768227974054</c:v>
                </c:pt>
                <c:pt idx="168">
                  <c:v>187.51176771041108</c:v>
                </c:pt>
                <c:pt idx="169">
                  <c:v>187.1217380888113</c:v>
                </c:pt>
                <c:pt idx="170">
                  <c:v>186.72782367161105</c:v>
                </c:pt>
                <c:pt idx="171">
                  <c:v>186.3294669286951</c:v>
                </c:pt>
                <c:pt idx="172">
                  <c:v>185.92729889013117</c:v>
                </c:pt>
                <c:pt idx="173">
                  <c:v>185.52116309970603</c:v>
                </c:pt>
                <c:pt idx="174">
                  <c:v>185.11110384728153</c:v>
                </c:pt>
                <c:pt idx="175">
                  <c:v>184.69716867616555</c:v>
                </c:pt>
                <c:pt idx="176">
                  <c:v>184.27940850194264</c:v>
                </c:pt>
                <c:pt idx="177">
                  <c:v>183.85787772731845</c:v>
                </c:pt>
                <c:pt idx="178">
                  <c:v>183.4326343597086</c:v>
                </c:pt>
                <c:pt idx="179">
                  <c:v>183.00374014194477</c:v>
                </c:pt>
                <c:pt idx="180">
                  <c:v>182.57126071127004</c:v>
                </c:pt>
                <c:pt idx="181">
                  <c:v>182.13526580728518</c:v>
                </c:pt>
                <c:pt idx="182">
                  <c:v>181.69582955659251</c:v>
                </c:pt>
                <c:pt idx="183">
                  <c:v>181.25303087001697</c:v>
                </c:pt>
                <c:pt idx="184">
                  <c:v>180.80695399747086</c:v>
                </c:pt>
                <c:pt idx="185">
                  <c:v>180.35768929609577</c:v>
                </c:pt>
                <c:pt idx="186">
                  <c:v>179.90533427798783</c:v>
                </c:pt>
                <c:pt idx="187">
                  <c:v>179.4499999134961</c:v>
                </c:pt>
                <c:pt idx="188">
                  <c:v>178.99178799473742</c:v>
                </c:pt>
                <c:pt idx="189">
                  <c:v>178.53084250958801</c:v>
                </c:pt>
                <c:pt idx="190">
                  <c:v>178.06730371231544</c:v>
                </c:pt>
                <c:pt idx="191">
                  <c:v>177.60133641969122</c:v>
                </c:pt>
                <c:pt idx="192">
                  <c:v>177.13312978986386</c:v>
                </c:pt>
                <c:pt idx="193">
                  <c:v>176.66290297400741</c:v>
                </c:pt>
                <c:pt idx="194">
                  <c:v>176.19084470872423</c:v>
                </c:pt>
                <c:pt idx="195">
                  <c:v>175.71694518726434</c:v>
                </c:pt>
                <c:pt idx="196">
                  <c:v>175.24290369765919</c:v>
                </c:pt>
                <c:pt idx="197">
                  <c:v>174.76778031287827</c:v>
                </c:pt>
                <c:pt idx="198">
                  <c:v>174.29265692809736</c:v>
                </c:pt>
                <c:pt idx="199">
                  <c:v>173.81753354331642</c:v>
                </c:pt>
                <c:pt idx="200">
                  <c:v>173.34914890099773</c:v>
                </c:pt>
                <c:pt idx="201">
                  <c:v>172.89150376405883</c:v>
                </c:pt>
                <c:pt idx="202">
                  <c:v>172.43385862711995</c:v>
                </c:pt>
                <c:pt idx="203">
                  <c:v>171.97621349018107</c:v>
                </c:pt>
                <c:pt idx="204">
                  <c:v>171.51856835324219</c:v>
                </c:pt>
                <c:pt idx="205">
                  <c:v>171.06092321630331</c:v>
                </c:pt>
                <c:pt idx="206">
                  <c:v>170.6032780793644</c:v>
                </c:pt>
                <c:pt idx="207">
                  <c:v>170.14563294242549</c:v>
                </c:pt>
                <c:pt idx="208">
                  <c:v>169.74436943933841</c:v>
                </c:pt>
                <c:pt idx="209">
                  <c:v>169.34458678852729</c:v>
                </c:pt>
                <c:pt idx="210">
                  <c:v>168.94480413771618</c:v>
                </c:pt>
                <c:pt idx="211">
                  <c:v>168.61391573549059</c:v>
                </c:pt>
                <c:pt idx="212">
                  <c:v>168.28377747040247</c:v>
                </c:pt>
                <c:pt idx="213">
                  <c:v>168.03946643703171</c:v>
                </c:pt>
                <c:pt idx="214">
                  <c:v>167.84741809386375</c:v>
                </c:pt>
                <c:pt idx="215">
                  <c:v>167.90040675865129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96-478A-A4B5-1BCD8C7553FE}"/>
            </c:ext>
          </c:extLst>
        </c:ser>
        <c:ser>
          <c:idx val="3"/>
          <c:order val="3"/>
          <c:tx>
            <c:strRef>
              <c:f>Diagrammdaten!$F$7</c:f>
              <c:strCache>
                <c:ptCount val="1"/>
                <c:pt idx="0">
                  <c:v>überkritisch [bar]</c:v>
                </c:pt>
              </c:strCache>
            </c:strRef>
          </c:tx>
          <c:spPr>
            <a:solidFill>
              <a:srgbClr val="FCE5CD"/>
            </a:solidFill>
            <a:ln>
              <a:noFill/>
            </a:ln>
          </c:spPr>
          <c:cat>
            <c:strRef>
              <c:f>Diagrammdaten!$C$8:$C$388</c:f>
              <c:strCache>
                <c:ptCount val="361"/>
                <c:pt idx="0">
                  <c:v>-80</c:v>
                </c:pt>
                <c:pt idx="40">
                  <c:v>-60</c:v>
                </c:pt>
                <c:pt idx="80">
                  <c:v>-40</c:v>
                </c:pt>
                <c:pt idx="120">
                  <c:v>-20</c:v>
                </c:pt>
                <c:pt idx="160">
                  <c:v>0</c:v>
                </c:pt>
                <c:pt idx="200">
                  <c:v>20</c:v>
                </c:pt>
                <c:pt idx="240">
                  <c:v>40</c:v>
                </c:pt>
                <c:pt idx="280">
                  <c:v>60</c:v>
                </c:pt>
                <c:pt idx="320">
                  <c:v>80</c:v>
                </c:pt>
                <c:pt idx="360">
                  <c:v>100</c:v>
                </c:pt>
              </c:strCache>
            </c:strRef>
          </c:cat>
          <c:val>
            <c:numRef>
              <c:f>Diagrammdaten!$F$8:$F$388</c:f>
              <c:numCache>
                <c:formatCode>General</c:formatCode>
                <c:ptCount val="3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168.54494427808675</c:v>
                </c:pt>
                <c:pt idx="217">
                  <c:v>168.54494427808675</c:v>
                </c:pt>
                <c:pt idx="218">
                  <c:v>168.54494427808675</c:v>
                </c:pt>
                <c:pt idx="219">
                  <c:v>168.54494427808675</c:v>
                </c:pt>
                <c:pt idx="220">
                  <c:v>168.54494427808675</c:v>
                </c:pt>
                <c:pt idx="221">
                  <c:v>168.54494427808675</c:v>
                </c:pt>
                <c:pt idx="222">
                  <c:v>168.54494427808675</c:v>
                </c:pt>
                <c:pt idx="223">
                  <c:v>168.54494427808675</c:v>
                </c:pt>
                <c:pt idx="224">
                  <c:v>168.54494427808675</c:v>
                </c:pt>
                <c:pt idx="225">
                  <c:v>168.54494427808675</c:v>
                </c:pt>
                <c:pt idx="226">
                  <c:v>168.54494427808675</c:v>
                </c:pt>
                <c:pt idx="227">
                  <c:v>168.54494427808675</c:v>
                </c:pt>
                <c:pt idx="228">
                  <c:v>168.54494427808675</c:v>
                </c:pt>
                <c:pt idx="229">
                  <c:v>168.54494427808675</c:v>
                </c:pt>
                <c:pt idx="230">
                  <c:v>168.54494427808675</c:v>
                </c:pt>
                <c:pt idx="231">
                  <c:v>168.54494427808675</c:v>
                </c:pt>
                <c:pt idx="232">
                  <c:v>168.54494427808675</c:v>
                </c:pt>
                <c:pt idx="233">
                  <c:v>168.54494427808675</c:v>
                </c:pt>
                <c:pt idx="234">
                  <c:v>168.54494427808675</c:v>
                </c:pt>
                <c:pt idx="235">
                  <c:v>168.54494427808675</c:v>
                </c:pt>
                <c:pt idx="236">
                  <c:v>168.54494427808675</c:v>
                </c:pt>
                <c:pt idx="237">
                  <c:v>168.54494427808675</c:v>
                </c:pt>
                <c:pt idx="238">
                  <c:v>168.54494427808675</c:v>
                </c:pt>
                <c:pt idx="239">
                  <c:v>168.54494427808675</c:v>
                </c:pt>
                <c:pt idx="240">
                  <c:v>168.54494427808675</c:v>
                </c:pt>
                <c:pt idx="241">
                  <c:v>168.54494427808675</c:v>
                </c:pt>
                <c:pt idx="242">
                  <c:v>168.54494427808675</c:v>
                </c:pt>
                <c:pt idx="243">
                  <c:v>168.54494427808675</c:v>
                </c:pt>
                <c:pt idx="244">
                  <c:v>168.54494427808675</c:v>
                </c:pt>
                <c:pt idx="245">
                  <c:v>168.54494427808675</c:v>
                </c:pt>
                <c:pt idx="246">
                  <c:v>168.54494427808675</c:v>
                </c:pt>
                <c:pt idx="247">
                  <c:v>168.54494427808675</c:v>
                </c:pt>
                <c:pt idx="248">
                  <c:v>168.54494427808675</c:v>
                </c:pt>
                <c:pt idx="249">
                  <c:v>168.54494427808675</c:v>
                </c:pt>
                <c:pt idx="250">
                  <c:v>168.54494427808675</c:v>
                </c:pt>
                <c:pt idx="251">
                  <c:v>168.54494427808675</c:v>
                </c:pt>
                <c:pt idx="252">
                  <c:v>168.54494427808675</c:v>
                </c:pt>
                <c:pt idx="253">
                  <c:v>168.54494427808675</c:v>
                </c:pt>
                <c:pt idx="254">
                  <c:v>168.54494427808675</c:v>
                </c:pt>
                <c:pt idx="255">
                  <c:v>168.54494427808675</c:v>
                </c:pt>
                <c:pt idx="256">
                  <c:v>168.54494427808675</c:v>
                </c:pt>
                <c:pt idx="257">
                  <c:v>168.54494427808675</c:v>
                </c:pt>
                <c:pt idx="258">
                  <c:v>168.54494427808675</c:v>
                </c:pt>
                <c:pt idx="259">
                  <c:v>168.54494427808675</c:v>
                </c:pt>
                <c:pt idx="260">
                  <c:v>168.54494427808675</c:v>
                </c:pt>
                <c:pt idx="261">
                  <c:v>168.54494427808675</c:v>
                </c:pt>
                <c:pt idx="262">
                  <c:v>168.54494427808675</c:v>
                </c:pt>
                <c:pt idx="263">
                  <c:v>168.54494427808675</c:v>
                </c:pt>
                <c:pt idx="264">
                  <c:v>168.54494427808675</c:v>
                </c:pt>
                <c:pt idx="265">
                  <c:v>168.54494427808675</c:v>
                </c:pt>
                <c:pt idx="266">
                  <c:v>168.54494427808675</c:v>
                </c:pt>
                <c:pt idx="267">
                  <c:v>168.54494427808675</c:v>
                </c:pt>
                <c:pt idx="268">
                  <c:v>168.54494427808675</c:v>
                </c:pt>
                <c:pt idx="269">
                  <c:v>168.54494427808675</c:v>
                </c:pt>
                <c:pt idx="270">
                  <c:v>168.54494427808675</c:v>
                </c:pt>
                <c:pt idx="271">
                  <c:v>168.54494427808675</c:v>
                </c:pt>
                <c:pt idx="272">
                  <c:v>168.54494427808675</c:v>
                </c:pt>
                <c:pt idx="273">
                  <c:v>168.54494427808675</c:v>
                </c:pt>
                <c:pt idx="274">
                  <c:v>168.54494427808675</c:v>
                </c:pt>
                <c:pt idx="275">
                  <c:v>168.54494427808675</c:v>
                </c:pt>
                <c:pt idx="276">
                  <c:v>168.54494427808675</c:v>
                </c:pt>
                <c:pt idx="277">
                  <c:v>168.54494427808675</c:v>
                </c:pt>
                <c:pt idx="278">
                  <c:v>168.54494427808675</c:v>
                </c:pt>
                <c:pt idx="279">
                  <c:v>168.54494427808675</c:v>
                </c:pt>
                <c:pt idx="280">
                  <c:v>168.54494427808675</c:v>
                </c:pt>
                <c:pt idx="281">
                  <c:v>168.54494427808675</c:v>
                </c:pt>
                <c:pt idx="282">
                  <c:v>168.54494427808675</c:v>
                </c:pt>
                <c:pt idx="283">
                  <c:v>168.54494427808675</c:v>
                </c:pt>
                <c:pt idx="284">
                  <c:v>168.54494427808675</c:v>
                </c:pt>
                <c:pt idx="285">
                  <c:v>168.54494427808675</c:v>
                </c:pt>
                <c:pt idx="286">
                  <c:v>168.54494427808675</c:v>
                </c:pt>
                <c:pt idx="287">
                  <c:v>168.54494427808675</c:v>
                </c:pt>
                <c:pt idx="288">
                  <c:v>168.54494427808675</c:v>
                </c:pt>
                <c:pt idx="289">
                  <c:v>168.54494427808675</c:v>
                </c:pt>
                <c:pt idx="290">
                  <c:v>168.54494427808675</c:v>
                </c:pt>
                <c:pt idx="291">
                  <c:v>168.54494427808675</c:v>
                </c:pt>
                <c:pt idx="292">
                  <c:v>168.54494427808675</c:v>
                </c:pt>
                <c:pt idx="293">
                  <c:v>168.54494427808675</c:v>
                </c:pt>
                <c:pt idx="294">
                  <c:v>168.54494427808675</c:v>
                </c:pt>
                <c:pt idx="295">
                  <c:v>168.54494427808675</c:v>
                </c:pt>
                <c:pt idx="296">
                  <c:v>168.54494427808675</c:v>
                </c:pt>
                <c:pt idx="297">
                  <c:v>168.54494427808675</c:v>
                </c:pt>
                <c:pt idx="298">
                  <c:v>168.54494427808675</c:v>
                </c:pt>
                <c:pt idx="299">
                  <c:v>168.54494427808675</c:v>
                </c:pt>
                <c:pt idx="300">
                  <c:v>168.54494427808675</c:v>
                </c:pt>
                <c:pt idx="301">
                  <c:v>168.54494427808675</c:v>
                </c:pt>
                <c:pt idx="302">
                  <c:v>168.54494427808675</c:v>
                </c:pt>
                <c:pt idx="303">
                  <c:v>168.54494427808675</c:v>
                </c:pt>
                <c:pt idx="304">
                  <c:v>168.54494427808675</c:v>
                </c:pt>
                <c:pt idx="305">
                  <c:v>168.54494427808675</c:v>
                </c:pt>
                <c:pt idx="306">
                  <c:v>168.54494427808675</c:v>
                </c:pt>
                <c:pt idx="307">
                  <c:v>168.54494427808675</c:v>
                </c:pt>
                <c:pt idx="308">
                  <c:v>168.54494427808675</c:v>
                </c:pt>
                <c:pt idx="309">
                  <c:v>168.54494427808675</c:v>
                </c:pt>
                <c:pt idx="310">
                  <c:v>168.54494427808675</c:v>
                </c:pt>
                <c:pt idx="311">
                  <c:v>168.54494427808675</c:v>
                </c:pt>
                <c:pt idx="312">
                  <c:v>168.54494427808675</c:v>
                </c:pt>
                <c:pt idx="313">
                  <c:v>168.54494427808675</c:v>
                </c:pt>
                <c:pt idx="314">
                  <c:v>168.54494427808675</c:v>
                </c:pt>
                <c:pt idx="315">
                  <c:v>168.54494427808675</c:v>
                </c:pt>
                <c:pt idx="316">
                  <c:v>168.54494427808675</c:v>
                </c:pt>
                <c:pt idx="317">
                  <c:v>168.54494427808675</c:v>
                </c:pt>
                <c:pt idx="318">
                  <c:v>168.54494427808675</c:v>
                </c:pt>
                <c:pt idx="319">
                  <c:v>168.54494427808675</c:v>
                </c:pt>
                <c:pt idx="320">
                  <c:v>168.54494427808675</c:v>
                </c:pt>
                <c:pt idx="321">
                  <c:v>168.54494427808675</c:v>
                </c:pt>
                <c:pt idx="322">
                  <c:v>168.54494427808675</c:v>
                </c:pt>
                <c:pt idx="323">
                  <c:v>168.54494427808675</c:v>
                </c:pt>
                <c:pt idx="324">
                  <c:v>168.54494427808675</c:v>
                </c:pt>
                <c:pt idx="325">
                  <c:v>168.54494427808675</c:v>
                </c:pt>
                <c:pt idx="326">
                  <c:v>168.54494427808675</c:v>
                </c:pt>
                <c:pt idx="327">
                  <c:v>168.54494427808675</c:v>
                </c:pt>
                <c:pt idx="328">
                  <c:v>168.54494427808675</c:v>
                </c:pt>
                <c:pt idx="329">
                  <c:v>168.54494427808675</c:v>
                </c:pt>
                <c:pt idx="330">
                  <c:v>168.54494427808675</c:v>
                </c:pt>
                <c:pt idx="331">
                  <c:v>168.54494427808675</c:v>
                </c:pt>
                <c:pt idx="332">
                  <c:v>168.54494427808675</c:v>
                </c:pt>
                <c:pt idx="333">
                  <c:v>168.54494427808675</c:v>
                </c:pt>
                <c:pt idx="334">
                  <c:v>168.54494427808675</c:v>
                </c:pt>
                <c:pt idx="335">
                  <c:v>168.54494427808675</c:v>
                </c:pt>
                <c:pt idx="336">
                  <c:v>168.54494427808675</c:v>
                </c:pt>
                <c:pt idx="337">
                  <c:v>168.54494427808675</c:v>
                </c:pt>
                <c:pt idx="338">
                  <c:v>168.54494427808675</c:v>
                </c:pt>
                <c:pt idx="339">
                  <c:v>168.54494427808675</c:v>
                </c:pt>
                <c:pt idx="340">
                  <c:v>168.54494427808675</c:v>
                </c:pt>
                <c:pt idx="341">
                  <c:v>168.54494427808675</c:v>
                </c:pt>
                <c:pt idx="342">
                  <c:v>168.54494427808675</c:v>
                </c:pt>
                <c:pt idx="343">
                  <c:v>168.54494427808675</c:v>
                </c:pt>
                <c:pt idx="344">
                  <c:v>168.54494427808675</c:v>
                </c:pt>
                <c:pt idx="345">
                  <c:v>168.54494427808675</c:v>
                </c:pt>
                <c:pt idx="346">
                  <c:v>168.54494427808675</c:v>
                </c:pt>
                <c:pt idx="347">
                  <c:v>168.54494427808675</c:v>
                </c:pt>
                <c:pt idx="348">
                  <c:v>168.54494427808675</c:v>
                </c:pt>
                <c:pt idx="349">
                  <c:v>168.54494427808675</c:v>
                </c:pt>
                <c:pt idx="350">
                  <c:v>168.54494427808675</c:v>
                </c:pt>
                <c:pt idx="351">
                  <c:v>168.54494427808675</c:v>
                </c:pt>
                <c:pt idx="352">
                  <c:v>168.54494427808675</c:v>
                </c:pt>
                <c:pt idx="353">
                  <c:v>168.54494427808675</c:v>
                </c:pt>
                <c:pt idx="354">
                  <c:v>168.54494427808675</c:v>
                </c:pt>
                <c:pt idx="355">
                  <c:v>168.54494427808675</c:v>
                </c:pt>
                <c:pt idx="356">
                  <c:v>168.54494427808675</c:v>
                </c:pt>
                <c:pt idx="357">
                  <c:v>168.54494427808675</c:v>
                </c:pt>
                <c:pt idx="358">
                  <c:v>168.54494427808675</c:v>
                </c:pt>
                <c:pt idx="359">
                  <c:v>168.54494427808675</c:v>
                </c:pt>
                <c:pt idx="360">
                  <c:v>168.54494427808675</c:v>
                </c:pt>
                <c:pt idx="361">
                  <c:v>168.54494427808675</c:v>
                </c:pt>
                <c:pt idx="362">
                  <c:v>168.54494427808675</c:v>
                </c:pt>
                <c:pt idx="363">
                  <c:v>168.54494427808675</c:v>
                </c:pt>
                <c:pt idx="364">
                  <c:v>168.54494427808675</c:v>
                </c:pt>
                <c:pt idx="365">
                  <c:v>168.54494427808675</c:v>
                </c:pt>
                <c:pt idx="366">
                  <c:v>168.54494427808675</c:v>
                </c:pt>
                <c:pt idx="367">
                  <c:v>168.54494427808675</c:v>
                </c:pt>
                <c:pt idx="368">
                  <c:v>168.54494427808675</c:v>
                </c:pt>
                <c:pt idx="369">
                  <c:v>168.54494427808675</c:v>
                </c:pt>
                <c:pt idx="370">
                  <c:v>168.54494427808675</c:v>
                </c:pt>
                <c:pt idx="371">
                  <c:v>168.54494427808675</c:v>
                </c:pt>
                <c:pt idx="372">
                  <c:v>168.54494427808675</c:v>
                </c:pt>
                <c:pt idx="373">
                  <c:v>168.54494427808675</c:v>
                </c:pt>
                <c:pt idx="374">
                  <c:v>168.54494427808675</c:v>
                </c:pt>
                <c:pt idx="375">
                  <c:v>168.54494427808675</c:v>
                </c:pt>
                <c:pt idx="376">
                  <c:v>168.54494427808675</c:v>
                </c:pt>
                <c:pt idx="377">
                  <c:v>168.54494427808675</c:v>
                </c:pt>
                <c:pt idx="378">
                  <c:v>168.54494427808675</c:v>
                </c:pt>
                <c:pt idx="379">
                  <c:v>168.54494427808675</c:v>
                </c:pt>
                <c:pt idx="380">
                  <c:v>168.54494427808675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96-478A-A4B5-1BCD8C7553FE}"/>
            </c:ext>
          </c:extLst>
        </c:ser>
        <c:ser>
          <c:idx val="4"/>
          <c:order val="4"/>
          <c:tx>
            <c:strRef>
              <c:f>Diagrammdaten!$G$7</c:f>
              <c:strCache>
                <c:ptCount val="1"/>
                <c:pt idx="0">
                  <c:v>fest [bar]</c:v>
                </c:pt>
              </c:strCache>
            </c:strRef>
          </c:tx>
          <c:spPr>
            <a:solidFill>
              <a:srgbClr val="D9D2E9"/>
            </a:solidFill>
            <a:ln>
              <a:noFill/>
            </a:ln>
          </c:spPr>
          <c:cat>
            <c:strRef>
              <c:f>Diagrammdaten!$C$8:$C$388</c:f>
              <c:strCache>
                <c:ptCount val="361"/>
                <c:pt idx="0">
                  <c:v>-80</c:v>
                </c:pt>
                <c:pt idx="40">
                  <c:v>-60</c:v>
                </c:pt>
                <c:pt idx="80">
                  <c:v>-40</c:v>
                </c:pt>
                <c:pt idx="120">
                  <c:v>-20</c:v>
                </c:pt>
                <c:pt idx="160">
                  <c:v>0</c:v>
                </c:pt>
                <c:pt idx="200">
                  <c:v>20</c:v>
                </c:pt>
                <c:pt idx="240">
                  <c:v>40</c:v>
                </c:pt>
                <c:pt idx="280">
                  <c:v>60</c:v>
                </c:pt>
                <c:pt idx="320">
                  <c:v>80</c:v>
                </c:pt>
                <c:pt idx="360">
                  <c:v>100</c:v>
                </c:pt>
              </c:strCache>
            </c:strRef>
          </c:cat>
          <c:val>
            <c:numRef>
              <c:f>Diagrammdaten!$G$8:$G$388</c:f>
              <c:numCache>
                <c:formatCode>General</c:formatCode>
                <c:ptCount val="381"/>
                <c:pt idx="0">
                  <c:v>249.10758432028197</c:v>
                </c:pt>
                <c:pt idx="1">
                  <c:v>249.0697020259696</c:v>
                </c:pt>
                <c:pt idx="2">
                  <c:v>249.03041162618976</c:v>
                </c:pt>
                <c:pt idx="3">
                  <c:v>248.98966806549112</c:v>
                </c:pt>
                <c:pt idx="4">
                  <c:v>248.94742506021737</c:v>
                </c:pt>
                <c:pt idx="5">
                  <c:v>248.90363506914466</c:v>
                </c:pt>
                <c:pt idx="6">
                  <c:v>248.8582492633968</c:v>
                </c:pt>
                <c:pt idx="7">
                  <c:v>248.81121749561368</c:v>
                </c:pt>
                <c:pt idx="8">
                  <c:v>248.76248826834575</c:v>
                </c:pt>
                <c:pt idx="9">
                  <c:v>248.71200870164714</c:v>
                </c:pt>
                <c:pt idx="10">
                  <c:v>248.6597244998367</c:v>
                </c:pt>
                <c:pt idx="11">
                  <c:v>248.60557991739603</c:v>
                </c:pt>
                <c:pt idx="12">
                  <c:v>248.5495177239693</c:v>
                </c:pt>
                <c:pt idx="13">
                  <c:v>248.49147916842955</c:v>
                </c:pt>
                <c:pt idx="14">
                  <c:v>248.43140394197135</c:v>
                </c:pt>
                <c:pt idx="15">
                  <c:v>248.36923014018808</c:v>
                </c:pt>
                <c:pt idx="16">
                  <c:v>248.30489422408749</c:v>
                </c:pt>
                <c:pt idx="17">
                  <c:v>248.23833097999642</c:v>
                </c:pt>
                <c:pt idx="18">
                  <c:v>248.16947347829941</c:v>
                </c:pt>
                <c:pt idx="19">
                  <c:v>248.09825303095215</c:v>
                </c:pt>
                <c:pt idx="20">
                  <c:v>248.02459914770341</c:v>
                </c:pt>
                <c:pt idx="21">
                  <c:v>247.94843949095201</c:v>
                </c:pt>
                <c:pt idx="22">
                  <c:v>247.86969982915753</c:v>
                </c:pt>
                <c:pt idx="23">
                  <c:v>247.78830398871139</c:v>
                </c:pt>
                <c:pt idx="24">
                  <c:v>247.70417380416475</c:v>
                </c:pt>
                <c:pt idx="25">
                  <c:v>247.6172290666922</c:v>
                </c:pt>
                <c:pt idx="26">
                  <c:v>247.52738747065339</c:v>
                </c:pt>
                <c:pt idx="27">
                  <c:v>247.4345645580903</c:v>
                </c:pt>
                <c:pt idx="28">
                  <c:v>247.3386736609695</c:v>
                </c:pt>
                <c:pt idx="29">
                  <c:v>247.23962584094059</c:v>
                </c:pt>
                <c:pt idx="30">
                  <c:v>247.13732982633502</c:v>
                </c:pt>
                <c:pt idx="31">
                  <c:v>247.03169194606474</c:v>
                </c:pt>
                <c:pt idx="32">
                  <c:v>246.92261605999738</c:v>
                </c:pt>
                <c:pt idx="33">
                  <c:v>246.81000348526769</c:v>
                </c:pt>
                <c:pt idx="34">
                  <c:v>246.69375291782731</c:v>
                </c:pt>
                <c:pt idx="35">
                  <c:v>246.57376034830631</c:v>
                </c:pt>
                <c:pt idx="36">
                  <c:v>246.44991897092928</c:v>
                </c:pt>
                <c:pt idx="37">
                  <c:v>246.32211908373046</c:v>
                </c:pt>
                <c:pt idx="38">
                  <c:v>246.19024797753519</c:v>
                </c:pt>
                <c:pt idx="39">
                  <c:v>246.05418980991723</c:v>
                </c:pt>
                <c:pt idx="40">
                  <c:v>245.91382545819579</c:v>
                </c:pt>
                <c:pt idx="41">
                  <c:v>245.76903234166346</c:v>
                </c:pt>
                <c:pt idx="42">
                  <c:v>245.61968419570067</c:v>
                </c:pt>
                <c:pt idx="43">
                  <c:v>245.46565076430832</c:v>
                </c:pt>
                <c:pt idx="44">
                  <c:v>245.30679733832375</c:v>
                </c:pt>
                <c:pt idx="45">
                  <c:v>245.14298395103927</c:v>
                </c:pt>
                <c:pt idx="46">
                  <c:v>244.9740635750301</c:v>
                </c:pt>
                <c:pt idx="47">
                  <c:v>242.10720440871191</c:v>
                </c:pt>
                <c:pt idx="48">
                  <c:v>218.65464354090309</c:v>
                </c:pt>
                <c:pt idx="49">
                  <c:v>195.08860930988234</c:v>
                </c:pt>
                <c:pt idx="50">
                  <c:v>171.40910171565417</c:v>
                </c:pt>
                <c:pt idx="51">
                  <c:v>147.61612075821634</c:v>
                </c:pt>
                <c:pt idx="52">
                  <c:v>123.70966643756657</c:v>
                </c:pt>
                <c:pt idx="53">
                  <c:v>99.689738753709378</c:v>
                </c:pt>
                <c:pt idx="54">
                  <c:v>75.556337706640221</c:v>
                </c:pt>
                <c:pt idx="55">
                  <c:v>51.309463296363703</c:v>
                </c:pt>
                <c:pt idx="56">
                  <c:v>26.94911552287752</c:v>
                </c:pt>
                <c:pt idx="57">
                  <c:v>2.4752943861793142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96-478A-A4B5-1BCD8C755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80001"/>
        <c:axId val="50080002"/>
      </c:areaChart>
      <c:scatterChart>
        <c:scatterStyle val="lineMarker"/>
        <c:varyColors val="0"/>
        <c:ser>
          <c:idx val="5"/>
          <c:order val="5"/>
          <c:tx>
            <c:v>Phasengrenze Gemisch (Tau-/Blasenlinie)</c:v>
          </c:tx>
          <c:spPr>
            <a:ln w="22225">
              <a:solidFill>
                <a:srgbClr val="CA220E"/>
              </a:solidFill>
            </a:ln>
          </c:spPr>
          <c:marker>
            <c:symbol val="none"/>
          </c:marker>
          <c:xVal>
            <c:numRef>
              <c:f>Diagrammdaten!$L$8:$L$77</c:f>
              <c:numCache>
                <c:formatCode>General</c:formatCode>
                <c:ptCount val="70"/>
                <c:pt idx="0">
                  <c:v>47.884000000000071</c:v>
                </c:pt>
                <c:pt idx="1">
                  <c:v>53.996053427743234</c:v>
                </c:pt>
                <c:pt idx="2">
                  <c:v>60.108106855486398</c:v>
                </c:pt>
                <c:pt idx="3">
                  <c:v>66.220160283229561</c:v>
                </c:pt>
                <c:pt idx="4">
                  <c:v>72.332213710972724</c:v>
                </c:pt>
                <c:pt idx="5">
                  <c:v>78.444267138715887</c:v>
                </c:pt>
                <c:pt idx="6">
                  <c:v>84.55632056645905</c:v>
                </c:pt>
                <c:pt idx="7">
                  <c:v>90.668373994202227</c:v>
                </c:pt>
                <c:pt idx="8">
                  <c:v>96.780427421945376</c:v>
                </c:pt>
                <c:pt idx="9">
                  <c:v>102.89248084968855</c:v>
                </c:pt>
                <c:pt idx="10">
                  <c:v>109.0045342774317</c:v>
                </c:pt>
                <c:pt idx="11">
                  <c:v>115.11658770517488</c:v>
                </c:pt>
                <c:pt idx="12">
                  <c:v>121.22864113291804</c:v>
                </c:pt>
                <c:pt idx="13">
                  <c:v>127.34069456066121</c:v>
                </c:pt>
                <c:pt idx="14">
                  <c:v>133.45274798840438</c:v>
                </c:pt>
                <c:pt idx="15">
                  <c:v>139.56480141614753</c:v>
                </c:pt>
                <c:pt idx="16">
                  <c:v>145.67685484389068</c:v>
                </c:pt>
                <c:pt idx="17">
                  <c:v>151.78890827163386</c:v>
                </c:pt>
                <c:pt idx="18">
                  <c:v>157.90096169937704</c:v>
                </c:pt>
                <c:pt idx="19">
                  <c:v>164.01301512712018</c:v>
                </c:pt>
                <c:pt idx="20">
                  <c:v>170.12506855486333</c:v>
                </c:pt>
                <c:pt idx="21">
                  <c:v>176.23712198260651</c:v>
                </c:pt>
                <c:pt idx="22">
                  <c:v>182.34917541034969</c:v>
                </c:pt>
                <c:pt idx="23">
                  <c:v>188.46122883809284</c:v>
                </c:pt>
                <c:pt idx="24">
                  <c:v>194.57328226583601</c:v>
                </c:pt>
                <c:pt idx="25">
                  <c:v>200.68533569357916</c:v>
                </c:pt>
                <c:pt idx="26">
                  <c:v>206.79738912132234</c:v>
                </c:pt>
                <c:pt idx="27">
                  <c:v>212.90944254906549</c:v>
                </c:pt>
                <c:pt idx="28">
                  <c:v>213.11530334534405</c:v>
                </c:pt>
                <c:pt idx="29">
                  <c:v>215.09671087318316</c:v>
                </c:pt>
                <c:pt idx="30">
                  <c:v>216.46977996825069</c:v>
                </c:pt>
                <c:pt idx="31">
                  <c:v>217.14708372948724</c:v>
                </c:pt>
                <c:pt idx="32">
                  <c:v>217.18664870023304</c:v>
                </c:pt>
                <c:pt idx="33">
                  <c:v>217.11976458358242</c:v>
                </c:pt>
                <c:pt idx="34">
                  <c:v>216.69912051454844</c:v>
                </c:pt>
                <c:pt idx="35">
                  <c:v>216.53333128843872</c:v>
                </c:pt>
                <c:pt idx="36">
                  <c:v>216.09101257175962</c:v>
                </c:pt>
                <c:pt idx="37">
                  <c:v>215.89566713390104</c:v>
                </c:pt>
                <c:pt idx="38">
                  <c:v>215.42623598676914</c:v>
                </c:pt>
                <c:pt idx="39">
                  <c:v>214.8293647044818</c:v>
                </c:pt>
                <c:pt idx="40">
                  <c:v>213.22434190975093</c:v>
                </c:pt>
                <c:pt idx="41">
                  <c:v>212.90944254906549</c:v>
                </c:pt>
                <c:pt idx="42">
                  <c:v>207.01567674374172</c:v>
                </c:pt>
                <c:pt idx="43">
                  <c:v>201.12191093841795</c:v>
                </c:pt>
                <c:pt idx="44">
                  <c:v>195.22814513309419</c:v>
                </c:pt>
                <c:pt idx="45">
                  <c:v>189.33437932777042</c:v>
                </c:pt>
                <c:pt idx="46">
                  <c:v>183.44061352244665</c:v>
                </c:pt>
                <c:pt idx="47">
                  <c:v>177.54684771712289</c:v>
                </c:pt>
                <c:pt idx="48">
                  <c:v>171.65308191179912</c:v>
                </c:pt>
                <c:pt idx="49">
                  <c:v>165.75931610647535</c:v>
                </c:pt>
                <c:pt idx="50">
                  <c:v>159.86555030115159</c:v>
                </c:pt>
                <c:pt idx="51">
                  <c:v>153.97178449582782</c:v>
                </c:pt>
                <c:pt idx="52">
                  <c:v>148.07801869050405</c:v>
                </c:pt>
                <c:pt idx="53">
                  <c:v>142.18425288518031</c:v>
                </c:pt>
                <c:pt idx="54">
                  <c:v>136.29048707985655</c:v>
                </c:pt>
                <c:pt idx="55">
                  <c:v>130.39672127453278</c:v>
                </c:pt>
                <c:pt idx="56">
                  <c:v>124.50295546920901</c:v>
                </c:pt>
                <c:pt idx="57">
                  <c:v>118.60918966388525</c:v>
                </c:pt>
                <c:pt idx="58">
                  <c:v>112.71542385856148</c:v>
                </c:pt>
                <c:pt idx="59">
                  <c:v>106.82165805323771</c:v>
                </c:pt>
                <c:pt idx="60">
                  <c:v>100.92789224791395</c:v>
                </c:pt>
                <c:pt idx="61">
                  <c:v>95.034126442590178</c:v>
                </c:pt>
                <c:pt idx="62">
                  <c:v>89.140360637266426</c:v>
                </c:pt>
                <c:pt idx="63">
                  <c:v>83.246594831942645</c:v>
                </c:pt>
                <c:pt idx="64">
                  <c:v>77.352829026618878</c:v>
                </c:pt>
                <c:pt idx="65">
                  <c:v>71.459063221295139</c:v>
                </c:pt>
                <c:pt idx="66">
                  <c:v>65.565297415971372</c:v>
                </c:pt>
                <c:pt idx="67">
                  <c:v>59.671531610647605</c:v>
                </c:pt>
                <c:pt idx="68">
                  <c:v>53.777765805323838</c:v>
                </c:pt>
                <c:pt idx="69">
                  <c:v>47.884000000000071</c:v>
                </c:pt>
              </c:numCache>
            </c:numRef>
          </c:xVal>
          <c:yVal>
            <c:numRef>
              <c:f>Diagrammdaten!$K$8:$K$77</c:f>
              <c:numCache>
                <c:formatCode>General</c:formatCode>
                <c:ptCount val="70"/>
                <c:pt idx="0">
                  <c:v>5.4780051259929632</c:v>
                </c:pt>
                <c:pt idx="1">
                  <c:v>6.2465283664309963</c:v>
                </c:pt>
                <c:pt idx="2">
                  <c:v>7.094026716138905</c:v>
                </c:pt>
                <c:pt idx="3">
                  <c:v>8.0255579412624787</c:v>
                </c:pt>
                <c:pt idx="4">
                  <c:v>9.0463049806261271</c:v>
                </c:pt>
                <c:pt idx="5">
                  <c:v>10.161580260227899</c:v>
                </c:pt>
                <c:pt idx="6">
                  <c:v>11.376832494554185</c:v>
                </c:pt>
                <c:pt idx="7">
                  <c:v>12.697656236143098</c:v>
                </c:pt>
                <c:pt idx="8">
                  <c:v>14.129804656079587</c:v>
                </c:pt>
                <c:pt idx="9">
                  <c:v>15.67923451447156</c:v>
                </c:pt>
                <c:pt idx="10">
                  <c:v>17.352406968327372</c:v>
                </c:pt>
                <c:pt idx="11">
                  <c:v>19.155353708527862</c:v>
                </c:pt>
                <c:pt idx="12">
                  <c:v>21.094699875721581</c:v>
                </c:pt>
                <c:pt idx="13">
                  <c:v>23.177390130610402</c:v>
                </c:pt>
                <c:pt idx="14">
                  <c:v>25.410755922853671</c:v>
                </c:pt>
                <c:pt idx="15">
                  <c:v>27.802604003304531</c:v>
                </c:pt>
                <c:pt idx="16">
                  <c:v>30.363205999893026</c:v>
                </c:pt>
                <c:pt idx="17">
                  <c:v>33.096101826227539</c:v>
                </c:pt>
                <c:pt idx="18">
                  <c:v>36.017129110207115</c:v>
                </c:pt>
                <c:pt idx="19">
                  <c:v>39.136313339837116</c:v>
                </c:pt>
                <c:pt idx="20">
                  <c:v>42.466439159222979</c:v>
                </c:pt>
                <c:pt idx="21">
                  <c:v>46.023360530623989</c:v>
                </c:pt>
                <c:pt idx="22">
                  <c:v>49.826593298424697</c:v>
                </c:pt>
                <c:pt idx="23">
                  <c:v>53.902917038676897</c:v>
                </c:pt>
                <c:pt idx="24">
                  <c:v>58.288588500852839</c:v>
                </c:pt>
                <c:pt idx="25">
                  <c:v>63.115296932976065</c:v>
                </c:pt>
                <c:pt idx="26">
                  <c:v>68.296439810562831</c:v>
                </c:pt>
                <c:pt idx="27">
                  <c:v>74.339555460510013</c:v>
                </c:pt>
                <c:pt idx="28">
                  <c:v>74.556723930467271</c:v>
                </c:pt>
                <c:pt idx="29">
                  <c:v>76.933953502157294</c:v>
                </c:pt>
                <c:pt idx="30">
                  <c:v>78.941156502790562</c:v>
                </c:pt>
                <c:pt idx="31">
                  <c:v>80.494760566134005</c:v>
                </c:pt>
                <c:pt idx="32">
                  <c:v>80.896473762668705</c:v>
                </c:pt>
                <c:pt idx="33">
                  <c:v>81.224767037052715</c:v>
                </c:pt>
                <c:pt idx="34">
                  <c:v>81.685344406773822</c:v>
                </c:pt>
                <c:pt idx="35">
                  <c:v>81.838319578037911</c:v>
                </c:pt>
                <c:pt idx="36">
                  <c:v>82.075301596995402</c:v>
                </c:pt>
                <c:pt idx="37">
                  <c:v>82.127440129186695</c:v>
                </c:pt>
                <c:pt idx="38">
                  <c:v>82.17759431791859</c:v>
                </c:pt>
                <c:pt idx="39">
                  <c:v>82.142568673071494</c:v>
                </c:pt>
                <c:pt idx="40">
                  <c:v>81.790286378469247</c:v>
                </c:pt>
                <c:pt idx="41">
                  <c:v>81.686326049855197</c:v>
                </c:pt>
                <c:pt idx="42">
                  <c:v>79.403896306172044</c:v>
                </c:pt>
                <c:pt idx="43">
                  <c:v>76.706643047108898</c:v>
                </c:pt>
                <c:pt idx="44">
                  <c:v>73.917273160672508</c:v>
                </c:pt>
                <c:pt idx="45">
                  <c:v>71.162241328121723</c:v>
                </c:pt>
                <c:pt idx="46">
                  <c:v>68.499105449613097</c:v>
                </c:pt>
                <c:pt idx="47">
                  <c:v>65.950868682966799</c:v>
                </c:pt>
                <c:pt idx="48">
                  <c:v>63.532027644965225</c:v>
                </c:pt>
                <c:pt idx="49">
                  <c:v>61.252710857907914</c:v>
                </c:pt>
                <c:pt idx="50">
                  <c:v>59.119111530194637</c:v>
                </c:pt>
                <c:pt idx="51">
                  <c:v>57.135698205735828</c:v>
                </c:pt>
                <c:pt idx="52">
                  <c:v>55.304834874033894</c:v>
                </c:pt>
                <c:pt idx="53">
                  <c:v>53.628494465250789</c:v>
                </c:pt>
                <c:pt idx="54">
                  <c:v>52.108566858257042</c:v>
                </c:pt>
                <c:pt idx="55">
                  <c:v>50.747017816934239</c:v>
                </c:pt>
                <c:pt idx="56">
                  <c:v>49.546046180813249</c:v>
                </c:pt>
                <c:pt idx="57">
                  <c:v>48.508227960961797</c:v>
                </c:pt>
                <c:pt idx="58">
                  <c:v>47.636678138918917</c:v>
                </c:pt>
                <c:pt idx="59">
                  <c:v>46.935238191457664</c:v>
                </c:pt>
                <c:pt idx="60">
                  <c:v>46.40892779619076</c:v>
                </c:pt>
                <c:pt idx="61">
                  <c:v>46.063863329321116</c:v>
                </c:pt>
                <c:pt idx="62">
                  <c:v>45.907235940758852</c:v>
                </c:pt>
                <c:pt idx="63">
                  <c:v>45.948412119295952</c:v>
                </c:pt>
                <c:pt idx="64">
                  <c:v>46.199065481880361</c:v>
                </c:pt>
                <c:pt idx="65">
                  <c:v>46.673734775122661</c:v>
                </c:pt>
                <c:pt idx="66">
                  <c:v>47.390529862815043</c:v>
                </c:pt>
                <c:pt idx="67">
                  <c:v>48.372032320327683</c:v>
                </c:pt>
                <c:pt idx="68">
                  <c:v>49.646459563221228</c:v>
                </c:pt>
                <c:pt idx="69">
                  <c:v>51.249178858911719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996-478A-A4B5-1BCD8C7553FE}"/>
            </c:ext>
          </c:extLst>
        </c:ser>
        <c:ser>
          <c:idx val="6"/>
          <c:order val="6"/>
          <c:tx>
            <c:v>Sättigungslinie reines CO₂ (Vergleich)</c:v>
          </c:tx>
          <c:spPr>
            <a:ln w="12700" cap="rnd">
              <a:solidFill>
                <a:srgbClr val="808080"/>
              </a:solidFill>
              <a:round/>
            </a:ln>
          </c:spPr>
          <c:marker>
            <c:symbol val="none"/>
          </c:marker>
          <c:xVal>
            <c:numRef>
              <c:f>Diagrammdaten!$L$256:$L$296</c:f>
              <c:numCache>
                <c:formatCode>General</c:formatCode>
                <c:ptCount val="41"/>
                <c:pt idx="0">
                  <c:v>47.884000000000071</c:v>
                </c:pt>
                <c:pt idx="1">
                  <c:v>52.260760000149105</c:v>
                </c:pt>
                <c:pt idx="2">
                  <c:v>56.637520000298139</c:v>
                </c:pt>
                <c:pt idx="3">
                  <c:v>61.014280000447172</c:v>
                </c:pt>
                <c:pt idx="4">
                  <c:v>65.391040000596206</c:v>
                </c:pt>
                <c:pt idx="5">
                  <c:v>69.76780000074524</c:v>
                </c:pt>
                <c:pt idx="6">
                  <c:v>74.144560000894273</c:v>
                </c:pt>
                <c:pt idx="7">
                  <c:v>78.521320001043307</c:v>
                </c:pt>
                <c:pt idx="8">
                  <c:v>82.898080001192341</c:v>
                </c:pt>
                <c:pt idx="9">
                  <c:v>87.274840001341374</c:v>
                </c:pt>
                <c:pt idx="10">
                  <c:v>91.651600001490408</c:v>
                </c:pt>
                <c:pt idx="11">
                  <c:v>96.028360001639442</c:v>
                </c:pt>
                <c:pt idx="12">
                  <c:v>100.40512000178848</c:v>
                </c:pt>
                <c:pt idx="13">
                  <c:v>104.78188000193751</c:v>
                </c:pt>
                <c:pt idx="14">
                  <c:v>109.1586400020866</c:v>
                </c:pt>
                <c:pt idx="15">
                  <c:v>113.53540000223563</c:v>
                </c:pt>
                <c:pt idx="16">
                  <c:v>117.91216000238467</c:v>
                </c:pt>
                <c:pt idx="17">
                  <c:v>122.2889200025337</c:v>
                </c:pt>
                <c:pt idx="18">
                  <c:v>126.66568000268273</c:v>
                </c:pt>
                <c:pt idx="19">
                  <c:v>131.04244000283177</c:v>
                </c:pt>
                <c:pt idx="20">
                  <c:v>135.4192000029808</c:v>
                </c:pt>
                <c:pt idx="21">
                  <c:v>139.79596000312984</c:v>
                </c:pt>
                <c:pt idx="22">
                  <c:v>144.17272000327887</c:v>
                </c:pt>
                <c:pt idx="23">
                  <c:v>148.5494800034279</c:v>
                </c:pt>
                <c:pt idx="24">
                  <c:v>152.92624000357694</c:v>
                </c:pt>
                <c:pt idx="25">
                  <c:v>157.30300000372597</c:v>
                </c:pt>
                <c:pt idx="26">
                  <c:v>161.679760003875</c:v>
                </c:pt>
                <c:pt idx="27">
                  <c:v>166.05652000402404</c:v>
                </c:pt>
                <c:pt idx="28">
                  <c:v>170.43328000417307</c:v>
                </c:pt>
                <c:pt idx="29">
                  <c:v>174.8100400043221</c:v>
                </c:pt>
                <c:pt idx="30">
                  <c:v>179.18680000447114</c:v>
                </c:pt>
                <c:pt idx="31">
                  <c:v>183.56356000462017</c:v>
                </c:pt>
                <c:pt idx="32">
                  <c:v>187.94032000476921</c:v>
                </c:pt>
                <c:pt idx="33">
                  <c:v>192.31708000491824</c:v>
                </c:pt>
                <c:pt idx="34">
                  <c:v>196.69384000506727</c:v>
                </c:pt>
                <c:pt idx="35">
                  <c:v>201.07060000521631</c:v>
                </c:pt>
                <c:pt idx="36">
                  <c:v>205.44736000536534</c:v>
                </c:pt>
                <c:pt idx="37">
                  <c:v>209.82412000551437</c:v>
                </c:pt>
                <c:pt idx="38">
                  <c:v>214.20088000566341</c:v>
                </c:pt>
                <c:pt idx="39">
                  <c:v>218.57764000581244</c:v>
                </c:pt>
                <c:pt idx="40">
                  <c:v>222.95440000596147</c:v>
                </c:pt>
              </c:numCache>
            </c:numRef>
          </c:xVal>
          <c:yVal>
            <c:numRef>
              <c:f>Diagrammdaten!$K$256:$K$296</c:f>
              <c:numCache>
                <c:formatCode>General</c:formatCode>
                <c:ptCount val="41"/>
                <c:pt idx="0">
                  <c:v>5.179643433349451</c:v>
                </c:pt>
                <c:pt idx="1">
                  <c:v>5.690561898357319</c:v>
                </c:pt>
                <c:pt idx="2">
                  <c:v>6.2385925725646123</c:v>
                </c:pt>
                <c:pt idx="3">
                  <c:v>6.825395560929695</c:v>
                </c:pt>
                <c:pt idx="4">
                  <c:v>7.4526521748979997</c:v>
                </c:pt>
                <c:pt idx="5">
                  <c:v>8.1220643662310241</c:v>
                </c:pt>
                <c:pt idx="6">
                  <c:v>8.8353543202131775</c:v>
                </c:pt>
                <c:pt idx="7">
                  <c:v>9.5942642191494194</c:v>
                </c:pt>
                <c:pt idx="8">
                  <c:v>10.400556183845032</c:v>
                </c:pt>
                <c:pt idx="9">
                  <c:v>11.256012395801237</c:v>
                </c:pt>
                <c:pt idx="10">
                  <c:v>12.162435399008638</c:v>
                </c:pt>
                <c:pt idx="11">
                  <c:v>13.12164858209297</c:v>
                </c:pt>
                <c:pt idx="12">
                  <c:v>14.135496853100509</c:v>
                </c:pt>
                <c:pt idx="13">
                  <c:v>15.205847540490653</c:v>
                </c:pt>
                <c:pt idx="14">
                  <c:v>16.334591579694806</c:v>
                </c:pt>
                <c:pt idx="15">
                  <c:v>17.523645066186731</c:v>
                </c:pt>
                <c:pt idx="16">
                  <c:v>18.774951265593533</c:v>
                </c:pt>
                <c:pt idx="17">
                  <c:v>20.09048316632229</c:v>
                </c:pt>
                <c:pt idx="18">
                  <c:v>21.472246644534383</c:v>
                </c:pt>
                <c:pt idx="19">
                  <c:v>22.922284294019239</c:v>
                </c:pt>
                <c:pt idx="20">
                  <c:v>24.442679965043133</c:v>
                </c:pt>
                <c:pt idx="21">
                  <c:v>26.035564065652519</c:v>
                </c:pt>
                <c:pt idx="22">
                  <c:v>27.703119713043016</c:v>
                </c:pt>
                <c:pt idx="23">
                  <c:v>29.447589887066314</c:v>
                </c:pt>
                <c:pt idx="24">
                  <c:v>31.271285838462976</c:v>
                </c:pt>
                <c:pt idx="25">
                  <c:v>33.176597146455947</c:v>
                </c:pt>
                <c:pt idx="26">
                  <c:v>35.166004004476882</c:v>
                </c:pt>
                <c:pt idx="27">
                  <c:v>37.242092524682882</c:v>
                </c:pt>
                <c:pt idx="28">
                  <c:v>39.40757405146131</c:v>
                </c:pt>
                <c:pt idx="29">
                  <c:v>41.665309602075148</c:v>
                </c:pt>
                <c:pt idx="30">
                  <c:v>44.018340595742728</c:v>
                </c:pt>
                <c:pt idx="31">
                  <c:v>46.46992720935107</c:v>
                </c:pt>
                <c:pt idx="32">
                  <c:v>49.023596810330844</c:v>
                </c:pt>
                <c:pt idx="33">
                  <c:v>51.683208775895139</c:v>
                </c:pt>
                <c:pt idx="34">
                  <c:v>54.453051446377017</c:v>
                </c:pt>
                <c:pt idx="35">
                  <c:v>57.338004121264795</c:v>
                </c:pt>
                <c:pt idx="36">
                  <c:v>60.343818172330835</c:v>
                </c:pt>
                <c:pt idx="37">
                  <c:v>63.4775854036277</c:v>
                </c:pt>
                <c:pt idx="38">
                  <c:v>66.748524248563641</c:v>
                </c:pt>
                <c:pt idx="39">
                  <c:v>70.169980059503217</c:v>
                </c:pt>
                <c:pt idx="40">
                  <c:v>73.771278108842608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996-478A-A4B5-1BCD8C7553FE}"/>
            </c:ext>
          </c:extLst>
        </c:ser>
        <c:ser>
          <c:idx val="7"/>
          <c:order val="7"/>
          <c:tx>
            <c:v>Blasenlinie + 3 bar (sicher flüssig)</c:v>
          </c:tx>
          <c:spPr>
            <a:ln w="12700" cap="rnd">
              <a:solidFill>
                <a:srgbClr val="CA220E"/>
              </a:solidFill>
              <a:prstDash val="dash"/>
              <a:round/>
            </a:ln>
          </c:spPr>
          <c:marker>
            <c:symbol val="none"/>
          </c:marker>
          <c:xVal>
            <c:numRef>
              <c:f>Diagrammdaten!$L$298:$L$327</c:f>
              <c:numCache>
                <c:formatCode>General</c:formatCode>
                <c:ptCount val="30"/>
                <c:pt idx="0">
                  <c:v>47.884000000000071</c:v>
                </c:pt>
                <c:pt idx="1">
                  <c:v>53.705211052225877</c:v>
                </c:pt>
                <c:pt idx="2">
                  <c:v>59.526422104451683</c:v>
                </c:pt>
                <c:pt idx="3">
                  <c:v>65.347633156677489</c:v>
                </c:pt>
                <c:pt idx="4">
                  <c:v>71.168844208903295</c:v>
                </c:pt>
                <c:pt idx="5">
                  <c:v>76.9900552611291</c:v>
                </c:pt>
                <c:pt idx="6">
                  <c:v>82.811266313354906</c:v>
                </c:pt>
                <c:pt idx="7">
                  <c:v>88.632477365580712</c:v>
                </c:pt>
                <c:pt idx="8">
                  <c:v>94.453688417806518</c:v>
                </c:pt>
                <c:pt idx="9">
                  <c:v>100.27489947003232</c:v>
                </c:pt>
                <c:pt idx="10">
                  <c:v>106.09611052225813</c:v>
                </c:pt>
                <c:pt idx="11">
                  <c:v>111.91732157448394</c:v>
                </c:pt>
                <c:pt idx="12">
                  <c:v>117.73853262670974</c:v>
                </c:pt>
                <c:pt idx="13">
                  <c:v>123.55974367893555</c:v>
                </c:pt>
                <c:pt idx="14">
                  <c:v>129.38095473116135</c:v>
                </c:pt>
                <c:pt idx="15">
                  <c:v>135.20216578338716</c:v>
                </c:pt>
                <c:pt idx="16">
                  <c:v>141.02337683561296</c:v>
                </c:pt>
                <c:pt idx="17">
                  <c:v>146.84458788783877</c:v>
                </c:pt>
                <c:pt idx="18">
                  <c:v>152.66579894006458</c:v>
                </c:pt>
                <c:pt idx="19">
                  <c:v>158.48700999229038</c:v>
                </c:pt>
                <c:pt idx="20">
                  <c:v>164.30822104451619</c:v>
                </c:pt>
                <c:pt idx="21">
                  <c:v>170.12943209674199</c:v>
                </c:pt>
                <c:pt idx="22">
                  <c:v>175.9506431489678</c:v>
                </c:pt>
                <c:pt idx="23">
                  <c:v>181.77185420119361</c:v>
                </c:pt>
                <c:pt idx="24">
                  <c:v>187.59306525341941</c:v>
                </c:pt>
                <c:pt idx="25">
                  <c:v>193.41427630564522</c:v>
                </c:pt>
                <c:pt idx="26">
                  <c:v>199.23548735787102</c:v>
                </c:pt>
                <c:pt idx="27">
                  <c:v>205.05669841009683</c:v>
                </c:pt>
                <c:pt idx="28">
                  <c:v>210.87790946232263</c:v>
                </c:pt>
                <c:pt idx="29">
                  <c:v>216.69912051454844</c:v>
                </c:pt>
              </c:numCache>
            </c:numRef>
          </c:xVal>
          <c:yVal>
            <c:numRef>
              <c:f>Diagrammdaten!$K$298:$K$327</c:f>
              <c:numCache>
                <c:formatCode>General</c:formatCode>
                <c:ptCount val="30"/>
                <c:pt idx="0">
                  <c:v>54.249178858911719</c:v>
                </c:pt>
                <c:pt idx="1">
                  <c:v>52.664363407576069</c:v>
                </c:pt>
                <c:pt idx="2">
                  <c:v>51.40003231788009</c:v>
                </c:pt>
                <c:pt idx="3">
                  <c:v>50.422039629483656</c:v>
                </c:pt>
                <c:pt idx="4">
                  <c:v>49.703056462019831</c:v>
                </c:pt>
                <c:pt idx="5">
                  <c:v>49.221145655561216</c:v>
                </c:pt>
                <c:pt idx="6">
                  <c:v>48.959101170097277</c:v>
                </c:pt>
                <c:pt idx="7">
                  <c:v>48.902828994722412</c:v>
                </c:pt>
                <c:pt idx="8">
                  <c:v>49.040237729303101</c:v>
                </c:pt>
                <c:pt idx="9">
                  <c:v>49.362146363389712</c:v>
                </c:pt>
                <c:pt idx="10">
                  <c:v>49.861173471192402</c:v>
                </c:pt>
                <c:pt idx="11">
                  <c:v>50.531397928398562</c:v>
                </c:pt>
                <c:pt idx="12">
                  <c:v>51.368765341961051</c:v>
                </c:pt>
                <c:pt idx="13">
                  <c:v>52.368889762331087</c:v>
                </c:pt>
                <c:pt idx="14">
                  <c:v>53.528518650089161</c:v>
                </c:pt>
                <c:pt idx="15">
                  <c:v>54.845101014529511</c:v>
                </c:pt>
                <c:pt idx="16">
                  <c:v>56.316468002074117</c:v>
                </c:pt>
                <c:pt idx="17">
                  <c:v>57.940872900767133</c:v>
                </c:pt>
                <c:pt idx="18">
                  <c:v>59.716932633410508</c:v>
                </c:pt>
                <c:pt idx="19">
                  <c:v>61.642103419846549</c:v>
                </c:pt>
                <c:pt idx="20">
                  <c:v>63.71401451613437</c:v>
                </c:pt>
                <c:pt idx="21">
                  <c:v>65.929211829067867</c:v>
                </c:pt>
                <c:pt idx="22">
                  <c:v>68.282233623562746</c:v>
                </c:pt>
                <c:pt idx="23">
                  <c:v>70.764954852547746</c:v>
                </c:pt>
                <c:pt idx="24">
                  <c:v>73.364513310303693</c:v>
                </c:pt>
                <c:pt idx="25">
                  <c:v>76.061587611447692</c:v>
                </c:pt>
                <c:pt idx="26">
                  <c:v>78.81922862244744</c:v>
                </c:pt>
                <c:pt idx="27">
                  <c:v>81.507379398410805</c:v>
                </c:pt>
                <c:pt idx="28">
                  <c:v>84.006386183492225</c:v>
                </c:pt>
                <c:pt idx="29">
                  <c:v>84.685344406773822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996-478A-A4B5-1BCD8C7553FE}"/>
            </c:ext>
          </c:extLst>
        </c:ser>
        <c:ser>
          <c:idx val="8"/>
          <c:order val="8"/>
          <c:tx>
            <c:v>Taulinie − 3 bar (sicher gasförmig)</c:v>
          </c:tx>
          <c:spPr>
            <a:ln w="12700" cap="rnd">
              <a:solidFill>
                <a:srgbClr val="CA220E"/>
              </a:solidFill>
              <a:prstDash val="dash"/>
              <a:round/>
            </a:ln>
          </c:spPr>
          <c:marker>
            <c:symbol val="none"/>
          </c:marker>
          <c:xVal>
            <c:numRef>
              <c:f>Diagrammdaten!$L$329:$L$358</c:f>
              <c:numCache>
                <c:formatCode>General</c:formatCode>
                <c:ptCount val="30"/>
                <c:pt idx="0">
                  <c:v>47.884000000000071</c:v>
                </c:pt>
                <c:pt idx="1">
                  <c:v>53.722022368973626</c:v>
                </c:pt>
                <c:pt idx="2">
                  <c:v>59.56004473794718</c:v>
                </c:pt>
                <c:pt idx="3">
                  <c:v>65.39806710692072</c:v>
                </c:pt>
                <c:pt idx="4">
                  <c:v>71.236089475894275</c:v>
                </c:pt>
                <c:pt idx="5">
                  <c:v>77.074111844867829</c:v>
                </c:pt>
                <c:pt idx="6">
                  <c:v>82.91213421384137</c:v>
                </c:pt>
                <c:pt idx="7">
                  <c:v>88.750156582814924</c:v>
                </c:pt>
                <c:pt idx="8">
                  <c:v>94.588178951788478</c:v>
                </c:pt>
                <c:pt idx="9">
                  <c:v>100.42620132076203</c:v>
                </c:pt>
                <c:pt idx="10">
                  <c:v>106.26422368973559</c:v>
                </c:pt>
                <c:pt idx="11">
                  <c:v>112.10224605870913</c:v>
                </c:pt>
                <c:pt idx="12">
                  <c:v>117.94026842768268</c:v>
                </c:pt>
                <c:pt idx="13">
                  <c:v>123.77829079665624</c:v>
                </c:pt>
                <c:pt idx="14">
                  <c:v>129.61631316562978</c:v>
                </c:pt>
                <c:pt idx="15">
                  <c:v>135.45433553460333</c:v>
                </c:pt>
                <c:pt idx="16">
                  <c:v>141.29235790357689</c:v>
                </c:pt>
                <c:pt idx="17">
                  <c:v>147.13038027255044</c:v>
                </c:pt>
                <c:pt idx="18">
                  <c:v>152.96840264152399</c:v>
                </c:pt>
                <c:pt idx="19">
                  <c:v>158.80642501049755</c:v>
                </c:pt>
                <c:pt idx="20">
                  <c:v>164.6444473794711</c:v>
                </c:pt>
                <c:pt idx="21">
                  <c:v>170.48246974844466</c:v>
                </c:pt>
                <c:pt idx="22">
                  <c:v>176.32049211741818</c:v>
                </c:pt>
                <c:pt idx="23">
                  <c:v>182.15851448639174</c:v>
                </c:pt>
                <c:pt idx="24">
                  <c:v>187.99653685536529</c:v>
                </c:pt>
                <c:pt idx="25">
                  <c:v>193.83455922433885</c:v>
                </c:pt>
                <c:pt idx="26">
                  <c:v>199.6725815933124</c:v>
                </c:pt>
                <c:pt idx="27">
                  <c:v>205.51060396228596</c:v>
                </c:pt>
                <c:pt idx="28">
                  <c:v>211.34862633125948</c:v>
                </c:pt>
                <c:pt idx="29">
                  <c:v>217.18664870023304</c:v>
                </c:pt>
              </c:numCache>
            </c:numRef>
          </c:xVal>
          <c:yVal>
            <c:numRef>
              <c:f>Diagrammdaten!$K$329:$K$358</c:f>
              <c:numCache>
                <c:formatCode>General</c:formatCode>
                <c:ptCount val="30"/>
                <c:pt idx="0">
                  <c:v>2.4780051259929632</c:v>
                </c:pt>
                <c:pt idx="1">
                  <c:v>3.2104599332675336</c:v>
                </c:pt>
                <c:pt idx="2">
                  <c:v>4.0147345983788778</c:v>
                </c:pt>
                <c:pt idx="3">
                  <c:v>4.8949818046756448</c:v>
                </c:pt>
                <c:pt idx="4">
                  <c:v>5.8564245962950601</c:v>
                </c:pt>
                <c:pt idx="5">
                  <c:v>6.9029427794701999</c:v>
                </c:pt>
                <c:pt idx="6">
                  <c:v>8.0394947701484778</c:v>
                </c:pt>
                <c:pt idx="7">
                  <c:v>9.2713091561138921</c:v>
                </c:pt>
                <c:pt idx="8">
                  <c:v>10.603085389059821</c:v>
                </c:pt>
                <c:pt idx="9">
                  <c:v>12.039852172418426</c:v>
                </c:pt>
                <c:pt idx="10">
                  <c:v>13.586873765952987</c:v>
                </c:pt>
                <c:pt idx="11">
                  <c:v>15.249592936904534</c:v>
                </c:pt>
                <c:pt idx="12">
                  <c:v>17.033658727159636</c:v>
                </c:pt>
                <c:pt idx="13">
                  <c:v>18.945376817165933</c:v>
                </c:pt>
                <c:pt idx="14">
                  <c:v>20.990785665133657</c:v>
                </c:pt>
                <c:pt idx="15">
                  <c:v>23.176208762572006</c:v>
                </c:pt>
                <c:pt idx="16">
                  <c:v>25.508607393240041</c:v>
                </c:pt>
                <c:pt idx="17">
                  <c:v>27.995474228307575</c:v>
                </c:pt>
                <c:pt idx="18">
                  <c:v>30.644973518769611</c:v>
                </c:pt>
                <c:pt idx="19">
                  <c:v>33.466550208449242</c:v>
                </c:pt>
                <c:pt idx="20">
                  <c:v>36.470502620113258</c:v>
                </c:pt>
                <c:pt idx="21">
                  <c:v>39.668178690413654</c:v>
                </c:pt>
                <c:pt idx="22">
                  <c:v>43.073587576943865</c:v>
                </c:pt>
                <c:pt idx="23">
                  <c:v>46.703908661604409</c:v>
                </c:pt>
                <c:pt idx="24">
                  <c:v>50.58211318954023</c:v>
                </c:pt>
                <c:pt idx="25">
                  <c:v>54.739597871776695</c:v>
                </c:pt>
                <c:pt idx="26">
                  <c:v>59.295247173517502</c:v>
                </c:pt>
                <c:pt idx="27">
                  <c:v>64.156072857380096</c:v>
                </c:pt>
                <c:pt idx="28">
                  <c:v>69.693005578099459</c:v>
                </c:pt>
                <c:pt idx="29">
                  <c:v>77.896473762668705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996-478A-A4B5-1BCD8C7553FE}"/>
            </c:ext>
          </c:extLst>
        </c:ser>
        <c:ser>
          <c:idx val="9"/>
          <c:order val="9"/>
          <c:tx>
            <c:v>Sublimationslinie</c:v>
          </c:tx>
          <c:spPr>
            <a:ln w="19050">
              <a:solidFill>
                <a:srgbClr val="333333"/>
              </a:solidFill>
            </a:ln>
          </c:spPr>
          <c:marker>
            <c:symbol val="none"/>
          </c:marker>
          <c:xVal>
            <c:numRef>
              <c:f>Diagrammdaten!$L$79:$L$103</c:f>
              <c:numCache>
                <c:formatCode>General</c:formatCode>
                <c:ptCount val="25"/>
                <c:pt idx="0">
                  <c:v>1</c:v>
                </c:pt>
                <c:pt idx="1">
                  <c:v>2.9535999999999945</c:v>
                </c:pt>
                <c:pt idx="2">
                  <c:v>4.9070000000000107</c:v>
                </c:pt>
                <c:pt idx="3">
                  <c:v>6.8606000000000051</c:v>
                </c:pt>
                <c:pt idx="4">
                  <c:v>8.813999999999993</c:v>
                </c:pt>
                <c:pt idx="5">
                  <c:v>10.767599999999987</c:v>
                </c:pt>
                <c:pt idx="6">
                  <c:v>12.721000000000004</c:v>
                </c:pt>
                <c:pt idx="7">
                  <c:v>14.674599999999998</c:v>
                </c:pt>
                <c:pt idx="8">
                  <c:v>16.627999999999986</c:v>
                </c:pt>
                <c:pt idx="9">
                  <c:v>18.581600000000009</c:v>
                </c:pt>
                <c:pt idx="10">
                  <c:v>20.534999999999997</c:v>
                </c:pt>
                <c:pt idx="11">
                  <c:v>22.488599999999991</c:v>
                </c:pt>
                <c:pt idx="12">
                  <c:v>24.442000000000007</c:v>
                </c:pt>
                <c:pt idx="13">
                  <c:v>26.395600000000002</c:v>
                </c:pt>
                <c:pt idx="14">
                  <c:v>28.34899999999999</c:v>
                </c:pt>
                <c:pt idx="15">
                  <c:v>30.302600000000012</c:v>
                </c:pt>
                <c:pt idx="16">
                  <c:v>32.256</c:v>
                </c:pt>
                <c:pt idx="17">
                  <c:v>34.209599999999995</c:v>
                </c:pt>
                <c:pt idx="18">
                  <c:v>36.162999999999997</c:v>
                </c:pt>
                <c:pt idx="19">
                  <c:v>38.116600000000005</c:v>
                </c:pt>
                <c:pt idx="20">
                  <c:v>40.069999999999993</c:v>
                </c:pt>
                <c:pt idx="21">
                  <c:v>42.023600000000002</c:v>
                </c:pt>
                <c:pt idx="22">
                  <c:v>43.977000000000004</c:v>
                </c:pt>
                <c:pt idx="23">
                  <c:v>45.930599999999998</c:v>
                </c:pt>
                <c:pt idx="24">
                  <c:v>47.884</c:v>
                </c:pt>
              </c:numCache>
            </c:numRef>
          </c:xVal>
          <c:yVal>
            <c:numRef>
              <c:f>Diagrammdaten!$K$79:$K$103</c:f>
              <c:numCache>
                <c:formatCode>General</c:formatCode>
                <c:ptCount val="25"/>
                <c:pt idx="0">
                  <c:v>0.89239999999999997</c:v>
                </c:pt>
                <c:pt idx="1">
                  <c:v>0.9677</c:v>
                </c:pt>
                <c:pt idx="2">
                  <c:v>1.0486</c:v>
                </c:pt>
                <c:pt idx="3">
                  <c:v>1.1353</c:v>
                </c:pt>
                <c:pt idx="4">
                  <c:v>1.2282999999999999</c:v>
                </c:pt>
                <c:pt idx="5">
                  <c:v>1.3280000000000001</c:v>
                </c:pt>
                <c:pt idx="6">
                  <c:v>1.4346000000000001</c:v>
                </c:pt>
                <c:pt idx="7">
                  <c:v>1.5488</c:v>
                </c:pt>
                <c:pt idx="8">
                  <c:v>1.6709000000000001</c:v>
                </c:pt>
                <c:pt idx="9">
                  <c:v>1.8013999999999999</c:v>
                </c:pt>
                <c:pt idx="10">
                  <c:v>1.9408000000000001</c:v>
                </c:pt>
                <c:pt idx="11">
                  <c:v>2.0897000000000001</c:v>
                </c:pt>
                <c:pt idx="12">
                  <c:v>2.2484999999999999</c:v>
                </c:pt>
                <c:pt idx="13">
                  <c:v>2.4180000000000001</c:v>
                </c:pt>
                <c:pt idx="14">
                  <c:v>2.5985</c:v>
                </c:pt>
                <c:pt idx="15">
                  <c:v>2.7909999999999999</c:v>
                </c:pt>
                <c:pt idx="16">
                  <c:v>2.9958999999999998</c:v>
                </c:pt>
                <c:pt idx="17">
                  <c:v>3.214</c:v>
                </c:pt>
                <c:pt idx="18">
                  <c:v>3.4462000000000002</c:v>
                </c:pt>
                <c:pt idx="19">
                  <c:v>3.6930000000000001</c:v>
                </c:pt>
                <c:pt idx="20">
                  <c:v>3.9554999999999998</c:v>
                </c:pt>
                <c:pt idx="21">
                  <c:v>4.2343999999999999</c:v>
                </c:pt>
                <c:pt idx="22">
                  <c:v>4.5308000000000002</c:v>
                </c:pt>
                <c:pt idx="23">
                  <c:v>4.8455000000000004</c:v>
                </c:pt>
                <c:pt idx="24">
                  <c:v>5.1795999999999998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996-478A-A4B5-1BCD8C7553FE}"/>
            </c:ext>
          </c:extLst>
        </c:ser>
        <c:ser>
          <c:idx val="10"/>
          <c:order val="10"/>
          <c:tx>
            <c:v>Schmelzlinie</c:v>
          </c:tx>
          <c:spPr>
            <a:ln w="19050">
              <a:solidFill>
                <a:srgbClr val="5F2176"/>
              </a:solidFill>
            </a:ln>
          </c:spPr>
          <c:marker>
            <c:symbol val="none"/>
          </c:marker>
          <c:xVal>
            <c:numRef>
              <c:f>Diagrammdaten!$L$105:$L$119</c:f>
              <c:numCache>
                <c:formatCode>General</c:formatCode>
                <c:ptCount val="15"/>
                <c:pt idx="0">
                  <c:v>47.884</c:v>
                </c:pt>
                <c:pt idx="1">
                  <c:v>48.613799999999998</c:v>
                </c:pt>
                <c:pt idx="2">
                  <c:v>49.343599999999995</c:v>
                </c:pt>
                <c:pt idx="3">
                  <c:v>50.073400000000007</c:v>
                </c:pt>
                <c:pt idx="4">
                  <c:v>50.803200000000004</c:v>
                </c:pt>
                <c:pt idx="5">
                  <c:v>51.532799999999995</c:v>
                </c:pt>
                <c:pt idx="6">
                  <c:v>52.262600000000006</c:v>
                </c:pt>
                <c:pt idx="7">
                  <c:v>52.992400000000004</c:v>
                </c:pt>
                <c:pt idx="8">
                  <c:v>53.722200000000001</c:v>
                </c:pt>
                <c:pt idx="9">
                  <c:v>54.451999999999998</c:v>
                </c:pt>
                <c:pt idx="10">
                  <c:v>55.181799999999996</c:v>
                </c:pt>
                <c:pt idx="11">
                  <c:v>55.911600000000007</c:v>
                </c:pt>
                <c:pt idx="12">
                  <c:v>56.641400000000004</c:v>
                </c:pt>
                <c:pt idx="13">
                  <c:v>57.371200000000002</c:v>
                </c:pt>
                <c:pt idx="14">
                  <c:v>58.100800000000007</c:v>
                </c:pt>
              </c:numCache>
            </c:numRef>
          </c:xVal>
          <c:yVal>
            <c:numRef>
              <c:f>Diagrammdaten!$K$105:$K$119</c:f>
              <c:numCache>
                <c:formatCode>General</c:formatCode>
                <c:ptCount val="15"/>
                <c:pt idx="0">
                  <c:v>5.1795999999999998</c:v>
                </c:pt>
                <c:pt idx="1">
                  <c:v>22.274000000000001</c:v>
                </c:pt>
                <c:pt idx="2">
                  <c:v>39.428800000000003</c:v>
                </c:pt>
                <c:pt idx="3">
                  <c:v>56.643999999999998</c:v>
                </c:pt>
                <c:pt idx="4">
                  <c:v>73.919700000000006</c:v>
                </c:pt>
                <c:pt idx="5">
                  <c:v>91.255700000000004</c:v>
                </c:pt>
                <c:pt idx="6">
                  <c:v>108.6523</c:v>
                </c:pt>
                <c:pt idx="7">
                  <c:v>126.1092</c:v>
                </c:pt>
                <c:pt idx="8">
                  <c:v>143.6266</c:v>
                </c:pt>
                <c:pt idx="9">
                  <c:v>161.20439999999999</c:v>
                </c:pt>
                <c:pt idx="10">
                  <c:v>178.84270000000001</c:v>
                </c:pt>
                <c:pt idx="11">
                  <c:v>196.54130000000001</c:v>
                </c:pt>
                <c:pt idx="12">
                  <c:v>214.3005</c:v>
                </c:pt>
                <c:pt idx="13">
                  <c:v>232.12</c:v>
                </c:pt>
                <c:pt idx="14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A996-478A-A4B5-1BCD8C7553FE}"/>
            </c:ext>
          </c:extLst>
        </c:ser>
        <c:ser>
          <c:idx val="11"/>
          <c:order val="11"/>
          <c:tx>
            <c:v>Tripelpunkt</c:v>
          </c:tx>
          <c:spPr>
            <a:ln>
              <a:noFill/>
            </a:ln>
          </c:spPr>
          <c:marker>
            <c:symbol val="circle"/>
            <c:size val="6"/>
            <c:spPr>
              <a:solidFill>
                <a:srgbClr val="000000"/>
              </a:solidFill>
              <a:ln>
                <a:solidFill>
                  <a:srgbClr val="000000"/>
                </a:solidFill>
              </a:ln>
            </c:spPr>
          </c:marker>
          <c:xVal>
            <c:numRef>
              <c:f>Diagrammdaten!$L$121</c:f>
              <c:numCache>
                <c:formatCode>General</c:formatCode>
                <c:ptCount val="1"/>
                <c:pt idx="0">
                  <c:v>47.884</c:v>
                </c:pt>
              </c:numCache>
            </c:numRef>
          </c:xVal>
          <c:yVal>
            <c:numRef>
              <c:f>Diagrammdaten!$K$121</c:f>
              <c:numCache>
                <c:formatCode>General</c:formatCode>
                <c:ptCount val="1"/>
                <c:pt idx="0">
                  <c:v>5.1795999999999998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A996-478A-A4B5-1BCD8C7553FE}"/>
            </c:ext>
          </c:extLst>
        </c:ser>
        <c:ser>
          <c:idx val="12"/>
          <c:order val="12"/>
          <c:tx>
            <c:v>Kritischer Punkt Gemisch</c:v>
          </c:tx>
          <c:spPr>
            <a:ln>
              <a:noFill/>
            </a:ln>
          </c:spPr>
          <c:marker>
            <c:symbol val="circle"/>
            <c:size val="8"/>
            <c:spPr>
              <a:solidFill>
                <a:srgbClr val="CA220E"/>
              </a:solidFill>
              <a:ln>
                <a:solidFill>
                  <a:srgbClr val="CA220E"/>
                </a:solidFill>
              </a:ln>
            </c:spPr>
          </c:marker>
          <c:xVal>
            <c:numRef>
              <c:f>Diagrammdaten!$L$123</c:f>
              <c:numCache>
                <c:formatCode>General</c:formatCode>
                <c:ptCount val="1"/>
                <c:pt idx="0">
                  <c:v>216.90944254906549</c:v>
                </c:pt>
              </c:numCache>
            </c:numRef>
          </c:xVal>
          <c:yVal>
            <c:numRef>
              <c:f>Diagrammdaten!$K$123</c:f>
              <c:numCache>
                <c:formatCode>General</c:formatCode>
                <c:ptCount val="1"/>
                <c:pt idx="0">
                  <c:v>81.455055721913254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A996-478A-A4B5-1BCD8C7553FE}"/>
            </c:ext>
          </c:extLst>
        </c:ser>
        <c:ser>
          <c:idx val="17"/>
          <c:order val="13"/>
          <c:tx>
            <c:v>Beschriftung Phasengebiete E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404040"/>
                        </a:solidFill>
                      </a:rPr>
                      <a:t>fest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996-478A-A4B5-1BCD8C7553F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404040"/>
                        </a:solidFill>
                      </a:rPr>
                      <a:t>flüssig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996-478A-A4B5-1BCD8C7553F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404040"/>
                        </a:solidFill>
                      </a:rPr>
                      <a:t>gasförmig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996-478A-A4B5-1BCD8C7553F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404040"/>
                        </a:solidFill>
                      </a:rPr>
                      <a:t>überkritisch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996-478A-A4B5-1BCD8C7553F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CA220E"/>
                        </a:solidFill>
                      </a:rPr>
                      <a:t>zweiphasig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996-478A-A4B5-1BCD8C7553FE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Diagrammdaten!$L$144:$L$148</c:f>
              <c:numCache>
                <c:formatCode>General</c:formatCode>
                <c:ptCount val="5"/>
                <c:pt idx="0">
                  <c:v>19</c:v>
                </c:pt>
                <c:pt idx="1">
                  <c:v>101</c:v>
                </c:pt>
                <c:pt idx="2">
                  <c:v>305</c:v>
                </c:pt>
                <c:pt idx="3">
                  <c:v>331</c:v>
                </c:pt>
                <c:pt idx="4">
                  <c:v>117</c:v>
                </c:pt>
              </c:numCache>
            </c:numRef>
          </c:xVal>
          <c:yVal>
            <c:numRef>
              <c:f>Diagrammdaten!$K$144:$K$148</c:f>
              <c:numCache>
                <c:formatCode>General</c:formatCode>
                <c:ptCount val="5"/>
                <c:pt idx="0">
                  <c:v>70</c:v>
                </c:pt>
                <c:pt idx="1">
                  <c:v>105</c:v>
                </c:pt>
                <c:pt idx="2">
                  <c:v>12</c:v>
                </c:pt>
                <c:pt idx="3">
                  <c:v>120</c:v>
                </c:pt>
                <c:pt idx="4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A996-478A-A4B5-1BCD8C755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080001"/>
        <c:axId val="60080002"/>
      </c:scatterChart>
      <c:catAx>
        <c:axId val="5008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aseline="0"/>
                </a:pPr>
                <a:r>
                  <a:rPr lang="en-US" sz="1000" baseline="0"/>
                  <a:t>Temperatur [°C]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900" baseline="0"/>
            </a:pPr>
            <a:endParaRPr lang="en-US"/>
          </a:p>
        </c:txPr>
        <c:crossAx val="50080002"/>
        <c:crosses val="autoZero"/>
        <c:auto val="1"/>
        <c:lblAlgn val="ctr"/>
        <c:lblOffset val="100"/>
        <c:tickLblSkip val="40"/>
        <c:tickMarkSkip val="40"/>
        <c:noMultiLvlLbl val="0"/>
      </c:catAx>
      <c:valAx>
        <c:axId val="50080002"/>
        <c:scaling>
          <c:orientation val="minMax"/>
          <c:max val="130"/>
          <c:min val="0"/>
        </c:scaling>
        <c:delete val="0"/>
        <c:axPos val="l"/>
        <c:majorGridlines>
          <c:spPr>
            <a:ln w="6350">
              <a:solidFill>
                <a:srgbClr val="FFFFFF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aseline="0"/>
                </a:pPr>
                <a:r>
                  <a:rPr lang="en-US" sz="1000" baseline="0"/>
                  <a:t>Druck [bar]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80001"/>
        <c:crosses val="autoZero"/>
        <c:crossBetween val="between"/>
        <c:majorUnit val="10"/>
      </c:valAx>
      <c:valAx>
        <c:axId val="60080002"/>
        <c:scaling>
          <c:orientation val="minMax"/>
          <c:max val="130"/>
          <c:min val="0"/>
        </c:scaling>
        <c:delete val="1"/>
        <c:axPos val="r"/>
        <c:numFmt formatCode="General" sourceLinked="1"/>
        <c:majorTickMark val="out"/>
        <c:minorTickMark val="none"/>
        <c:tickLblPos val="nextTo"/>
        <c:crossAx val="60080001"/>
        <c:crosses val="max"/>
        <c:crossBetween val="midCat"/>
      </c:valAx>
      <c:valAx>
        <c:axId val="6008000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60080002"/>
        <c:crosses val="autoZero"/>
        <c:crossBetween val="midCat"/>
      </c:valAx>
    </c:plotArea>
    <c:legend>
      <c:legendPos val="r"/>
      <c:legendEntry>
        <c:idx val="13"/>
        <c:delete val="1"/>
      </c:legendEntry>
      <c:overlay val="0"/>
      <c:txPr>
        <a:bodyPr/>
        <a:lstStyle/>
        <a:p>
          <a:pPr>
            <a:defRPr sz="900" baseline="0"/>
          </a:pPr>
          <a:endParaRPr lang="en-US"/>
        </a:p>
      </c:txPr>
    </c:legend>
    <c:plotVisOnly val="1"/>
    <c:dispBlanksAs val="zero"/>
    <c:showDLblsOverMax val="0"/>
  </c:chart>
  <c:spPr>
    <a:ln>
      <a:solidFill>
        <a:srgbClr val="BFBFB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1" baseline="0">
                <a:solidFill>
                  <a:srgbClr val="00304F"/>
                </a:solidFill>
              </a:defRPr>
            </a:pPr>
            <a:r>
              <a:rPr lang="en-US" sz="1100" b="1" baseline="0">
                <a:solidFill>
                  <a:srgbClr val="00304F"/>
                </a:solidFill>
              </a:rPr>
              <a:t>Temperatur (Gebirge)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</c:v>
          </c:tx>
          <c:spPr>
            <a:ln w="28575">
              <a:solidFill>
                <a:srgbClr val="333333"/>
              </a:solidFill>
            </a:ln>
          </c:spPr>
          <c:marker>
            <c:symbol val="none"/>
          </c:marker>
          <c:xVal>
            <c:numRef>
              <c:f>'Kaverne &amp; Gassäule'!$C$55:$C$79</c:f>
              <c:numCache>
                <c:formatCode>0.0</c:formatCode>
                <c:ptCount val="25"/>
                <c:pt idx="0">
                  <c:v>10</c:v>
                </c:pt>
                <c:pt idx="1">
                  <c:v>11.5</c:v>
                </c:pt>
                <c:pt idx="2">
                  <c:v>13</c:v>
                </c:pt>
                <c:pt idx="3">
                  <c:v>14.5</c:v>
                </c:pt>
                <c:pt idx="4">
                  <c:v>16</c:v>
                </c:pt>
                <c:pt idx="5">
                  <c:v>17.5</c:v>
                </c:pt>
                <c:pt idx="6">
                  <c:v>19</c:v>
                </c:pt>
                <c:pt idx="7">
                  <c:v>20.5</c:v>
                </c:pt>
                <c:pt idx="8">
                  <c:v>22</c:v>
                </c:pt>
                <c:pt idx="9">
                  <c:v>23.5</c:v>
                </c:pt>
                <c:pt idx="10">
                  <c:v>25</c:v>
                </c:pt>
                <c:pt idx="11">
                  <c:v>26.5</c:v>
                </c:pt>
                <c:pt idx="12">
                  <c:v>28</c:v>
                </c:pt>
                <c:pt idx="13">
                  <c:v>29.5</c:v>
                </c:pt>
                <c:pt idx="14">
                  <c:v>31</c:v>
                </c:pt>
                <c:pt idx="15">
                  <c:v>32.5</c:v>
                </c:pt>
                <c:pt idx="16">
                  <c:v>34</c:v>
                </c:pt>
                <c:pt idx="17">
                  <c:v>35.5</c:v>
                </c:pt>
                <c:pt idx="18">
                  <c:v>37</c:v>
                </c:pt>
                <c:pt idx="19">
                  <c:v>38.5</c:v>
                </c:pt>
                <c:pt idx="20">
                  <c:v>40</c:v>
                </c:pt>
                <c:pt idx="21">
                  <c:v>41.5</c:v>
                </c:pt>
                <c:pt idx="22">
                  <c:v>43</c:v>
                </c:pt>
                <c:pt idx="23">
                  <c:v>44.5</c:v>
                </c:pt>
                <c:pt idx="24">
                  <c:v>46</c:v>
                </c:pt>
              </c:numCache>
            </c:numRef>
          </c:xVal>
          <c:yVal>
            <c:numRef>
              <c:f>'Kaverne &amp; Gassäule'!$B$55:$B$79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8A-45F4-BA50-2D25CE9811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10001"/>
        <c:axId val="50010002"/>
      </c:scatterChart>
      <c:valAx>
        <c:axId val="50010001"/>
        <c:scaling>
          <c:orientation val="minMax"/>
          <c:max val="60"/>
          <c:min val="0"/>
        </c:scaling>
        <c:delete val="0"/>
        <c:axPos val="t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 baseline="0"/>
                </a:pPr>
                <a:r>
                  <a:rPr lang="en-US" sz="900" b="0" baseline="0"/>
                  <a:t>T [°C]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axMin"/>
          <c:max val="1200"/>
          <c:min val="0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0" baseline="0"/>
                </a:pPr>
                <a:r>
                  <a:rPr lang="en-US" sz="900" b="0" baseline="0"/>
                  <a:t>Teufe [m]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10001"/>
        <c:crosses val="autoZero"/>
        <c:crossBetween val="midCat"/>
        <c:majorUnit val="200"/>
      </c:valAx>
    </c:plotArea>
    <c:plotVisOnly val="1"/>
    <c:dispBlanksAs val="span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1" baseline="0">
                <a:solidFill>
                  <a:srgbClr val="00304F"/>
                </a:solidFill>
              </a:defRPr>
            </a:pPr>
            <a:r>
              <a:rPr lang="en-US" sz="1100" b="1" baseline="0">
                <a:solidFill>
                  <a:srgbClr val="00304F"/>
                </a:solidFill>
              </a:rPr>
              <a:t>Druck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8949695572993719"/>
          <c:y val="0.19769541597997925"/>
          <c:w val="0.43887402180012058"/>
          <c:h val="0.74803491424037116"/>
        </c:manualLayout>
      </c:layout>
      <c:scatterChart>
        <c:scatterStyle val="lineMarker"/>
        <c:varyColors val="0"/>
        <c:ser>
          <c:idx val="0"/>
          <c:order val="0"/>
          <c:tx>
            <c:v>voll – Gemisch</c:v>
          </c:tx>
          <c:spPr>
            <a:ln w="28575">
              <a:solidFill>
                <a:srgbClr val="007335"/>
              </a:solidFill>
            </a:ln>
          </c:spPr>
          <c:marker>
            <c:symbol val="none"/>
          </c:marker>
          <c:xVal>
            <c:numRef>
              <c:f>'Kaverne &amp; Gassäule'!$D$55:$D$79</c:f>
              <c:numCache>
                <c:formatCode>0.0</c:formatCode>
                <c:ptCount val="25"/>
                <c:pt idx="0">
                  <c:v>114.93130198208927</c:v>
                </c:pt>
                <c:pt idx="1">
                  <c:v>119.16100924115156</c:v>
                </c:pt>
                <c:pt idx="2">
                  <c:v>123.36557182169967</c:v>
                </c:pt>
                <c:pt idx="3">
                  <c:v>127.54518251936265</c:v>
                </c:pt>
                <c:pt idx="4">
                  <c:v>131.70004500354221</c:v>
                </c:pt>
                <c:pt idx="5">
                  <c:v>135.83037358755291</c:v>
                </c:pt>
                <c:pt idx="6">
                  <c:v>139.93639309319369</c:v>
                </c:pt>
                <c:pt idx="7">
                  <c:v>144.01833877875904</c:v>
                </c:pt>
                <c:pt idx="8">
                  <c:v>148.07645628272289</c:v>
                </c:pt>
                <c:pt idx="9">
                  <c:v>152.11100152709446</c:v>
                </c:pt>
                <c:pt idx="10">
                  <c:v>156.1222405259621</c:v>
                </c:pt>
                <c:pt idx="11">
                  <c:v>160.11044905533242</c:v>
                </c:pt>
                <c:pt idx="12">
                  <c:v>164.07591215772621</c:v>
                </c:pt>
                <c:pt idx="13">
                  <c:v>168.01892347570219</c:v>
                </c:pt>
                <c:pt idx="14">
                  <c:v>171.93978442887101</c:v>
                </c:pt>
                <c:pt idx="15">
                  <c:v>175.8388032658045</c:v>
                </c:pt>
                <c:pt idx="16">
                  <c:v>179.71629403339674</c:v>
                </c:pt>
                <c:pt idx="17">
                  <c:v>183.57257551082256</c:v>
                </c:pt>
                <c:pt idx="18">
                  <c:v>187.40797015367133</c:v>
                </c:pt>
                <c:pt idx="19">
                  <c:v>191.22280308741125</c:v>
                </c:pt>
                <c:pt idx="20">
                  <c:v>195.01740117986344</c:v>
                </c:pt>
                <c:pt idx="21">
                  <c:v>198.79209221167758</c:v>
                </c:pt>
                <c:pt idx="22">
                  <c:v>202.54720415346492</c:v>
                </c:pt>
                <c:pt idx="23">
                  <c:v>206.28306454936461</c:v>
                </c:pt>
                <c:pt idx="24">
                  <c:v>210</c:v>
                </c:pt>
              </c:numCache>
            </c:numRef>
          </c:xVal>
          <c:yVal>
            <c:numRef>
              <c:f>'Kaverne &amp; Gassäule'!$B$55:$B$79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E0-437E-A63B-29A9BE0280F1}"/>
            </c:ext>
          </c:extLst>
        </c:ser>
        <c:ser>
          <c:idx val="1"/>
          <c:order val="1"/>
          <c:tx>
            <c:v>Grenzfall – Gemisch</c:v>
          </c:tx>
          <c:spPr>
            <a:ln w="28575">
              <a:solidFill>
                <a:srgbClr val="0476D9"/>
              </a:solidFill>
              <a:prstDash val="dash"/>
            </a:ln>
          </c:spPr>
          <c:marker>
            <c:symbol val="none"/>
          </c:marker>
          <c:xVal>
            <c:numRef>
              <c:f>'Kaverne &amp; Gassäule'!$F$55:$F$79</c:f>
              <c:numCache>
                <c:formatCode>0.0</c:formatCode>
                <c:ptCount val="25"/>
                <c:pt idx="0">
                  <c:v>82.177594317918306</c:v>
                </c:pt>
                <c:pt idx="1">
                  <c:v>86.209691651860339</c:v>
                </c:pt>
                <c:pt idx="2">
                  <c:v>90.211177120067802</c:v>
                </c:pt>
                <c:pt idx="3">
                  <c:v>94.182258243427555</c:v>
                </c:pt>
                <c:pt idx="4">
                  <c:v>98.123172361781016</c:v>
                </c:pt>
                <c:pt idx="5">
                  <c:v>102.03418671869966</c:v>
                </c:pt>
                <c:pt idx="6">
                  <c:v>105.91559827455201</c:v>
                </c:pt>
                <c:pt idx="7">
                  <c:v>109.76773312810479</c:v>
                </c:pt>
                <c:pt idx="8">
                  <c:v>113.5909454657578</c:v>
                </c:pt>
                <c:pt idx="9">
                  <c:v>117.38561602364186</c:v>
                </c:pt>
                <c:pt idx="10">
                  <c:v>121.15215012053648</c:v>
                </c:pt>
                <c:pt idx="11">
                  <c:v>124.89097537730567</c:v>
                </c:pt>
                <c:pt idx="12">
                  <c:v>128.60253926602752</c:v>
                </c:pt>
                <c:pt idx="13">
                  <c:v>132.28730662468095</c:v>
                </c:pt>
                <c:pt idx="14">
                  <c:v>135.94575723768324</c:v>
                </c:pt>
                <c:pt idx="15">
                  <c:v>139.5783835328474</c:v>
                </c:pt>
                <c:pt idx="16">
                  <c:v>143.18568839769392</c:v>
                </c:pt>
                <c:pt idx="17">
                  <c:v>146.76818308560837</c:v>
                </c:pt>
                <c:pt idx="18">
                  <c:v>150.32638517168738</c:v>
                </c:pt>
                <c:pt idx="19">
                  <c:v>153.86081652844035</c:v>
                </c:pt>
                <c:pt idx="20">
                  <c:v>157.3720013160563</c:v>
                </c:pt>
                <c:pt idx="21">
                  <c:v>160.86046401088927</c:v>
                </c:pt>
                <c:pt idx="22">
                  <c:v>164.32672751959655</c:v>
                </c:pt>
                <c:pt idx="23">
                  <c:v>167.77131143828865</c:v>
                </c:pt>
                <c:pt idx="24">
                  <c:v>171.19473051369846</c:v>
                </c:pt>
              </c:numCache>
            </c:numRef>
          </c:xVal>
          <c:yVal>
            <c:numRef>
              <c:f>'Kaverne &amp; Gassäule'!$B$55:$B$79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E0-437E-A63B-29A9BE0280F1}"/>
            </c:ext>
          </c:extLst>
        </c:ser>
        <c:ser>
          <c:idx val="2"/>
          <c:order val="2"/>
          <c:tx>
            <c:v>leer – Gemisch</c:v>
          </c:tx>
          <c:spPr>
            <a:ln w="28575">
              <a:solidFill>
                <a:srgbClr val="EE7203"/>
              </a:solidFill>
              <a:prstDash val="sysDot"/>
            </a:ln>
          </c:spPr>
          <c:marker>
            <c:symbol val="none"/>
          </c:marker>
          <c:xVal>
            <c:numRef>
              <c:f>'Kaverne &amp; Gassäule'!$H$55:$H$79</c:f>
              <c:numCache>
                <c:formatCode>0.0</c:formatCode>
                <c:ptCount val="25"/>
                <c:pt idx="0">
                  <c:v>50.705458672726493</c:v>
                </c:pt>
                <c:pt idx="1">
                  <c:v>51.659629523059941</c:v>
                </c:pt>
                <c:pt idx="2">
                  <c:v>52.470044683915283</c:v>
                </c:pt>
                <c:pt idx="3">
                  <c:v>53.247139379139881</c:v>
                </c:pt>
                <c:pt idx="4">
                  <c:v>54.025823839409902</c:v>
                </c:pt>
                <c:pt idx="5">
                  <c:v>54.806181480706428</c:v>
                </c:pt>
                <c:pt idx="6">
                  <c:v>55.588281924562459</c:v>
                </c:pt>
                <c:pt idx="7">
                  <c:v>56.372183362205107</c:v>
                </c:pt>
                <c:pt idx="8">
                  <c:v>57.157934412263899</c:v>
                </c:pt>
                <c:pt idx="9">
                  <c:v>57.945575615657937</c:v>
                </c:pt>
                <c:pt idx="10">
                  <c:v>58.735140660834205</c:v>
                </c:pt>
                <c:pt idx="11">
                  <c:v>59.526657401485011</c:v>
                </c:pt>
                <c:pt idx="12">
                  <c:v>60.320148709509233</c:v>
                </c:pt>
                <c:pt idx="13">
                  <c:v>61.115633193748572</c:v>
                </c:pt>
                <c:pt idx="14">
                  <c:v>61.913125807204182</c:v>
                </c:pt>
                <c:pt idx="15">
                  <c:v>62.712638360362611</c:v>
                </c:pt>
                <c:pt idx="16">
                  <c:v>63.514179954897848</c:v>
                </c:pt>
                <c:pt idx="17">
                  <c:v>64.317757349714327</c:v>
                </c:pt>
                <c:pt idx="18">
                  <c:v>65.123375269629022</c:v>
                </c:pt>
                <c:pt idx="19">
                  <c:v>65.931036665690229</c:v>
                </c:pt>
                <c:pt idx="20">
                  <c:v>66.740742935030426</c:v>
                </c:pt>
                <c:pt idx="21">
                  <c:v>67.552494107155084</c:v>
                </c:pt>
                <c:pt idx="22">
                  <c:v>68.366289002634076</c:v>
                </c:pt>
                <c:pt idx="23">
                  <c:v>69.182125369272583</c:v>
                </c:pt>
                <c:pt idx="24">
                  <c:v>70</c:v>
                </c:pt>
              </c:numCache>
            </c:numRef>
          </c:xVal>
          <c:yVal>
            <c:numRef>
              <c:f>'Kaverne &amp; Gassäule'!$B$55:$B$79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E0-437E-A63B-29A9BE0280F1}"/>
            </c:ext>
          </c:extLst>
        </c:ser>
        <c:ser>
          <c:idx val="3"/>
          <c:order val="3"/>
          <c:tx>
            <c:v>voll – reines CO₂</c:v>
          </c:tx>
          <c:spPr>
            <a:ln w="19050" cap="rnd">
              <a:solidFill>
                <a:srgbClr val="007335"/>
              </a:solidFill>
              <a:prstDash val="dot"/>
            </a:ln>
          </c:spPr>
          <c:marker>
            <c:symbol val="none"/>
          </c:marker>
          <c:xVal>
            <c:numRef>
              <c:f>'Kaverne &amp; Gassäule'!$J$55:$J$79</c:f>
              <c:numCache>
                <c:formatCode>0.0</c:formatCode>
                <c:ptCount val="25"/>
                <c:pt idx="0">
                  <c:v>107.603219569636</c:v>
                </c:pt>
                <c:pt idx="1">
                  <c:v>112.1341797962734</c:v>
                </c:pt>
                <c:pt idx="2">
                  <c:v>116.6408956363133</c:v>
                </c:pt>
                <c:pt idx="3">
                  <c:v>121.12349405283589</c:v>
                </c:pt>
                <c:pt idx="4">
                  <c:v>125.58211155495179</c:v>
                </c:pt>
                <c:pt idx="5">
                  <c:v>130.0168939094205</c:v>
                </c:pt>
                <c:pt idx="6">
                  <c:v>134.42799578384981</c:v>
                </c:pt>
                <c:pt idx="7">
                  <c:v>138.81558035303229</c:v>
                </c:pt>
                <c:pt idx="8">
                  <c:v>143.1798189021624</c:v>
                </c:pt>
                <c:pt idx="9">
                  <c:v>147.52089045854169</c:v>
                </c:pt>
                <c:pt idx="10">
                  <c:v>151.8389814770035</c:v>
                </c:pt>
                <c:pt idx="11">
                  <c:v>156.13428559421959</c:v>
                </c:pt>
                <c:pt idx="12">
                  <c:v>160.4070034547488</c:v>
                </c:pt>
                <c:pt idx="13">
                  <c:v>164.65734259893159</c:v>
                </c:pt>
                <c:pt idx="14">
                  <c:v>168.88551739156031</c:v>
                </c:pt>
                <c:pt idx="15">
                  <c:v>173.09174896231849</c:v>
                </c:pt>
                <c:pt idx="16">
                  <c:v>177.27626512552101</c:v>
                </c:pt>
                <c:pt idx="17">
                  <c:v>181.43930024805519</c:v>
                </c:pt>
                <c:pt idx="18">
                  <c:v>185.58109504021709</c:v>
                </c:pt>
                <c:pt idx="19">
                  <c:v>189.7018962532259</c:v>
                </c:pt>
                <c:pt idx="20">
                  <c:v>193.8019562780313</c:v>
                </c:pt>
                <c:pt idx="21">
                  <c:v>197.8815326508965</c:v>
                </c:pt>
                <c:pt idx="22">
                  <c:v>201.94088748061549</c:v>
                </c:pt>
                <c:pt idx="23">
                  <c:v>205.98028681901269</c:v>
                </c:pt>
                <c:pt idx="24">
                  <c:v>210</c:v>
                </c:pt>
              </c:numCache>
            </c:numRef>
          </c:xVal>
          <c:yVal>
            <c:numRef>
              <c:f>'Kaverne &amp; Gassäule'!$B$55:$B$79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3E-4D46-96FB-933376A56339}"/>
            </c:ext>
          </c:extLst>
        </c:ser>
        <c:ser>
          <c:idx val="4"/>
          <c:order val="4"/>
          <c:tx>
            <c:v>Grenzfall – reines CO₂</c:v>
          </c:tx>
          <c:spPr>
            <a:ln w="19050" cap="rnd">
              <a:solidFill>
                <a:srgbClr val="0476D9"/>
              </a:solidFill>
              <a:prstDash val="dot"/>
            </a:ln>
          </c:spPr>
          <c:marker>
            <c:symbol val="none"/>
          </c:marker>
          <c:xVal>
            <c:numRef>
              <c:f>'Kaverne &amp; Gassäule'!$L$55:$L$79</c:f>
              <c:numCache>
                <c:formatCode>0.0</c:formatCode>
                <c:ptCount val="25"/>
                <c:pt idx="0">
                  <c:v>73.772983779137576</c:v>
                </c:pt>
                <c:pt idx="1">
                  <c:v>78.158267366217629</c:v>
                </c:pt>
                <c:pt idx="2">
                  <c:v>82.51551505203399</c:v>
                </c:pt>
                <c:pt idx="3">
                  <c:v>86.844824172214189</c:v>
                </c:pt>
                <c:pt idx="4">
                  <c:v>91.146308998600489</c:v>
                </c:pt>
                <c:pt idx="5">
                  <c:v>95.420100641130801</c:v>
                </c:pt>
                <c:pt idx="6">
                  <c:v>99.666346825411907</c:v>
                </c:pt>
                <c:pt idx="7">
                  <c:v>103.8852116340835</c:v>
                </c:pt>
                <c:pt idx="8">
                  <c:v>108.0768752886668</c:v>
                </c:pt>
                <c:pt idx="9">
                  <c:v>112.2415340230345</c:v>
                </c:pt>
                <c:pt idx="10">
                  <c:v>116.3794000648183</c:v>
                </c:pt>
                <c:pt idx="11">
                  <c:v>120.4907017034746</c:v>
                </c:pt>
                <c:pt idx="12">
                  <c:v>124.5756833908703</c:v>
                </c:pt>
                <c:pt idx="13">
                  <c:v>128.6346057983711</c:v>
                </c:pt>
                <c:pt idx="14">
                  <c:v>132.6677457476095</c:v>
                </c:pt>
                <c:pt idx="15">
                  <c:v>136.6753959411524</c:v>
                </c:pt>
                <c:pt idx="16">
                  <c:v>140.65786444165681</c:v>
                </c:pt>
                <c:pt idx="17">
                  <c:v>144.61547387863601</c:v>
                </c:pt>
                <c:pt idx="18">
                  <c:v>148.5485603943242</c:v>
                </c:pt>
                <c:pt idx="19">
                  <c:v>152.4574723682469</c:v>
                </c:pt>
                <c:pt idx="20">
                  <c:v>156.34256897962541</c:v>
                </c:pt>
                <c:pt idx="21">
                  <c:v>160.2042186756909</c:v>
                </c:pt>
                <c:pt idx="22">
                  <c:v>164.0427976128814</c:v>
                </c:pt>
                <c:pt idx="23">
                  <c:v>167.8586881290575</c:v>
                </c:pt>
                <c:pt idx="24">
                  <c:v>171.65227729158011</c:v>
                </c:pt>
              </c:numCache>
            </c:numRef>
          </c:xVal>
          <c:yVal>
            <c:numRef>
              <c:f>'Kaverne &amp; Gassäule'!$B$55:$B$79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3E-4D46-96FB-933376A56339}"/>
            </c:ext>
          </c:extLst>
        </c:ser>
        <c:ser>
          <c:idx val="5"/>
          <c:order val="5"/>
          <c:tx>
            <c:v>leer – reines CO₂</c:v>
          </c:tx>
          <c:spPr>
            <a:ln w="19050" cap="rnd">
              <a:solidFill>
                <a:srgbClr val="EE7203"/>
              </a:solidFill>
              <a:prstDash val="dot"/>
            </a:ln>
          </c:spPr>
          <c:marker>
            <c:symbol val="none"/>
          </c:marker>
          <c:xVal>
            <c:numRef>
              <c:f>'Kaverne &amp; Gassäule'!$N$55:$N$79</c:f>
              <c:numCache>
                <c:formatCode>0.0</c:formatCode>
                <c:ptCount val="25"/>
                <c:pt idx="0">
                  <c:v>44.992994186969852</c:v>
                </c:pt>
                <c:pt idx="1">
                  <c:v>46.658027336303412</c:v>
                </c:pt>
                <c:pt idx="2">
                  <c:v>48.469673788771722</c:v>
                </c:pt>
                <c:pt idx="3">
                  <c:v>50.287386984021232</c:v>
                </c:pt>
                <c:pt idx="4">
                  <c:v>52.113012402204589</c:v>
                </c:pt>
                <c:pt idx="5">
                  <c:v>53.576395779275323</c:v>
                </c:pt>
                <c:pt idx="6">
                  <c:v>54.422451099446228</c:v>
                </c:pt>
                <c:pt idx="7">
                  <c:v>55.269945504788083</c:v>
                </c:pt>
                <c:pt idx="8">
                  <c:v>56.119079339465053</c:v>
                </c:pt>
                <c:pt idx="9">
                  <c:v>56.970011793445003</c:v>
                </c:pt>
                <c:pt idx="10">
                  <c:v>57.822871235687643</c:v>
                </c:pt>
                <c:pt idx="11">
                  <c:v>58.677762156197382</c:v>
                </c:pt>
                <c:pt idx="12">
                  <c:v>59.534770035388831</c:v>
                </c:pt>
                <c:pt idx="13">
                  <c:v>60.393964903905619</c:v>
                </c:pt>
                <c:pt idx="14">
                  <c:v>61.255404045156617</c:v>
                </c:pt>
                <c:pt idx="15">
                  <c:v>62.119134114436157</c:v>
                </c:pt>
                <c:pt idx="16">
                  <c:v>62.985192844205663</c:v>
                </c:pt>
                <c:pt idx="17">
                  <c:v>63.853610443206122</c:v>
                </c:pt>
                <c:pt idx="18">
                  <c:v>64.724410759818767</c:v>
                </c:pt>
                <c:pt idx="19">
                  <c:v>65.597612257397259</c:v>
                </c:pt>
                <c:pt idx="20">
                  <c:v>66.473228835324207</c:v>
                </c:pt>
                <c:pt idx="21">
                  <c:v>67.351270520858037</c:v>
                </c:pt>
                <c:pt idx="22">
                  <c:v>68.231744051372317</c:v>
                </c:pt>
                <c:pt idx="23">
                  <c:v>69.114653363081544</c:v>
                </c:pt>
                <c:pt idx="24">
                  <c:v>70</c:v>
                </c:pt>
              </c:numCache>
            </c:numRef>
          </c:xVal>
          <c:yVal>
            <c:numRef>
              <c:f>'Kaverne &amp; Gassäule'!$B$55:$B$79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3E-4D46-96FB-933376A563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20001"/>
        <c:axId val="50020002"/>
      </c:scatterChart>
      <c:valAx>
        <c:axId val="50020001"/>
        <c:scaling>
          <c:orientation val="minMax"/>
        </c:scaling>
        <c:delete val="0"/>
        <c:axPos val="t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 baseline="0"/>
                </a:pPr>
                <a:r>
                  <a:rPr lang="en-US" sz="900" b="0" baseline="0"/>
                  <a:t>p [bar]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crossBetween val="midCat"/>
      </c:valAx>
      <c:valAx>
        <c:axId val="50020002"/>
        <c:scaling>
          <c:orientation val="maxMin"/>
          <c:max val="1200"/>
          <c:min val="0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0" baseline="0"/>
                </a:pPr>
                <a:r>
                  <a:rPr lang="en-US" sz="900" b="0" baseline="0"/>
                  <a:t>Teufe [m]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20001"/>
        <c:crosses val="autoZero"/>
        <c:crossBetween val="midCat"/>
        <c:majorUnit val="200"/>
      </c:valAx>
    </c:plotArea>
    <c:legend>
      <c:legendPos val="b"/>
      <c:layout>
        <c:manualLayout>
          <c:xMode val="edge"/>
          <c:yMode val="edge"/>
          <c:x val="0.63913610920145814"/>
          <c:y val="0.65425135811511936"/>
          <c:w val="0.33174829056806815"/>
          <c:h val="0.28683391320271012"/>
        </c:manualLayout>
      </c:layout>
      <c:overlay val="0"/>
      <c:txPr>
        <a:bodyPr/>
        <a:lstStyle/>
        <a:p>
          <a:pPr>
            <a:defRPr sz="800" baseline="0"/>
          </a:pPr>
          <a:endParaRPr lang="en-US"/>
        </a:p>
      </c:txPr>
    </c:legend>
    <c:plotVisOnly val="1"/>
    <c:dispBlanksAs val="span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1" baseline="0">
                <a:solidFill>
                  <a:srgbClr val="00304F"/>
                </a:solidFill>
              </a:defRPr>
            </a:pPr>
            <a:r>
              <a:rPr lang="en-US" sz="1100" b="1" baseline="0">
                <a:solidFill>
                  <a:srgbClr val="00304F"/>
                </a:solidFill>
              </a:rPr>
              <a:t>Dichte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1292139026837679"/>
          <c:y val="0.19769541597997925"/>
          <c:w val="0.47854965342991235"/>
          <c:h val="0.76870878349508642"/>
        </c:manualLayout>
      </c:layout>
      <c:scatterChart>
        <c:scatterStyle val="lineMarker"/>
        <c:varyColors val="0"/>
        <c:ser>
          <c:idx val="0"/>
          <c:order val="0"/>
          <c:tx>
            <c:v>voll – Gemisch</c:v>
          </c:tx>
          <c:spPr>
            <a:ln w="28575">
              <a:solidFill>
                <a:srgbClr val="007335"/>
              </a:solidFill>
            </a:ln>
          </c:spPr>
          <c:marker>
            <c:symbol val="none"/>
          </c:marker>
          <c:xVal>
            <c:numRef>
              <c:f>'Kaverne &amp; Gassäule'!$E$55:$E$79</c:f>
              <c:numCache>
                <c:formatCode>0.0</c:formatCode>
                <c:ptCount val="25"/>
                <c:pt idx="0">
                  <c:v>865.00462248909491</c:v>
                </c:pt>
                <c:pt idx="1">
                  <c:v>859.85864841570958</c:v>
                </c:pt>
                <c:pt idx="2">
                  <c:v>854.75080521050813</c:v>
                </c:pt>
                <c:pt idx="3">
                  <c:v>849.68334164926944</c:v>
                </c:pt>
                <c:pt idx="4">
                  <c:v>844.65844859753247</c:v>
                </c:pt>
                <c:pt idx="5">
                  <c:v>839.67827998832161</c:v>
                </c:pt>
                <c:pt idx="6">
                  <c:v>834.74496973294981</c:v>
                </c:pt>
                <c:pt idx="7">
                  <c:v>829.86064042185444</c:v>
                </c:pt>
                <c:pt idx="8">
                  <c:v>825.02740115879669</c:v>
                </c:pt>
                <c:pt idx="9">
                  <c:v>820.24733379425993</c:v>
                </c:pt>
                <c:pt idx="10">
                  <c:v>815.52246880840391</c:v>
                </c:pt>
                <c:pt idx="11">
                  <c:v>810.85475376604688</c:v>
                </c:pt>
                <c:pt idx="12">
                  <c:v>806.24601833582483</c:v>
                </c:pt>
                <c:pt idx="13">
                  <c:v>801.69794018646473</c:v>
                </c:pt>
                <c:pt idx="14">
                  <c:v>797.21201566463969</c:v>
                </c:pt>
                <c:pt idx="15">
                  <c:v>792.78953818349248</c:v>
                </c:pt>
                <c:pt idx="16">
                  <c:v>788.43158595982391</c:v>
                </c:pt>
                <c:pt idx="17">
                  <c:v>784.13901940178368</c:v>
                </c:pt>
                <c:pt idx="18">
                  <c:v>779.91248729654342</c:v>
                </c:pt>
                <c:pt idx="19">
                  <c:v>775.75244012547796</c:v>
                </c:pt>
                <c:pt idx="20">
                  <c:v>771.65914839665834</c:v>
                </c:pt>
                <c:pt idx="21">
                  <c:v>767.63272380401418</c:v>
                </c:pt>
                <c:pt idx="22">
                  <c:v>763.67314121951949</c:v>
                </c:pt>
                <c:pt idx="23">
                  <c:v>759.78025989708044</c:v>
                </c:pt>
                <c:pt idx="24">
                  <c:v>755.95384271623266</c:v>
                </c:pt>
              </c:numCache>
            </c:numRef>
          </c:xVal>
          <c:yVal>
            <c:numRef>
              <c:f>'Kaverne &amp; Gassäule'!$B$55:$B$79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AD-4235-ABFC-4F6D3DC39033}"/>
            </c:ext>
          </c:extLst>
        </c:ser>
        <c:ser>
          <c:idx val="1"/>
          <c:order val="1"/>
          <c:tx>
            <c:v>Grenzfall – Gemisch</c:v>
          </c:tx>
          <c:spPr>
            <a:ln w="28575">
              <a:solidFill>
                <a:srgbClr val="0476D9"/>
              </a:solidFill>
              <a:prstDash val="dash"/>
            </a:ln>
          </c:spPr>
          <c:marker>
            <c:symbol val="none"/>
          </c:marker>
          <c:xVal>
            <c:numRef>
              <c:f>'Kaverne &amp; Gassäule'!$G$55:$G$79</c:f>
              <c:numCache>
                <c:formatCode>0.0</c:formatCode>
                <c:ptCount val="25"/>
                <c:pt idx="0">
                  <c:v>825.29682338781356</c:v>
                </c:pt>
                <c:pt idx="1">
                  <c:v>819.03600954284173</c:v>
                </c:pt>
                <c:pt idx="2">
                  <c:v>812.81435801045086</c:v>
                </c:pt>
                <c:pt idx="3">
                  <c:v>806.63792633144237</c:v>
                </c:pt>
                <c:pt idx="4">
                  <c:v>800.51280910829462</c:v>
                </c:pt>
                <c:pt idx="5">
                  <c:v>794.44509597377794</c:v>
                </c:pt>
                <c:pt idx="6">
                  <c:v>788.44080380254525</c:v>
                </c:pt>
                <c:pt idx="7">
                  <c:v>782.50578709169292</c:v>
                </c:pt>
                <c:pt idx="8">
                  <c:v>776.6456377044849</c:v>
                </c:pt>
                <c:pt idx="9">
                  <c:v>770.86558887490139</c:v>
                </c:pt>
                <c:pt idx="10">
                  <c:v>765.17043750419737</c:v>
                </c:pt>
                <c:pt idx="11">
                  <c:v>759.564493916483</c:v>
                </c:pt>
                <c:pt idx="12">
                  <c:v>754.05156122789447</c:v>
                </c:pt>
                <c:pt idx="13">
                  <c:v>748.63493969247509</c:v>
                </c:pt>
                <c:pt idx="14">
                  <c:v>743.3174468346283</c:v>
                </c:pt>
                <c:pt idx="15">
                  <c:v>738.10144290494725</c:v>
                </c:pt>
                <c:pt idx="16">
                  <c:v>732.98885308332717</c:v>
                </c:pt>
                <c:pt idx="17">
                  <c:v>727.98118185019678</c:v>
                </c:pt>
                <c:pt idx="18">
                  <c:v>723.07951954972702</c:v>
                </c:pt>
                <c:pt idx="19">
                  <c:v>718.28454494400569</c:v>
                </c:pt>
                <c:pt idx="20">
                  <c:v>713.59652954285536</c:v>
                </c:pt>
                <c:pt idx="21">
                  <c:v>709.01534939575038</c:v>
                </c:pt>
                <c:pt idx="22">
                  <c:v>704.54050819428869</c:v>
                </c:pt>
                <c:pt idx="23">
                  <c:v>700.1711727275615</c:v>
                </c:pt>
                <c:pt idx="24">
                  <c:v>695.90621886304257</c:v>
                </c:pt>
              </c:numCache>
            </c:numRef>
          </c:xVal>
          <c:yVal>
            <c:numRef>
              <c:f>'Kaverne &amp; Gassäule'!$B$55:$B$79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AD-4235-ABFC-4F6D3DC39033}"/>
            </c:ext>
          </c:extLst>
        </c:ser>
        <c:ser>
          <c:idx val="2"/>
          <c:order val="2"/>
          <c:tx>
            <c:v>leer – Gemisch</c:v>
          </c:tx>
          <c:spPr>
            <a:ln w="28575">
              <a:solidFill>
                <a:srgbClr val="EE7203"/>
              </a:solidFill>
              <a:prstDash val="sysDot"/>
            </a:ln>
          </c:spPr>
          <c:marker>
            <c:symbol val="none"/>
          </c:marker>
          <c:xVal>
            <c:numRef>
              <c:f>'Kaverne &amp; Gassäule'!$I$55:$I$79</c:f>
              <c:numCache>
                <c:formatCode>0.0</c:formatCode>
                <c:ptCount val="25"/>
                <c:pt idx="0">
                  <c:v>208.63401710078003</c:v>
                </c:pt>
                <c:pt idx="1">
                  <c:v>180.45339147381648</c:v>
                </c:pt>
                <c:pt idx="2">
                  <c:v>158.26745350880307</c:v>
                </c:pt>
                <c:pt idx="3">
                  <c:v>158.58156714079087</c:v>
                </c:pt>
                <c:pt idx="4">
                  <c:v>158.91435687849651</c:v>
                </c:pt>
                <c:pt idx="5">
                  <c:v>159.26271204121161</c:v>
                </c:pt>
                <c:pt idx="6">
                  <c:v>159.6240720495816</c:v>
                </c:pt>
                <c:pt idx="7">
                  <c:v>159.99630272372789</c:v>
                </c:pt>
                <c:pt idx="8">
                  <c:v>160.37760924921488</c:v>
                </c:pt>
                <c:pt idx="9">
                  <c:v>160.76647264703266</c:v>
                </c:pt>
                <c:pt idx="10">
                  <c:v>161.16160169886166</c:v>
                </c:pt>
                <c:pt idx="11">
                  <c:v>161.56189533902983</c:v>
                </c:pt>
                <c:pt idx="12">
                  <c:v>161.96641238049682</c:v>
                </c:pt>
                <c:pt idx="13">
                  <c:v>162.37434658296286</c:v>
                </c:pt>
                <c:pt idx="14">
                  <c:v>162.78500578033623</c:v>
                </c:pt>
                <c:pt idx="15">
                  <c:v>163.19779422794545</c:v>
                </c:pt>
                <c:pt idx="16">
                  <c:v>163.61219760549773</c:v>
                </c:pt>
                <c:pt idx="17">
                  <c:v>164.02777027996802</c:v>
                </c:pt>
                <c:pt idx="18">
                  <c:v>164.44412453165725</c:v>
                </c:pt>
                <c:pt idx="19">
                  <c:v>164.86092150215964</c:v>
                </c:pt>
                <c:pt idx="20">
                  <c:v>165.27786365243551</c:v>
                </c:pt>
                <c:pt idx="21">
                  <c:v>165.69468853484133</c:v>
                </c:pt>
                <c:pt idx="22">
                  <c:v>166.11116369296403</c:v>
                </c:pt>
                <c:pt idx="23">
                  <c:v>166.52708251254975</c:v>
                </c:pt>
                <c:pt idx="24">
                  <c:v>166.94226085841004</c:v>
                </c:pt>
              </c:numCache>
            </c:numRef>
          </c:xVal>
          <c:yVal>
            <c:numRef>
              <c:f>'Kaverne &amp; Gassäule'!$B$55:$B$79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9AD-4235-ABFC-4F6D3DC39033}"/>
            </c:ext>
          </c:extLst>
        </c:ser>
        <c:ser>
          <c:idx val="3"/>
          <c:order val="3"/>
          <c:tx>
            <c:v>voll – reines CO₂</c:v>
          </c:tx>
          <c:spPr>
            <a:ln w="19050" cap="rnd">
              <a:solidFill>
                <a:srgbClr val="007335"/>
              </a:solidFill>
              <a:prstDash val="dot"/>
            </a:ln>
          </c:spPr>
          <c:marker>
            <c:symbol val="none"/>
          </c:marker>
          <c:xVal>
            <c:numRef>
              <c:f>'Kaverne &amp; Gassäule'!$K$55:$K$79</c:f>
              <c:numCache>
                <c:formatCode>0.0</c:formatCode>
                <c:ptCount val="25"/>
                <c:pt idx="0">
                  <c:v>926.32203680404973</c:v>
                </c:pt>
                <c:pt idx="1">
                  <c:v>921.36648651154201</c:v>
                </c:pt>
                <c:pt idx="2">
                  <c:v>916.43579278043831</c:v>
                </c:pt>
                <c:pt idx="3">
                  <c:v>911.53192593962672</c:v>
                </c:pt>
                <c:pt idx="4">
                  <c:v>906.65680676935699</c:v>
                </c:pt>
                <c:pt idx="5">
                  <c:v>901.81228956803068</c:v>
                </c:pt>
                <c:pt idx="6">
                  <c:v>897.00015115065344</c:v>
                </c:pt>
                <c:pt idx="7">
                  <c:v>892.222086630273</c:v>
                </c:pt>
                <c:pt idx="8">
                  <c:v>887.47971201926009</c:v>
                </c:pt>
                <c:pt idx="9">
                  <c:v>882.77457279218368</c:v>
                </c:pt>
                <c:pt idx="10">
                  <c:v>878.10815671138118</c:v>
                </c:pt>
                <c:pt idx="11">
                  <c:v>873.48190858756857</c:v>
                </c:pt>
                <c:pt idx="12">
                  <c:v>868.89724435846222</c:v>
                </c:pt>
                <c:pt idx="13">
                  <c:v>864.35556197154074</c:v>
                </c:pt>
                <c:pt idx="14">
                  <c:v>859.85824705420976</c:v>
                </c:pt>
                <c:pt idx="15">
                  <c:v>855.40667218201588</c:v>
                </c:pt>
                <c:pt idx="16">
                  <c:v>851.00218948102599</c:v>
                </c:pt>
                <c:pt idx="17">
                  <c:v>846.64611733448464</c:v>
                </c:pt>
                <c:pt idx="18">
                  <c:v>842.33972272629626</c:v>
                </c:pt>
                <c:pt idx="19">
                  <c:v>838.08420130895161</c:v>
                </c:pt>
                <c:pt idx="20">
                  <c:v>833.88065746306995</c:v>
                </c:pt>
                <c:pt idx="21">
                  <c:v>829.73008646458027</c:v>
                </c:pt>
                <c:pt idx="22">
                  <c:v>825.63336044695302</c:v>
                </c:pt>
                <c:pt idx="23">
                  <c:v>821.59121924258886</c:v>
                </c:pt>
                <c:pt idx="24">
                  <c:v>817.60426652443198</c:v>
                </c:pt>
              </c:numCache>
            </c:numRef>
          </c:xVal>
          <c:yVal>
            <c:numRef>
              <c:f>'Kaverne &amp; Gassäule'!$B$55:$B$79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1D-4BDD-BF19-E33EEE6E581B}"/>
            </c:ext>
          </c:extLst>
        </c:ser>
        <c:ser>
          <c:idx val="4"/>
          <c:order val="4"/>
          <c:tx>
            <c:v>Grenzfall – reines CO₂</c:v>
          </c:tx>
          <c:spPr>
            <a:ln w="19050" cap="rnd">
              <a:solidFill>
                <a:srgbClr val="0476D9"/>
              </a:solidFill>
              <a:prstDash val="dot"/>
            </a:ln>
          </c:spPr>
          <c:marker>
            <c:symbol val="none"/>
          </c:marker>
          <c:xVal>
            <c:numRef>
              <c:f>'Kaverne &amp; Gassäule'!$M$55:$M$79</c:f>
              <c:numCache>
                <c:formatCode>0.0</c:formatCode>
                <c:ptCount val="25"/>
                <c:pt idx="0">
                  <c:v>897.02184242090505</c:v>
                </c:pt>
                <c:pt idx="1">
                  <c:v>891.29696099094076</c:v>
                </c:pt>
                <c:pt idx="2">
                  <c:v>885.59013179289752</c:v>
                </c:pt>
                <c:pt idx="3">
                  <c:v>879.90480437760289</c:v>
                </c:pt>
                <c:pt idx="4">
                  <c:v>874.2444277392234</c:v>
                </c:pt>
                <c:pt idx="5">
                  <c:v>868.61241568352341</c:v>
                </c:pt>
                <c:pt idx="6">
                  <c:v>863.01213022070874</c:v>
                </c:pt>
                <c:pt idx="7">
                  <c:v>857.4468823333757</c:v>
                </c:pt>
                <c:pt idx="8">
                  <c:v>851.91994629564965</c:v>
                </c:pt>
                <c:pt idx="9">
                  <c:v>846.43458122630852</c:v>
                </c:pt>
                <c:pt idx="10">
                  <c:v>840.99405225745625</c:v>
                </c:pt>
                <c:pt idx="11">
                  <c:v>835.60164387285442</c:v>
                </c:pt>
                <c:pt idx="12">
                  <c:v>830.2606596077286</c:v>
                </c:pt>
                <c:pt idx="13">
                  <c:v>824.97440504122233</c:v>
                </c:pt>
                <c:pt idx="14">
                  <c:v>819.74615425736431</c:v>
                </c:pt>
                <c:pt idx="15">
                  <c:v>814.57910309335955</c:v>
                </c:pt>
                <c:pt idx="16">
                  <c:v>809.47631470365286</c:v>
                </c:pt>
                <c:pt idx="17">
                  <c:v>804.44066408788944</c:v>
                </c:pt>
                <c:pt idx="18">
                  <c:v>799.47478794284075</c:v>
                </c:pt>
                <c:pt idx="19">
                  <c:v>794.58104484150067</c:v>
                </c:pt>
                <c:pt idx="20">
                  <c:v>789.7614887078571</c:v>
                </c:pt>
                <c:pt idx="21">
                  <c:v>785.01785637481521</c:v>
                </c:pt>
                <c:pt idx="22">
                  <c:v>780.35156814174218</c:v>
                </c:pt>
                <c:pt idx="23">
                  <c:v>775.76373897866199</c:v>
                </c:pt>
                <c:pt idx="24">
                  <c:v>771.25519744430449</c:v>
                </c:pt>
              </c:numCache>
            </c:numRef>
          </c:xVal>
          <c:yVal>
            <c:numRef>
              <c:f>'Kaverne &amp; Gassäule'!$B$55:$B$79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1D-4BDD-BF19-E33EEE6E581B}"/>
            </c:ext>
          </c:extLst>
        </c:ser>
        <c:ser>
          <c:idx val="5"/>
          <c:order val="5"/>
          <c:tx>
            <c:v>leer – reines CO₂</c:v>
          </c:tx>
          <c:spPr>
            <a:ln w="19050" cap="rnd">
              <a:solidFill>
                <a:srgbClr val="EE7203"/>
              </a:solidFill>
              <a:prstDash val="dot"/>
            </a:ln>
          </c:spPr>
          <c:marker>
            <c:symbol val="none"/>
          </c:marker>
          <c:xVal>
            <c:numRef>
              <c:f>'Kaverne &amp; Gassäule'!$O$55:$O$79</c:f>
              <c:numCache>
                <c:formatCode>General</c:formatCode>
                <c:ptCount val="25"/>
                <c:pt idx="0" formatCode="0.0">
                  <c:v>134.97287245577121</c:v>
                </c:pt>
                <c:pt idx="5" formatCode="0.0">
                  <c:v>172.35312893618291</c:v>
                </c:pt>
                <c:pt idx="6" formatCode="0.0">
                  <c:v>172.621519049852</c:v>
                </c:pt>
                <c:pt idx="7" formatCode="0.0">
                  <c:v>172.9361403382413</c:v>
                </c:pt>
                <c:pt idx="8" formatCode="0.0">
                  <c:v>173.2871502061312</c:v>
                </c:pt>
                <c:pt idx="9" formatCode="0.0">
                  <c:v>173.6673159513561</c:v>
                </c:pt>
                <c:pt idx="10" formatCode="0.0">
                  <c:v>174.0711215222214</c:v>
                </c:pt>
                <c:pt idx="11" formatCode="0.0">
                  <c:v>174.49423004274641</c:v>
                </c:pt>
                <c:pt idx="12" formatCode="0.0">
                  <c:v>174.93314967554269</c:v>
                </c:pt>
                <c:pt idx="13" formatCode="0.0">
                  <c:v>175.385018717165</c:v>
                </c:pt>
                <c:pt idx="14" formatCode="0.0">
                  <c:v>175.84746215970779</c:v>
                </c:pt>
                <c:pt idx="15" formatCode="0.0">
                  <c:v>176.3184920198822</c:v>
                </c:pt>
                <c:pt idx="16" formatCode="0.0">
                  <c:v>176.79643510684511</c:v>
                </c:pt>
                <c:pt idx="17" formatCode="0.0">
                  <c:v>177.27987846440661</c:v>
                </c:pt>
                <c:pt idx="18" formatCode="0.0">
                  <c:v>177.76762657287509</c:v>
                </c:pt>
                <c:pt idx="19" formatCode="0.0">
                  <c:v>178.25866668657179</c:v>
                </c:pt>
                <c:pt idx="20" formatCode="0.0">
                  <c:v>178.75214006440939</c:v>
                </c:pt>
                <c:pt idx="21" formatCode="0.0">
                  <c:v>179.2473176918887</c:v>
                </c:pt>
                <c:pt idx="22" formatCode="0.0">
                  <c:v>179.7435796054763</c:v>
                </c:pt>
                <c:pt idx="23" formatCode="0.0">
                  <c:v>180.24039723890161</c:v>
                </c:pt>
                <c:pt idx="24" formatCode="0.0">
                  <c:v>180.73731839070081</c:v>
                </c:pt>
              </c:numCache>
            </c:numRef>
          </c:xVal>
          <c:yVal>
            <c:numRef>
              <c:f>'Kaverne &amp; Gassäule'!$B$55:$B$79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F1D-4BDD-BF19-E33EEE6E5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30001"/>
        <c:axId val="50030002"/>
      </c:scatterChart>
      <c:valAx>
        <c:axId val="50030001"/>
        <c:scaling>
          <c:orientation val="minMax"/>
        </c:scaling>
        <c:delete val="0"/>
        <c:axPos val="t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 baseline="0"/>
                </a:pPr>
                <a:r>
                  <a:rPr lang="en-US" sz="900" b="0" baseline="0"/>
                  <a:t>ρ [kg/m³]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30002"/>
        <c:crosses val="autoZero"/>
        <c:crossBetween val="midCat"/>
      </c:valAx>
      <c:valAx>
        <c:axId val="50030002"/>
        <c:scaling>
          <c:orientation val="maxMin"/>
          <c:max val="1200"/>
          <c:min val="0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0" baseline="0"/>
                </a:pPr>
                <a:r>
                  <a:rPr lang="en-US" sz="900" b="0" baseline="0"/>
                  <a:t>Teufe [m]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30001"/>
        <c:crosses val="autoZero"/>
        <c:crossBetween val="midCat"/>
        <c:majorUnit val="200"/>
      </c:valAx>
    </c:plotArea>
    <c:legend>
      <c:legendPos val="b"/>
      <c:layout>
        <c:manualLayout>
          <c:xMode val="edge"/>
          <c:yMode val="edge"/>
          <c:x val="0.62104569093156969"/>
          <c:y val="0.6129158273820422"/>
          <c:w val="0.29371123697239143"/>
          <c:h val="0.35297564548617472"/>
        </c:manualLayout>
      </c:layout>
      <c:overlay val="0"/>
      <c:txPr>
        <a:bodyPr/>
        <a:lstStyle/>
        <a:p>
          <a:pPr>
            <a:defRPr sz="800" baseline="0"/>
          </a:pPr>
          <a:endParaRPr lang="en-US"/>
        </a:p>
      </c:txPr>
    </c:legend>
    <c:plotVisOnly val="1"/>
    <c:dispBlanksAs val="span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aseline="0">
                <a:solidFill>
                  <a:srgbClr val="00304F"/>
                </a:solidFill>
              </a:defRPr>
            </a:pPr>
            <a:r>
              <a:rPr lang="en-US" sz="1100" baseline="0">
                <a:solidFill>
                  <a:srgbClr val="00304F"/>
                </a:solidFill>
              </a:rPr>
              <a:t>Druckverlauf über die Teufe (Ziel 210 bar in 1200 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CO₂-Gemisch</c:v>
          </c:tx>
          <c:spPr>
            <a:ln w="31750">
              <a:solidFill>
                <a:srgbClr val="007335"/>
              </a:solidFill>
            </a:ln>
          </c:spPr>
          <c:marker>
            <c:symbol val="none"/>
          </c:marker>
          <c:xVal>
            <c:numRef>
              <c:f>Medienvergleich!$C$26:$C$50</c:f>
              <c:numCache>
                <c:formatCode>0.0</c:formatCode>
                <c:ptCount val="25"/>
                <c:pt idx="0">
                  <c:v>114.93130198208927</c:v>
                </c:pt>
                <c:pt idx="1">
                  <c:v>119.16100924115156</c:v>
                </c:pt>
                <c:pt idx="2">
                  <c:v>123.36557182169967</c:v>
                </c:pt>
                <c:pt idx="3">
                  <c:v>127.54518251936265</c:v>
                </c:pt>
                <c:pt idx="4">
                  <c:v>131.70004500354221</c:v>
                </c:pt>
                <c:pt idx="5">
                  <c:v>135.83037358755291</c:v>
                </c:pt>
                <c:pt idx="6">
                  <c:v>139.93639309319369</c:v>
                </c:pt>
                <c:pt idx="7">
                  <c:v>144.01833877875904</c:v>
                </c:pt>
                <c:pt idx="8">
                  <c:v>148.07645628272289</c:v>
                </c:pt>
                <c:pt idx="9">
                  <c:v>152.11100152709446</c:v>
                </c:pt>
                <c:pt idx="10">
                  <c:v>156.1222405259621</c:v>
                </c:pt>
                <c:pt idx="11">
                  <c:v>160.11044905533242</c:v>
                </c:pt>
                <c:pt idx="12">
                  <c:v>164.07591215772621</c:v>
                </c:pt>
                <c:pt idx="13">
                  <c:v>168.01892347570219</c:v>
                </c:pt>
                <c:pt idx="14">
                  <c:v>171.93978442887101</c:v>
                </c:pt>
                <c:pt idx="15">
                  <c:v>175.8388032658045</c:v>
                </c:pt>
                <c:pt idx="16">
                  <c:v>179.71629403339674</c:v>
                </c:pt>
                <c:pt idx="17">
                  <c:v>183.57257551082256</c:v>
                </c:pt>
                <c:pt idx="18">
                  <c:v>187.40797015367133</c:v>
                </c:pt>
                <c:pt idx="19">
                  <c:v>191.22280308741125</c:v>
                </c:pt>
                <c:pt idx="20">
                  <c:v>195.01740117986344</c:v>
                </c:pt>
                <c:pt idx="21">
                  <c:v>198.79209221167758</c:v>
                </c:pt>
                <c:pt idx="22">
                  <c:v>202.54720415346492</c:v>
                </c:pt>
                <c:pt idx="23">
                  <c:v>206.28306454936461</c:v>
                </c:pt>
                <c:pt idx="24">
                  <c:v>210</c:v>
                </c:pt>
              </c:numCache>
            </c:numRef>
          </c:xVal>
          <c:yVal>
            <c:numRef>
              <c:f>Medienvergleich!$B$26:$B$50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6C-4A2A-AFC1-11C38B40F17D}"/>
            </c:ext>
          </c:extLst>
        </c:ser>
        <c:ser>
          <c:idx val="1"/>
          <c:order val="1"/>
          <c:tx>
            <c:v>Erdgas (CH₄)</c:v>
          </c:tx>
          <c:spPr>
            <a:ln w="31750">
              <a:solidFill>
                <a:srgbClr val="EE7203"/>
              </a:solidFill>
            </a:ln>
          </c:spPr>
          <c:marker>
            <c:symbol val="none"/>
          </c:marker>
          <c:xVal>
            <c:numRef>
              <c:f>Medienvergleich!$G$26:$G$50</c:f>
              <c:numCache>
                <c:formatCode>0.0</c:formatCode>
                <c:ptCount val="25"/>
                <c:pt idx="0">
                  <c:v>191.70534274066219</c:v>
                </c:pt>
                <c:pt idx="1">
                  <c:v>192.52379911027771</c:v>
                </c:pt>
                <c:pt idx="2">
                  <c:v>193.33658532431599</c:v>
                </c:pt>
                <c:pt idx="3">
                  <c:v>194.14382581401239</c:v>
                </c:pt>
                <c:pt idx="4">
                  <c:v>194.9456412954687</c:v>
                </c:pt>
                <c:pt idx="5">
                  <c:v>195.74214887277981</c:v>
                </c:pt>
                <c:pt idx="6">
                  <c:v>196.53346214151821</c:v>
                </c:pt>
                <c:pt idx="7">
                  <c:v>197.31969129205709</c:v>
                </c:pt>
                <c:pt idx="8">
                  <c:v>198.10094321227609</c:v>
                </c:pt>
                <c:pt idx="9">
                  <c:v>198.87732158927039</c:v>
                </c:pt>
                <c:pt idx="10">
                  <c:v>199.64892700973121</c:v>
                </c:pt>
                <c:pt idx="11">
                  <c:v>200.41585705872819</c:v>
                </c:pt>
                <c:pt idx="12">
                  <c:v>201.17820641666481</c:v>
                </c:pt>
                <c:pt idx="13">
                  <c:v>201.93606695422011</c:v>
                </c:pt>
                <c:pt idx="14">
                  <c:v>202.68952782513051</c:v>
                </c:pt>
                <c:pt idx="15">
                  <c:v>203.4386755566926</c:v>
                </c:pt>
                <c:pt idx="16">
                  <c:v>204.1835941379002</c:v>
                </c:pt>
                <c:pt idx="17">
                  <c:v>204.92436510515191</c:v>
                </c:pt>
                <c:pt idx="18">
                  <c:v>205.66106762548699</c:v>
                </c:pt>
                <c:pt idx="19">
                  <c:v>206.3937785773266</c:v>
                </c:pt>
                <c:pt idx="20">
                  <c:v>207.1225726287141</c:v>
                </c:pt>
                <c:pt idx="21">
                  <c:v>207.84752231306001</c:v>
                </c:pt>
                <c:pt idx="22">
                  <c:v>208.56869810241059</c:v>
                </c:pt>
                <c:pt idx="23">
                  <c:v>209.28616847826811</c:v>
                </c:pt>
                <c:pt idx="24">
                  <c:v>210</c:v>
                </c:pt>
              </c:numCache>
            </c:numRef>
          </c:xVal>
          <c:yVal>
            <c:numRef>
              <c:f>Medienvergleich!$B$26:$B$50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6C-4A2A-AFC1-11C38B40F17D}"/>
            </c:ext>
          </c:extLst>
        </c:ser>
        <c:ser>
          <c:idx val="2"/>
          <c:order val="2"/>
          <c:tx>
            <c:v>Wasserstoff (H₂)</c:v>
          </c:tx>
          <c:spPr>
            <a:ln w="31750">
              <a:solidFill>
                <a:srgbClr val="0476D9"/>
              </a:solidFill>
            </a:ln>
          </c:spPr>
          <c:marker>
            <c:symbol val="none"/>
          </c:marker>
          <c:xVal>
            <c:numRef>
              <c:f>Medienvergleich!$I$26:$I$50</c:f>
              <c:numCache>
                <c:formatCode>0.0</c:formatCode>
                <c:ptCount val="25"/>
                <c:pt idx="0">
                  <c:v>208.241191221202</c:v>
                </c:pt>
                <c:pt idx="1">
                  <c:v>208.31816153818531</c:v>
                </c:pt>
                <c:pt idx="2">
                  <c:v>208.39478875352</c:v>
                </c:pt>
                <c:pt idx="3">
                  <c:v>208.4710761816751</c:v>
                </c:pt>
                <c:pt idx="4">
                  <c:v>208.54702708707711</c:v>
                </c:pt>
                <c:pt idx="5">
                  <c:v>208.62264468514221</c:v>
                </c:pt>
                <c:pt idx="6">
                  <c:v>208.69793214327979</c:v>
                </c:pt>
                <c:pt idx="7">
                  <c:v>208.7728925818721</c:v>
                </c:pt>
                <c:pt idx="8">
                  <c:v>208.84752907522599</c:v>
                </c:pt>
                <c:pt idx="9">
                  <c:v>208.92184465250301</c:v>
                </c:pt>
                <c:pt idx="10">
                  <c:v>208.99584229862339</c:v>
                </c:pt>
                <c:pt idx="11">
                  <c:v>209.06952495514909</c:v>
                </c:pt>
                <c:pt idx="12">
                  <c:v>209.1428955211428</c:v>
                </c:pt>
                <c:pt idx="13">
                  <c:v>209.21595685400649</c:v>
                </c:pt>
                <c:pt idx="14">
                  <c:v>209.28871177029879</c:v>
                </c:pt>
                <c:pt idx="15">
                  <c:v>209.36116304653191</c:v>
                </c:pt>
                <c:pt idx="16">
                  <c:v>209.43331341994849</c:v>
                </c:pt>
                <c:pt idx="17">
                  <c:v>209.50516558928081</c:v>
                </c:pt>
                <c:pt idx="18">
                  <c:v>209.57672221548941</c:v>
                </c:pt>
                <c:pt idx="19">
                  <c:v>209.6479859224853</c:v>
                </c:pt>
                <c:pt idx="20">
                  <c:v>209.71895929783389</c:v>
                </c:pt>
                <c:pt idx="21">
                  <c:v>209.78964489344239</c:v>
                </c:pt>
                <c:pt idx="22">
                  <c:v>209.86004522623051</c:v>
                </c:pt>
                <c:pt idx="23">
                  <c:v>209.93016277878519</c:v>
                </c:pt>
                <c:pt idx="24">
                  <c:v>210</c:v>
                </c:pt>
              </c:numCache>
            </c:numRef>
          </c:xVal>
          <c:yVal>
            <c:numRef>
              <c:f>Medienvergleich!$B$26:$B$50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C6C-4A2A-AFC1-11C38B40F17D}"/>
            </c:ext>
          </c:extLst>
        </c:ser>
        <c:ser>
          <c:idx val="3"/>
          <c:order val="3"/>
          <c:tx>
            <c:v>reines CO₂</c:v>
          </c:tx>
          <c:spPr>
            <a:ln w="25400">
              <a:solidFill>
                <a:srgbClr val="00304F"/>
              </a:solidFill>
              <a:prstDash val="dash"/>
            </a:ln>
          </c:spPr>
          <c:marker>
            <c:symbol val="none"/>
          </c:marker>
          <c:xVal>
            <c:numRef>
              <c:f>Medienvergleich!$E$26:$E$50</c:f>
              <c:numCache>
                <c:formatCode>0.0</c:formatCode>
                <c:ptCount val="25"/>
                <c:pt idx="0">
                  <c:v>107.603219569636</c:v>
                </c:pt>
                <c:pt idx="1">
                  <c:v>112.1341797962734</c:v>
                </c:pt>
                <c:pt idx="2">
                  <c:v>116.6408956363133</c:v>
                </c:pt>
                <c:pt idx="3">
                  <c:v>121.12349405283589</c:v>
                </c:pt>
                <c:pt idx="4">
                  <c:v>125.58211155495179</c:v>
                </c:pt>
                <c:pt idx="5">
                  <c:v>130.0168939094205</c:v>
                </c:pt>
                <c:pt idx="6">
                  <c:v>134.42799578384981</c:v>
                </c:pt>
                <c:pt idx="7">
                  <c:v>138.81558035303229</c:v>
                </c:pt>
                <c:pt idx="8">
                  <c:v>143.1798189021624</c:v>
                </c:pt>
                <c:pt idx="9">
                  <c:v>147.52089045854169</c:v>
                </c:pt>
                <c:pt idx="10">
                  <c:v>151.8389814770035</c:v>
                </c:pt>
                <c:pt idx="11">
                  <c:v>156.13428559421959</c:v>
                </c:pt>
                <c:pt idx="12">
                  <c:v>160.4070034547488</c:v>
                </c:pt>
                <c:pt idx="13">
                  <c:v>164.65734259893159</c:v>
                </c:pt>
                <c:pt idx="14">
                  <c:v>168.88551739156031</c:v>
                </c:pt>
                <c:pt idx="15">
                  <c:v>173.09174896231849</c:v>
                </c:pt>
                <c:pt idx="16">
                  <c:v>177.27626512552101</c:v>
                </c:pt>
                <c:pt idx="17">
                  <c:v>181.43930024805519</c:v>
                </c:pt>
                <c:pt idx="18">
                  <c:v>185.58109504021709</c:v>
                </c:pt>
                <c:pt idx="19">
                  <c:v>189.7018962532259</c:v>
                </c:pt>
                <c:pt idx="20">
                  <c:v>193.8019562780313</c:v>
                </c:pt>
                <c:pt idx="21">
                  <c:v>197.8815326508965</c:v>
                </c:pt>
                <c:pt idx="22">
                  <c:v>201.94088748061549</c:v>
                </c:pt>
                <c:pt idx="23">
                  <c:v>205.98028681901269</c:v>
                </c:pt>
                <c:pt idx="24">
                  <c:v>210</c:v>
                </c:pt>
              </c:numCache>
            </c:numRef>
          </c:xVal>
          <c:yVal>
            <c:numRef>
              <c:f>Medienvergleich!$B$26:$B$50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B1-446D-87D9-4B9FD9C916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40001"/>
        <c:axId val="50040002"/>
      </c:scatterChart>
      <c:valAx>
        <c:axId val="50040001"/>
        <c:scaling>
          <c:orientation val="minMax"/>
          <c:max val="250"/>
          <c:min val="0"/>
        </c:scaling>
        <c:delete val="0"/>
        <c:axPos val="t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Druck p [bar]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crossBetween val="midCat"/>
        <c:majorUnit val="50"/>
      </c:valAx>
      <c:valAx>
        <c:axId val="50040002"/>
        <c:scaling>
          <c:orientation val="maxMin"/>
          <c:max val="1200"/>
          <c:min val="0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Teufe z [m]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40001"/>
        <c:crosses val="autoZero"/>
        <c:crossBetween val="midCat"/>
        <c:majorUnit val="20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aseline="0">
                <a:solidFill>
                  <a:srgbClr val="00304F"/>
                </a:solidFill>
              </a:defRPr>
            </a:pPr>
            <a:r>
              <a:rPr lang="en-US" sz="1100" baseline="0">
                <a:solidFill>
                  <a:srgbClr val="00304F"/>
                </a:solidFill>
              </a:rPr>
              <a:t>Nötiger Kopfdruck über der Teufe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CO₂-Gemisch</c:v>
          </c:tx>
          <c:spPr>
            <a:ln w="28575">
              <a:solidFill>
                <a:srgbClr val="007335"/>
              </a:solidFill>
            </a:ln>
          </c:spPr>
          <c:marker>
            <c:symbol val="circle"/>
            <c:size val="6"/>
            <c:spPr>
              <a:solidFill>
                <a:srgbClr val="007335"/>
              </a:solidFill>
              <a:ln>
                <a:solidFill>
                  <a:srgbClr val="007335"/>
                </a:solidFill>
              </a:ln>
            </c:spPr>
          </c:marker>
          <c:xVal>
            <c:numRef>
              <c:f>Medienvergleich!$B$8:$B$13</c:f>
              <c:numCache>
                <c:formatCode>0</c:formatCode>
                <c:ptCount val="6"/>
                <c:pt idx="0">
                  <c:v>600</c:v>
                </c:pt>
                <c:pt idx="1">
                  <c:v>800</c:v>
                </c:pt>
                <c:pt idx="2">
                  <c:v>1000</c:v>
                </c:pt>
                <c:pt idx="3">
                  <c:v>1200</c:v>
                </c:pt>
                <c:pt idx="4">
                  <c:v>1400</c:v>
                </c:pt>
                <c:pt idx="5">
                  <c:v>1600</c:v>
                </c:pt>
              </c:numCache>
            </c:numRef>
          </c:xVal>
          <c:yVal>
            <c:numRef>
              <c:f>Medienvergleich!$C$8:$C$13</c:f>
              <c:numCache>
                <c:formatCode>0.0</c:formatCode>
                <c:ptCount val="6"/>
                <c:pt idx="0">
                  <c:v>158.49007700975989</c:v>
                </c:pt>
                <c:pt idx="1">
                  <c:v>142.98603185892631</c:v>
                </c:pt>
                <c:pt idx="2">
                  <c:v>128.43730033737981</c:v>
                </c:pt>
                <c:pt idx="3">
                  <c:v>114.93130198208927</c:v>
                </c:pt>
                <c:pt idx="4">
                  <c:v>102.56218916081785</c:v>
                </c:pt>
                <c:pt idx="5">
                  <c:v>91.424680354495692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9B-4F6E-A862-B1C872E8AE46}"/>
            </c:ext>
          </c:extLst>
        </c:ser>
        <c:ser>
          <c:idx val="1"/>
          <c:order val="1"/>
          <c:tx>
            <c:v>Erdgas (CH₄)</c:v>
          </c:tx>
          <c:spPr>
            <a:ln w="28575">
              <a:solidFill>
                <a:srgbClr val="EE7203"/>
              </a:solidFill>
            </a:ln>
          </c:spPr>
          <c:marker>
            <c:symbol val="circle"/>
            <c:size val="6"/>
            <c:spPr>
              <a:solidFill>
                <a:srgbClr val="EE7203"/>
              </a:solidFill>
              <a:ln>
                <a:solidFill>
                  <a:srgbClr val="EE7203"/>
                </a:solidFill>
              </a:ln>
            </c:spPr>
          </c:marker>
          <c:xVal>
            <c:numRef>
              <c:f>Medienvergleich!$B$8:$B$13</c:f>
              <c:numCache>
                <c:formatCode>0</c:formatCode>
                <c:ptCount val="6"/>
                <c:pt idx="0">
                  <c:v>600</c:v>
                </c:pt>
                <c:pt idx="1">
                  <c:v>800</c:v>
                </c:pt>
                <c:pt idx="2">
                  <c:v>1000</c:v>
                </c:pt>
                <c:pt idx="3">
                  <c:v>1200</c:v>
                </c:pt>
                <c:pt idx="4">
                  <c:v>1400</c:v>
                </c:pt>
                <c:pt idx="5">
                  <c:v>1600</c:v>
                </c:pt>
              </c:numCache>
            </c:numRef>
          </c:xVal>
          <c:yVal>
            <c:numRef>
              <c:f>Medienvergleich!$E$8:$E$13</c:f>
              <c:numCache>
                <c:formatCode>0.0</c:formatCode>
                <c:ptCount val="6"/>
                <c:pt idx="0">
                  <c:v>200.16600942229849</c:v>
                </c:pt>
                <c:pt idx="1">
                  <c:v>197.20927492428419</c:v>
                </c:pt>
                <c:pt idx="2">
                  <c:v>194.39267671096141</c:v>
                </c:pt>
                <c:pt idx="3">
                  <c:v>191.70534274066219</c:v>
                </c:pt>
                <c:pt idx="4">
                  <c:v>189.1373555557519</c:v>
                </c:pt>
                <c:pt idx="5">
                  <c:v>186.67970597588419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9B-4F6E-A862-B1C872E8AE46}"/>
            </c:ext>
          </c:extLst>
        </c:ser>
        <c:ser>
          <c:idx val="2"/>
          <c:order val="2"/>
          <c:tx>
            <c:v>Wasserstoff (H₂)</c:v>
          </c:tx>
          <c:spPr>
            <a:ln w="28575">
              <a:solidFill>
                <a:srgbClr val="0476D9"/>
              </a:solidFill>
            </a:ln>
          </c:spPr>
          <c:marker>
            <c:symbol val="circle"/>
            <c:size val="6"/>
            <c:spPr>
              <a:solidFill>
                <a:srgbClr val="0476D9"/>
              </a:solidFill>
              <a:ln>
                <a:solidFill>
                  <a:srgbClr val="0476D9"/>
                </a:solidFill>
              </a:ln>
            </c:spPr>
          </c:marker>
          <c:xVal>
            <c:numRef>
              <c:f>Medienvergleich!$B$8:$B$13</c:f>
              <c:numCache>
                <c:formatCode>0</c:formatCode>
                <c:ptCount val="6"/>
                <c:pt idx="0">
                  <c:v>600</c:v>
                </c:pt>
                <c:pt idx="1">
                  <c:v>800</c:v>
                </c:pt>
                <c:pt idx="2">
                  <c:v>1000</c:v>
                </c:pt>
                <c:pt idx="3">
                  <c:v>1200</c:v>
                </c:pt>
                <c:pt idx="4">
                  <c:v>1400</c:v>
                </c:pt>
                <c:pt idx="5">
                  <c:v>1600</c:v>
                </c:pt>
              </c:numCache>
            </c:numRef>
          </c:xVal>
          <c:yVal>
            <c:numRef>
              <c:f>Medienvergleich!$F$8:$F$13</c:f>
              <c:numCache>
                <c:formatCode>0.0</c:formatCode>
                <c:ptCount val="6"/>
                <c:pt idx="0">
                  <c:v>209.095008669397</c:v>
                </c:pt>
                <c:pt idx="1">
                  <c:v>208.80500493947619</c:v>
                </c:pt>
                <c:pt idx="2">
                  <c:v>208.5204660223911</c:v>
                </c:pt>
                <c:pt idx="3">
                  <c:v>208.241191221202</c:v>
                </c:pt>
                <c:pt idx="4">
                  <c:v>207.9669908462842</c:v>
                </c:pt>
                <c:pt idx="5">
                  <c:v>207.697685413979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99B-4F6E-A862-B1C872E8AE46}"/>
            </c:ext>
          </c:extLst>
        </c:ser>
        <c:ser>
          <c:idx val="3"/>
          <c:order val="3"/>
          <c:tx>
            <c:v>Zieldruck unten</c:v>
          </c:tx>
          <c:spPr>
            <a:ln w="15875">
              <a:solidFill>
                <a:srgbClr val="7F7F7F"/>
              </a:solidFill>
              <a:prstDash val="dash"/>
            </a:ln>
          </c:spPr>
          <c:marker>
            <c:symbol val="none"/>
          </c:marker>
          <c:xVal>
            <c:numRef>
              <c:f>Medienvergleich!$B$8:$B$13</c:f>
              <c:numCache>
                <c:formatCode>0</c:formatCode>
                <c:ptCount val="6"/>
                <c:pt idx="0">
                  <c:v>600</c:v>
                </c:pt>
                <c:pt idx="1">
                  <c:v>800</c:v>
                </c:pt>
                <c:pt idx="2">
                  <c:v>1000</c:v>
                </c:pt>
                <c:pt idx="3">
                  <c:v>1200</c:v>
                </c:pt>
                <c:pt idx="4">
                  <c:v>1400</c:v>
                </c:pt>
                <c:pt idx="5">
                  <c:v>1600</c:v>
                </c:pt>
              </c:numCache>
            </c:numRef>
          </c:xVal>
          <c:yVal>
            <c:numRef>
              <c:f>Medienvergleich!$G$8:$G$13</c:f>
              <c:numCache>
                <c:formatCode>0.0</c:formatCode>
                <c:ptCount val="6"/>
                <c:pt idx="0">
                  <c:v>210</c:v>
                </c:pt>
                <c:pt idx="1">
                  <c:v>210</c:v>
                </c:pt>
                <c:pt idx="2">
                  <c:v>210</c:v>
                </c:pt>
                <c:pt idx="3">
                  <c:v>210</c:v>
                </c:pt>
                <c:pt idx="4">
                  <c:v>210</c:v>
                </c:pt>
                <c:pt idx="5">
                  <c:v>210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9B-4F6E-A862-B1C872E8AE46}"/>
            </c:ext>
          </c:extLst>
        </c:ser>
        <c:ser>
          <c:idx val="4"/>
          <c:order val="4"/>
          <c:tx>
            <c:v>reines CO₂</c:v>
          </c:tx>
          <c:spPr>
            <a:ln w="25400">
              <a:solidFill>
                <a:srgbClr val="00304F"/>
              </a:solidFill>
              <a:prstDash val="dash"/>
            </a:ln>
          </c:spPr>
          <c:marker>
            <c:symbol val="circle"/>
            <c:size val="5"/>
            <c:spPr>
              <a:solidFill>
                <a:srgbClr val="00304F"/>
              </a:solidFill>
              <a:ln w="25400">
                <a:solidFill>
                  <a:srgbClr val="00304F"/>
                </a:solidFill>
                <a:prstDash val="lgDash"/>
              </a:ln>
            </c:spPr>
          </c:marker>
          <c:xVal>
            <c:numRef>
              <c:f>Medienvergleich!$B$8:$B$13</c:f>
              <c:numCache>
                <c:formatCode>0</c:formatCode>
                <c:ptCount val="6"/>
                <c:pt idx="0">
                  <c:v>600</c:v>
                </c:pt>
                <c:pt idx="1">
                  <c:v>800</c:v>
                </c:pt>
                <c:pt idx="2">
                  <c:v>1000</c:v>
                </c:pt>
                <c:pt idx="3">
                  <c:v>1200</c:v>
                </c:pt>
                <c:pt idx="4">
                  <c:v>1400</c:v>
                </c:pt>
                <c:pt idx="5">
                  <c:v>1600</c:v>
                </c:pt>
              </c:numCache>
            </c:numRef>
          </c:xVal>
          <c:yVal>
            <c:numRef>
              <c:f>Medienvergleich!$D$8:$D$13</c:f>
              <c:numCache>
                <c:formatCode>0.0</c:formatCode>
                <c:ptCount val="6"/>
                <c:pt idx="0">
                  <c:v>155.16616512291739</c:v>
                </c:pt>
                <c:pt idx="1">
                  <c:v>138.41709225398901</c:v>
                </c:pt>
                <c:pt idx="2">
                  <c:v>122.5367242536628</c:v>
                </c:pt>
                <c:pt idx="3">
                  <c:v>107.603219569636</c:v>
                </c:pt>
                <c:pt idx="4">
                  <c:v>93.70583884822787</c:v>
                </c:pt>
                <c:pt idx="5">
                  <c:v>80.943840898339673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C1-4996-A84E-06D9B2CE64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50001"/>
        <c:axId val="50050002"/>
      </c:scatterChart>
      <c:valAx>
        <c:axId val="50050001"/>
        <c:scaling>
          <c:orientation val="minMax"/>
          <c:max val="1600"/>
          <c:min val="60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Teufe der Kaverne [m]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50002"/>
        <c:crosses val="autoZero"/>
        <c:crossBetween val="midCat"/>
        <c:majorUnit val="200"/>
      </c:valAx>
      <c:valAx>
        <c:axId val="50050002"/>
        <c:scaling>
          <c:orientation val="minMax"/>
          <c:max val="250"/>
          <c:min val="0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Kopfdruck [bar]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50001"/>
        <c:crosses val="autoZero"/>
        <c:crossBetween val="midCat"/>
        <c:majorUnit val="50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aseline="0">
                <a:solidFill>
                  <a:srgbClr val="00304F"/>
                </a:solidFill>
              </a:defRPr>
            </a:pPr>
            <a:r>
              <a:rPr lang="en-US" sz="1100" baseline="0">
                <a:solidFill>
                  <a:srgbClr val="00304F"/>
                </a:solidFill>
              </a:rPr>
              <a:t>Druckgewinn durch die Säule bei 1200 m [bar]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Säulengewinn</c:v>
          </c:tx>
          <c:invertIfNegative val="0"/>
          <c:dPt>
            <c:idx val="0"/>
            <c:invertIfNegative val="0"/>
            <c:bubble3D val="0"/>
            <c:spPr>
              <a:solidFill>
                <a:srgbClr val="007335"/>
              </a:solidFill>
            </c:spPr>
            <c:extLst>
              <c:ext xmlns:c16="http://schemas.microsoft.com/office/drawing/2014/chart" uri="{C3380CC4-5D6E-409C-BE32-E72D297353CC}">
                <c16:uniqueId val="{00000000-9256-40C9-A995-B4AAAC1A4D96}"/>
              </c:ext>
            </c:extLst>
          </c:dPt>
          <c:dPt>
            <c:idx val="1"/>
            <c:invertIfNegative val="0"/>
            <c:bubble3D val="0"/>
            <c:spPr>
              <a:solidFill>
                <a:srgbClr val="EE7203"/>
              </a:solidFill>
            </c:spPr>
            <c:extLst>
              <c:ext xmlns:c16="http://schemas.microsoft.com/office/drawing/2014/chart" uri="{C3380CC4-5D6E-409C-BE32-E72D297353CC}">
                <c16:uniqueId val="{00000001-9256-40C9-A995-B4AAAC1A4D96}"/>
              </c:ext>
            </c:extLst>
          </c:dPt>
          <c:dPt>
            <c:idx val="2"/>
            <c:invertIfNegative val="0"/>
            <c:bubble3D val="0"/>
            <c:spPr>
              <a:solidFill>
                <a:srgbClr val="0476D9"/>
              </a:solidFill>
            </c:spPr>
            <c:extLst>
              <c:ext xmlns:c16="http://schemas.microsoft.com/office/drawing/2014/chart" uri="{C3380CC4-5D6E-409C-BE32-E72D297353CC}">
                <c16:uniqueId val="{00000002-9256-40C9-A995-B4AAAC1A4D96}"/>
              </c:ext>
            </c:extLst>
          </c:dPt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b="1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Medienvergleich!$B$18:$B$21</c:f>
              <c:strCache>
                <c:ptCount val="4"/>
                <c:pt idx="0">
                  <c:v>CO₂-Gemisch</c:v>
                </c:pt>
                <c:pt idx="1">
                  <c:v>reines CO₂</c:v>
                </c:pt>
                <c:pt idx="2">
                  <c:v>Erdgas (CH₄)</c:v>
                </c:pt>
                <c:pt idx="3">
                  <c:v>Wasserstoff (H₂)</c:v>
                </c:pt>
              </c:strCache>
            </c:strRef>
          </c:cat>
          <c:val>
            <c:numRef>
              <c:f>Medienvergleich!$D$18:$D$21</c:f>
              <c:numCache>
                <c:formatCode>0.0</c:formatCode>
                <c:ptCount val="4"/>
                <c:pt idx="0">
                  <c:v>95.068698017910734</c:v>
                </c:pt>
                <c:pt idx="1">
                  <c:v>102.396780430364</c:v>
                </c:pt>
                <c:pt idx="2">
                  <c:v>18.294657259337811</c:v>
                </c:pt>
                <c:pt idx="3">
                  <c:v>1.7588087787979987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256-40C9-A995-B4AAAC1A4D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50060001"/>
        <c:axId val="50060002"/>
      </c:barChart>
      <c:catAx>
        <c:axId val="5006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60002"/>
        <c:crosses val="autoZero"/>
        <c:auto val="1"/>
        <c:lblAlgn val="ctr"/>
        <c:lblOffset val="100"/>
        <c:noMultiLvlLbl val="0"/>
      </c:catAx>
      <c:valAx>
        <c:axId val="50060002"/>
        <c:scaling>
          <c:orientation val="minMax"/>
          <c:max val="120"/>
          <c:min val="0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0.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6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>
                <a:solidFill>
                  <a:srgbClr val="00304F"/>
                </a:solidFill>
              </a:defRPr>
            </a:pPr>
            <a:r>
              <a:rPr lang="en-US" sz="1200" b="1" baseline="0">
                <a:solidFill>
                  <a:srgbClr val="00304F"/>
                </a:solidFill>
              </a:rPr>
              <a:t>S1 im Phasendiagramm: dicht anliefern, pumpen (Worst-Case-Gemisch)</a:t>
            </a:r>
          </a:p>
        </c:rich>
      </c:tx>
      <c:overlay val="0"/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Diagrammdaten!$D$7</c:f>
              <c:strCache>
                <c:ptCount val="1"/>
                <c:pt idx="0">
                  <c:v>gasförmig [bar]</c:v>
                </c:pt>
              </c:strCache>
            </c:strRef>
          </c:tx>
          <c:spPr>
            <a:solidFill>
              <a:srgbClr val="CFE2F3"/>
            </a:solidFill>
            <a:ln>
              <a:noFill/>
            </a:ln>
          </c:spPr>
          <c:cat>
            <c:strRef>
              <c:f>Diagrammdaten!$C$128:$C$288</c:f>
              <c:strCache>
                <c:ptCount val="161"/>
                <c:pt idx="0">
                  <c:v>-20</c:v>
                </c:pt>
                <c:pt idx="40">
                  <c:v>0</c:v>
                </c:pt>
                <c:pt idx="80">
                  <c:v>20</c:v>
                </c:pt>
                <c:pt idx="120">
                  <c:v>40</c:v>
                </c:pt>
                <c:pt idx="160">
                  <c:v>60</c:v>
                </c:pt>
              </c:strCache>
            </c:strRef>
          </c:cat>
          <c:val>
            <c:numRef>
              <c:f>Diagrammdaten!$D$128:$D$288</c:f>
              <c:numCache>
                <c:formatCode>General</c:formatCode>
                <c:ptCount val="161"/>
                <c:pt idx="0">
                  <c:v>21.019382247337123</c:v>
                </c:pt>
                <c:pt idx="1">
                  <c:v>21.349243928996074</c:v>
                </c:pt>
                <c:pt idx="2">
                  <c:v>21.682967151690651</c:v>
                </c:pt>
                <c:pt idx="3">
                  <c:v>22.020583480496693</c:v>
                </c:pt>
                <c:pt idx="4">
                  <c:v>22.362124772082222</c:v>
                </c:pt>
                <c:pt idx="5">
                  <c:v>22.707623184526081</c:v>
                </c:pt>
                <c:pt idx="6">
                  <c:v>23.057111187672984</c:v>
                </c:pt>
                <c:pt idx="7">
                  <c:v>23.410621573866361</c:v>
                </c:pt>
                <c:pt idx="8">
                  <c:v>23.768187469338002</c:v>
                </c:pt>
                <c:pt idx="9">
                  <c:v>24.12984234599627</c:v>
                </c:pt>
                <c:pt idx="10">
                  <c:v>24.495620033870402</c:v>
                </c:pt>
                <c:pt idx="11">
                  <c:v>24.865534504483001</c:v>
                </c:pt>
                <c:pt idx="12">
                  <c:v>25.239681032717183</c:v>
                </c:pt>
                <c:pt idx="13">
                  <c:v>25.618033914754317</c:v>
                </c:pt>
                <c:pt idx="14">
                  <c:v>26.000648779532593</c:v>
                </c:pt>
                <c:pt idx="15">
                  <c:v>26.387561456360864</c:v>
                </c:pt>
                <c:pt idx="16">
                  <c:v>26.77880822122118</c:v>
                </c:pt>
                <c:pt idx="17">
                  <c:v>27.174425814219134</c:v>
                </c:pt>
                <c:pt idx="18">
                  <c:v>27.574451458074829</c:v>
                </c:pt>
                <c:pt idx="19">
                  <c:v>27.978922877476542</c:v>
                </c:pt>
                <c:pt idx="20">
                  <c:v>28.387878319565097</c:v>
                </c:pt>
                <c:pt idx="21">
                  <c:v>28.801356575535983</c:v>
                </c:pt>
                <c:pt idx="22">
                  <c:v>29.21966600247509</c:v>
                </c:pt>
                <c:pt idx="23">
                  <c:v>29.644089510561468</c:v>
                </c:pt>
                <c:pt idx="24">
                  <c:v>30.069598596144392</c:v>
                </c:pt>
                <c:pt idx="25">
                  <c:v>30.503380530925153</c:v>
                </c:pt>
                <c:pt idx="26">
                  <c:v>30.937988822707315</c:v>
                </c:pt>
                <c:pt idx="27">
                  <c:v>31.379452087235325</c:v>
                </c:pt>
                <c:pt idx="28">
                  <c:v>31.82572702823888</c:v>
                </c:pt>
                <c:pt idx="29">
                  <c:v>32.276857732169212</c:v>
                </c:pt>
                <c:pt idx="30">
                  <c:v>32.732889090722054</c:v>
                </c:pt>
                <c:pt idx="31">
                  <c:v>33.193866839690045</c:v>
                </c:pt>
                <c:pt idx="32">
                  <c:v>33.659837600410995</c:v>
                </c:pt>
                <c:pt idx="33">
                  <c:v>34.130848923988133</c:v>
                </c:pt>
                <c:pt idx="34">
                  <c:v>34.606949338621241</c:v>
                </c:pt>
                <c:pt idx="35">
                  <c:v>35.088188400233264</c:v>
                </c:pt>
                <c:pt idx="36">
                  <c:v>35.574616746776918</c:v>
                </c:pt>
                <c:pt idx="37">
                  <c:v>36.066286156425733</c:v>
                </c:pt>
                <c:pt idx="38">
                  <c:v>36.563249610200728</c:v>
                </c:pt>
                <c:pt idx="39">
                  <c:v>37.065561359218584</c:v>
                </c:pt>
                <c:pt idx="40">
                  <c:v>37.573276997210179</c:v>
                </c:pt>
                <c:pt idx="41">
                  <c:v>38.086453538633471</c:v>
                </c:pt>
                <c:pt idx="42">
                  <c:v>38.60514950304249</c:v>
                </c:pt>
                <c:pt idx="43">
                  <c:v>39.129425006292543</c:v>
                </c:pt>
                <c:pt idx="44">
                  <c:v>39.659341859162808</c:v>
                </c:pt>
                <c:pt idx="45">
                  <c:v>40.19496367434504</c:v>
                </c:pt>
                <c:pt idx="46">
                  <c:v>40.736355982418857</c:v>
                </c:pt>
                <c:pt idx="47">
                  <c:v>41.283586357901441</c:v>
                </c:pt>
                <c:pt idx="48">
                  <c:v>41.836420633447588</c:v>
                </c:pt>
                <c:pt idx="49">
                  <c:v>42.3958426640854</c:v>
                </c:pt>
                <c:pt idx="50">
                  <c:v>42.961015260630354</c:v>
                </c:pt>
                <c:pt idx="51">
                  <c:v>43.532319597590259</c:v>
                </c:pt>
                <c:pt idx="52">
                  <c:v>44.109835793581581</c:v>
                </c:pt>
                <c:pt idx="53">
                  <c:v>44.693647048409758</c:v>
                </c:pt>
                <c:pt idx="54">
                  <c:v>45.283839878592119</c:v>
                </c:pt>
                <c:pt idx="55">
                  <c:v>45.880504376789766</c:v>
                </c:pt>
                <c:pt idx="56">
                  <c:v>46.483734498420105</c:v>
                </c:pt>
                <c:pt idx="57">
                  <c:v>47.093628379086717</c:v>
                </c:pt>
                <c:pt idx="58">
                  <c:v>47.710288687124077</c:v>
                </c:pt>
                <c:pt idx="59">
                  <c:v>48.333823016385388</c:v>
                </c:pt>
                <c:pt idx="60">
                  <c:v>48.964344325289865</c:v>
                </c:pt>
                <c:pt idx="61">
                  <c:v>49.601909301745991</c:v>
                </c:pt>
                <c:pt idx="62">
                  <c:v>50.246829555681302</c:v>
                </c:pt>
                <c:pt idx="63">
                  <c:v>50.899050970206332</c:v>
                </c:pt>
                <c:pt idx="64">
                  <c:v>51.558775689360345</c:v>
                </c:pt>
                <c:pt idx="65">
                  <c:v>52.226152292085246</c:v>
                </c:pt>
                <c:pt idx="66">
                  <c:v>52.901338850141386</c:v>
                </c:pt>
                <c:pt idx="67">
                  <c:v>53.584503999302882</c:v>
                </c:pt>
                <c:pt idx="68">
                  <c:v>54.275828179093409</c:v>
                </c:pt>
                <c:pt idx="69">
                  <c:v>54.975505075157592</c:v>
                </c:pt>
                <c:pt idx="70">
                  <c:v>55.683743306690538</c:v>
                </c:pt>
                <c:pt idx="71">
                  <c:v>56.400768411846606</c:v>
                </c:pt>
                <c:pt idx="72">
                  <c:v>57.126825197876414</c:v>
                </c:pt>
                <c:pt idx="73">
                  <c:v>57.862180540579779</c:v>
                </c:pt>
                <c:pt idx="74">
                  <c:v>58.607126741337744</c:v>
                </c:pt>
                <c:pt idx="75">
                  <c:v>59.361985581713512</c:v>
                </c:pt>
                <c:pt idx="76">
                  <c:v>60.131197783688393</c:v>
                </c:pt>
                <c:pt idx="77">
                  <c:v>60.94092026147699</c:v>
                </c:pt>
                <c:pt idx="78">
                  <c:v>61.750642739265587</c:v>
                </c:pt>
                <c:pt idx="79">
                  <c:v>62.560365217054184</c:v>
                </c:pt>
                <c:pt idx="80">
                  <c:v>63.37008769484278</c:v>
                </c:pt>
                <c:pt idx="81">
                  <c:v>64.179810172631377</c:v>
                </c:pt>
                <c:pt idx="82">
                  <c:v>64.989532650419974</c:v>
                </c:pt>
                <c:pt idx="83">
                  <c:v>65.817354559425965</c:v>
                </c:pt>
                <c:pt idx="84">
                  <c:v>66.703568505223032</c:v>
                </c:pt>
                <c:pt idx="85">
                  <c:v>67.589782451020099</c:v>
                </c:pt>
                <c:pt idx="86">
                  <c:v>68.475996396817166</c:v>
                </c:pt>
                <c:pt idx="87">
                  <c:v>69.40522495773665</c:v>
                </c:pt>
                <c:pt idx="88">
                  <c:v>70.363800093024707</c:v>
                </c:pt>
                <c:pt idx="89">
                  <c:v>71.322375228312765</c:v>
                </c:pt>
                <c:pt idx="90">
                  <c:v>72.325229642539654</c:v>
                </c:pt>
                <c:pt idx="91">
                  <c:v>73.38015838022605</c:v>
                </c:pt>
                <c:pt idx="92">
                  <c:v>74.43508711791246</c:v>
                </c:pt>
                <c:pt idx="93">
                  <c:v>75.61815476681673</c:v>
                </c:pt>
                <c:pt idx="94">
                  <c:v>76.817922880286346</c:v>
                </c:pt>
                <c:pt idx="95">
                  <c:v>78.254414833855236</c:v>
                </c:pt>
                <c:pt idx="96">
                  <c:v>81.455055721913254</c:v>
                </c:pt>
                <c:pt idx="97">
                  <c:v>81.455055721913254</c:v>
                </c:pt>
                <c:pt idx="98">
                  <c:v>81.455055721913254</c:v>
                </c:pt>
                <c:pt idx="99">
                  <c:v>81.455055721913254</c:v>
                </c:pt>
                <c:pt idx="100">
                  <c:v>81.455055721913254</c:v>
                </c:pt>
                <c:pt idx="101">
                  <c:v>81.455055721913254</c:v>
                </c:pt>
                <c:pt idx="102">
                  <c:v>81.455055721913254</c:v>
                </c:pt>
                <c:pt idx="103">
                  <c:v>81.455055721913254</c:v>
                </c:pt>
                <c:pt idx="104">
                  <c:v>81.455055721913254</c:v>
                </c:pt>
                <c:pt idx="105">
                  <c:v>81.455055721913254</c:v>
                </c:pt>
                <c:pt idx="106">
                  <c:v>81.455055721913254</c:v>
                </c:pt>
                <c:pt idx="107">
                  <c:v>81.455055721913254</c:v>
                </c:pt>
                <c:pt idx="108">
                  <c:v>81.455055721913254</c:v>
                </c:pt>
                <c:pt idx="109">
                  <c:v>81.455055721913254</c:v>
                </c:pt>
                <c:pt idx="110">
                  <c:v>81.455055721913254</c:v>
                </c:pt>
                <c:pt idx="111">
                  <c:v>81.455055721913254</c:v>
                </c:pt>
                <c:pt idx="112">
                  <c:v>81.455055721913254</c:v>
                </c:pt>
                <c:pt idx="113">
                  <c:v>81.455055721913254</c:v>
                </c:pt>
                <c:pt idx="114">
                  <c:v>81.455055721913254</c:v>
                </c:pt>
                <c:pt idx="115">
                  <c:v>81.455055721913254</c:v>
                </c:pt>
                <c:pt idx="116">
                  <c:v>81.455055721913254</c:v>
                </c:pt>
                <c:pt idx="117">
                  <c:v>81.455055721913254</c:v>
                </c:pt>
                <c:pt idx="118">
                  <c:v>81.455055721913254</c:v>
                </c:pt>
                <c:pt idx="119">
                  <c:v>81.455055721913254</c:v>
                </c:pt>
                <c:pt idx="120">
                  <c:v>81.455055721913254</c:v>
                </c:pt>
                <c:pt idx="121">
                  <c:v>81.455055721913254</c:v>
                </c:pt>
                <c:pt idx="122">
                  <c:v>81.455055721913254</c:v>
                </c:pt>
                <c:pt idx="123">
                  <c:v>81.455055721913254</c:v>
                </c:pt>
                <c:pt idx="124">
                  <c:v>81.455055721913254</c:v>
                </c:pt>
                <c:pt idx="125">
                  <c:v>81.455055721913254</c:v>
                </c:pt>
                <c:pt idx="126">
                  <c:v>81.455055721913254</c:v>
                </c:pt>
                <c:pt idx="127">
                  <c:v>81.455055721913254</c:v>
                </c:pt>
                <c:pt idx="128">
                  <c:v>81.455055721913254</c:v>
                </c:pt>
                <c:pt idx="129">
                  <c:v>81.455055721913254</c:v>
                </c:pt>
                <c:pt idx="130">
                  <c:v>81.455055721913254</c:v>
                </c:pt>
                <c:pt idx="131">
                  <c:v>81.455055721913254</c:v>
                </c:pt>
                <c:pt idx="132">
                  <c:v>81.455055721913254</c:v>
                </c:pt>
                <c:pt idx="133">
                  <c:v>81.455055721913254</c:v>
                </c:pt>
                <c:pt idx="134">
                  <c:v>81.455055721913254</c:v>
                </c:pt>
                <c:pt idx="135">
                  <c:v>81.455055721913254</c:v>
                </c:pt>
                <c:pt idx="136">
                  <c:v>81.455055721913254</c:v>
                </c:pt>
                <c:pt idx="137">
                  <c:v>81.455055721913254</c:v>
                </c:pt>
                <c:pt idx="138">
                  <c:v>81.455055721913254</c:v>
                </c:pt>
                <c:pt idx="139">
                  <c:v>81.455055721913254</c:v>
                </c:pt>
                <c:pt idx="140">
                  <c:v>81.455055721913254</c:v>
                </c:pt>
                <c:pt idx="141">
                  <c:v>81.455055721913254</c:v>
                </c:pt>
                <c:pt idx="142">
                  <c:v>81.455055721913254</c:v>
                </c:pt>
                <c:pt idx="143">
                  <c:v>81.455055721913254</c:v>
                </c:pt>
                <c:pt idx="144">
                  <c:v>81.455055721913254</c:v>
                </c:pt>
                <c:pt idx="145">
                  <c:v>81.455055721913254</c:v>
                </c:pt>
                <c:pt idx="146">
                  <c:v>81.455055721913254</c:v>
                </c:pt>
                <c:pt idx="147">
                  <c:v>81.455055721913254</c:v>
                </c:pt>
                <c:pt idx="148">
                  <c:v>81.455055721913254</c:v>
                </c:pt>
                <c:pt idx="149">
                  <c:v>81.455055721913254</c:v>
                </c:pt>
                <c:pt idx="150">
                  <c:v>81.455055721913254</c:v>
                </c:pt>
                <c:pt idx="151">
                  <c:v>81.455055721913254</c:v>
                </c:pt>
                <c:pt idx="152">
                  <c:v>81.455055721913254</c:v>
                </c:pt>
                <c:pt idx="153">
                  <c:v>81.455055721913254</c:v>
                </c:pt>
                <c:pt idx="154">
                  <c:v>81.455055721913254</c:v>
                </c:pt>
                <c:pt idx="155">
                  <c:v>81.455055721913254</c:v>
                </c:pt>
                <c:pt idx="156">
                  <c:v>81.455055721913254</c:v>
                </c:pt>
                <c:pt idx="157">
                  <c:v>81.455055721913254</c:v>
                </c:pt>
                <c:pt idx="158">
                  <c:v>81.455055721913254</c:v>
                </c:pt>
                <c:pt idx="159">
                  <c:v>81.455055721913254</c:v>
                </c:pt>
                <c:pt idx="160">
                  <c:v>81.455055721913254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52-4AA2-A5E5-E42C5A32E27A}"/>
            </c:ext>
          </c:extLst>
        </c:ser>
        <c:ser>
          <c:idx val="1"/>
          <c:order val="1"/>
          <c:tx>
            <c:strRef>
              <c:f>Diagrammdaten!$H$7</c:f>
              <c:strCache>
                <c:ptCount val="1"/>
                <c:pt idx="0">
                  <c:v>zweiphasig [bar]</c:v>
                </c:pt>
              </c:strCache>
            </c:strRef>
          </c:tx>
          <c:spPr>
            <a:solidFill>
              <a:srgbClr val="F4B6B0"/>
            </a:solidFill>
            <a:ln>
              <a:noFill/>
            </a:ln>
          </c:spPr>
          <c:cat>
            <c:strRef>
              <c:f>Diagrammdaten!$C$128:$C$288</c:f>
              <c:strCache>
                <c:ptCount val="161"/>
                <c:pt idx="0">
                  <c:v>-20</c:v>
                </c:pt>
                <c:pt idx="40">
                  <c:v>0</c:v>
                </c:pt>
                <c:pt idx="80">
                  <c:v>20</c:v>
                </c:pt>
                <c:pt idx="120">
                  <c:v>40</c:v>
                </c:pt>
                <c:pt idx="160">
                  <c:v>60</c:v>
                </c:pt>
              </c:strCache>
            </c:strRef>
          </c:cat>
          <c:val>
            <c:numRef>
              <c:f>Diagrammdaten!$H$128:$H$288</c:f>
              <c:numCache>
                <c:formatCode>General</c:formatCode>
                <c:ptCount val="161"/>
                <c:pt idx="0">
                  <c:v>27.889712345938602</c:v>
                </c:pt>
                <c:pt idx="1">
                  <c:v>27.7356797829489</c:v>
                </c:pt>
                <c:pt idx="2">
                  <c:v>27.582518633945266</c:v>
                </c:pt>
                <c:pt idx="3">
                  <c:v>27.430182685894895</c:v>
                </c:pt>
                <c:pt idx="4">
                  <c:v>27.278625924175163</c:v>
                </c:pt>
                <c:pt idx="5">
                  <c:v>27.127802485424557</c:v>
                </c:pt>
                <c:pt idx="6">
                  <c:v>26.977666626624814</c:v>
                </c:pt>
                <c:pt idx="7">
                  <c:v>26.828172689814085</c:v>
                </c:pt>
                <c:pt idx="8">
                  <c:v>26.679275067686859</c:v>
                </c:pt>
                <c:pt idx="9">
                  <c:v>26.530928169258171</c:v>
                </c:pt>
                <c:pt idx="10">
                  <c:v>26.383086385531215</c:v>
                </c:pt>
                <c:pt idx="11">
                  <c:v>26.235724284797229</c:v>
                </c:pt>
                <c:pt idx="12">
                  <c:v>26.088735429977124</c:v>
                </c:pt>
                <c:pt idx="13">
                  <c:v>25.942134640404841</c:v>
                </c:pt>
                <c:pt idx="14">
                  <c:v>25.795855660508817</c:v>
                </c:pt>
                <c:pt idx="15">
                  <c:v>25.649852272701452</c:v>
                </c:pt>
                <c:pt idx="16">
                  <c:v>25.504078031716734</c:v>
                </c:pt>
                <c:pt idx="17">
                  <c:v>25.358486228024951</c:v>
                </c:pt>
                <c:pt idx="18">
                  <c:v>25.213029850092948</c:v>
                </c:pt>
                <c:pt idx="19">
                  <c:v>25.067661545601041</c:v>
                </c:pt>
                <c:pt idx="20">
                  <c:v>24.922333581097384</c:v>
                </c:pt>
                <c:pt idx="21">
                  <c:v>24.776997799896648</c:v>
                </c:pt>
                <c:pt idx="22">
                  <c:v>24.631336578838134</c:v>
                </c:pt>
                <c:pt idx="23">
                  <c:v>24.484057818450818</c:v>
                </c:pt>
                <c:pt idx="24">
                  <c:v>24.339976664075426</c:v>
                </c:pt>
                <c:pt idx="25">
                  <c:v>24.192509398302992</c:v>
                </c:pt>
                <c:pt idx="26">
                  <c:v>24.048480736166471</c:v>
                </c:pt>
                <c:pt idx="27">
                  <c:v>23.902057137392948</c:v>
                </c:pt>
                <c:pt idx="28">
                  <c:v>23.755272683840936</c:v>
                </c:pt>
                <c:pt idx="29">
                  <c:v>23.608073967583614</c:v>
                </c:pt>
                <c:pt idx="30">
                  <c:v>23.460406625214745</c:v>
                </c:pt>
                <c:pt idx="31">
                  <c:v>23.312215250677021</c:v>
                </c:pt>
                <c:pt idx="32">
                  <c:v>23.163443299727874</c:v>
                </c:pt>
                <c:pt idx="33">
                  <c:v>23.014032985302606</c:v>
                </c:pt>
                <c:pt idx="34">
                  <c:v>22.86392516272636</c:v>
                </c:pt>
                <c:pt idx="35">
                  <c:v>22.713059204025228</c:v>
                </c:pt>
                <c:pt idx="36">
                  <c:v>22.561372860469525</c:v>
                </c:pt>
                <c:pt idx="37">
                  <c:v>22.408802112505327</c:v>
                </c:pt>
                <c:pt idx="38">
                  <c:v>22.255281006314725</c:v>
                </c:pt>
                <c:pt idx="39">
                  <c:v>22.100741476466304</c:v>
                </c:pt>
                <c:pt idx="40">
                  <c:v>21.945113153903144</c:v>
                </c:pt>
                <c:pt idx="41">
                  <c:v>21.788323159090801</c:v>
                </c:pt>
                <c:pt idx="42">
                  <c:v>21.630295879975947</c:v>
                </c:pt>
                <c:pt idx="43">
                  <c:v>21.470952734567852</c:v>
                </c:pt>
                <c:pt idx="44">
                  <c:v>21.310211918655718</c:v>
                </c:pt>
                <c:pt idx="45">
                  <c:v>21.147988138551462</c:v>
                </c:pt>
                <c:pt idx="46">
                  <c:v>20.984192329795583</c:v>
                </c:pt>
                <c:pt idx="47">
                  <c:v>20.818731362358008</c:v>
                </c:pt>
                <c:pt idx="48">
                  <c:v>20.651811656141327</c:v>
                </c:pt>
                <c:pt idx="49">
                  <c:v>20.482419247103287</c:v>
                </c:pt>
                <c:pt idx="50">
                  <c:v>20.311161067758604</c:v>
                </c:pt>
                <c:pt idx="51">
                  <c:v>20.138213473714643</c:v>
                </c:pt>
                <c:pt idx="52">
                  <c:v>19.962865316287264</c:v>
                </c:pt>
                <c:pt idx="53">
                  <c:v>19.785189851884226</c:v>
                </c:pt>
                <c:pt idx="54">
                  <c:v>19.605056274126355</c:v>
                </c:pt>
                <c:pt idx="55">
                  <c:v>19.422326947044688</c:v>
                </c:pt>
                <c:pt idx="56">
                  <c:v>19.236856999637254</c:v>
                </c:pt>
                <c:pt idx="57">
                  <c:v>19.048493893594831</c:v>
                </c:pt>
                <c:pt idx="58">
                  <c:v>18.857076953167322</c:v>
                </c:pt>
                <c:pt idx="59">
                  <c:v>18.662436841669852</c:v>
                </c:pt>
                <c:pt idx="60">
                  <c:v>18.464394963440107</c:v>
                </c:pt>
                <c:pt idx="61">
                  <c:v>18.262824890968815</c:v>
                </c:pt>
                <c:pt idx="62">
                  <c:v>18.057340887726184</c:v>
                </c:pt>
                <c:pt idx="63">
                  <c:v>17.847918159776697</c:v>
                </c:pt>
                <c:pt idx="64">
                  <c:v>17.634270313168798</c:v>
                </c:pt>
                <c:pt idx="65">
                  <c:v>17.416158411818969</c:v>
                </c:pt>
                <c:pt idx="66">
                  <c:v>17.193326871870781</c:v>
                </c:pt>
                <c:pt idx="67">
                  <c:v>16.965496087201018</c:v>
                </c:pt>
                <c:pt idx="68">
                  <c:v>16.732383826169155</c:v>
                </c:pt>
                <c:pt idx="69">
                  <c:v>16.493652415254395</c:v>
                </c:pt>
                <c:pt idx="70">
                  <c:v>16.248952980994012</c:v>
                </c:pt>
                <c:pt idx="71">
                  <c:v>15.997895168462172</c:v>
                </c:pt>
                <c:pt idx="72">
                  <c:v>15.740045012259728</c:v>
                </c:pt>
                <c:pt idx="73">
                  <c:v>15.474916485412827</c:v>
                </c:pt>
                <c:pt idx="74">
                  <c:v>15.202028549938014</c:v>
                </c:pt>
                <c:pt idx="75">
                  <c:v>14.921069231022145</c:v>
                </c:pt>
                <c:pt idx="76">
                  <c:v>14.62589851865242</c:v>
                </c:pt>
                <c:pt idx="77">
                  <c:v>14.291299425644738</c:v>
                </c:pt>
                <c:pt idx="78">
                  <c:v>13.956700332637055</c:v>
                </c:pt>
                <c:pt idx="79">
                  <c:v>13.622101239629387</c:v>
                </c:pt>
                <c:pt idx="80">
                  <c:v>13.280763404159487</c:v>
                </c:pt>
                <c:pt idx="81">
                  <c:v>12.928686063309783</c:v>
                </c:pt>
                <c:pt idx="82">
                  <c:v>12.576608722460065</c:v>
                </c:pt>
                <c:pt idx="83">
                  <c:v>12.206431950392968</c:v>
                </c:pt>
                <c:pt idx="84">
                  <c:v>11.777863141534795</c:v>
                </c:pt>
                <c:pt idx="85">
                  <c:v>11.349294332676607</c:v>
                </c:pt>
                <c:pt idx="86">
                  <c:v>10.920725523818433</c:v>
                </c:pt>
                <c:pt idx="87">
                  <c:v>10.449142099837843</c:v>
                </c:pt>
                <c:pt idx="88">
                  <c:v>9.8918304676368791</c:v>
                </c:pt>
                <c:pt idx="89">
                  <c:v>9.3330379831599544</c:v>
                </c:pt>
                <c:pt idx="90">
                  <c:v>8.7299662197441847</c:v>
                </c:pt>
                <c:pt idx="91">
                  <c:v>8.0059258842833714</c:v>
                </c:pt>
                <c:pt idx="92">
                  <c:v>7.2811354116850566</c:v>
                </c:pt>
                <c:pt idx="93">
                  <c:v>6.3423787961515785</c:v>
                </c:pt>
                <c:pt idx="94">
                  <c:v>5.334659025849902</c:v>
                </c:pt>
                <c:pt idx="95">
                  <c:v>3.8451784074934778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52-4AA2-A5E5-E42C5A32E27A}"/>
            </c:ext>
          </c:extLst>
        </c:ser>
        <c:ser>
          <c:idx val="2"/>
          <c:order val="2"/>
          <c:tx>
            <c:strRef>
              <c:f>Diagrammdaten!$E$7</c:f>
              <c:strCache>
                <c:ptCount val="1"/>
                <c:pt idx="0">
                  <c:v>flüssig [bar]</c:v>
                </c:pt>
              </c:strCache>
            </c:strRef>
          </c:tx>
          <c:spPr>
            <a:solidFill>
              <a:srgbClr val="D9EAD3"/>
            </a:solidFill>
            <a:ln>
              <a:noFill/>
            </a:ln>
          </c:spPr>
          <c:cat>
            <c:strRef>
              <c:f>Diagrammdaten!$C$128:$C$288</c:f>
              <c:strCache>
                <c:ptCount val="161"/>
                <c:pt idx="0">
                  <c:v>-20</c:v>
                </c:pt>
                <c:pt idx="40">
                  <c:v>0</c:v>
                </c:pt>
                <c:pt idx="80">
                  <c:v>20</c:v>
                </c:pt>
                <c:pt idx="120">
                  <c:v>40</c:v>
                </c:pt>
                <c:pt idx="160">
                  <c:v>60</c:v>
                </c:pt>
              </c:strCache>
            </c:strRef>
          </c:cat>
          <c:val>
            <c:numRef>
              <c:f>Diagrammdaten!$E$128:$E$288</c:f>
              <c:numCache>
                <c:formatCode>General</c:formatCode>
                <c:ptCount val="161"/>
                <c:pt idx="0">
                  <c:v>201.09090540672429</c:v>
                </c:pt>
                <c:pt idx="1">
                  <c:v>200.91507628805502</c:v>
                </c:pt>
                <c:pt idx="2">
                  <c:v>200.73451421436408</c:v>
                </c:pt>
                <c:pt idx="3">
                  <c:v>200.54923383360841</c:v>
                </c:pt>
                <c:pt idx="4">
                  <c:v>200.35924930374262</c:v>
                </c:pt>
                <c:pt idx="5">
                  <c:v>200.16457433004936</c:v>
                </c:pt>
                <c:pt idx="6">
                  <c:v>199.9652221857022</c:v>
                </c:pt>
                <c:pt idx="7">
                  <c:v>199.76120573631954</c:v>
                </c:pt>
                <c:pt idx="8">
                  <c:v>199.55253746297512</c:v>
                </c:pt>
                <c:pt idx="9">
                  <c:v>199.33922948474554</c:v>
                </c:pt>
                <c:pt idx="10">
                  <c:v>199.12129358059838</c:v>
                </c:pt>
                <c:pt idx="11">
                  <c:v>198.89874121071978</c:v>
                </c:pt>
                <c:pt idx="12">
                  <c:v>198.67158353730571</c:v>
                </c:pt>
                <c:pt idx="13">
                  <c:v>198.43983144484085</c:v>
                </c:pt>
                <c:pt idx="14">
                  <c:v>198.20349555995858</c:v>
                </c:pt>
                <c:pt idx="15">
                  <c:v>197.96258627093769</c:v>
                </c:pt>
                <c:pt idx="16">
                  <c:v>197.71711374706209</c:v>
                </c:pt>
                <c:pt idx="17">
                  <c:v>197.46708795775592</c:v>
                </c:pt>
                <c:pt idx="18">
                  <c:v>197.21251869183223</c:v>
                </c:pt>
                <c:pt idx="19">
                  <c:v>196.95341557692242</c:v>
                </c:pt>
                <c:pt idx="20">
                  <c:v>196.68978809933753</c:v>
                </c:pt>
                <c:pt idx="21">
                  <c:v>196.42164562456736</c:v>
                </c:pt>
                <c:pt idx="22">
                  <c:v>196.14899741868678</c:v>
                </c:pt>
                <c:pt idx="23">
                  <c:v>195.87185267098772</c:v>
                </c:pt>
                <c:pt idx="24">
                  <c:v>195.59042473978019</c:v>
                </c:pt>
                <c:pt idx="25">
                  <c:v>195.30411007077186</c:v>
                </c:pt>
                <c:pt idx="26">
                  <c:v>195.01353044112622</c:v>
                </c:pt>
                <c:pt idx="27">
                  <c:v>194.71849077537172</c:v>
                </c:pt>
                <c:pt idx="28">
                  <c:v>194.4190002879202</c:v>
                </c:pt>
                <c:pt idx="29">
                  <c:v>194.11506830024717</c:v>
                </c:pt>
                <c:pt idx="30">
                  <c:v>193.80670428406319</c:v>
                </c:pt>
                <c:pt idx="31">
                  <c:v>193.49391790963293</c:v>
                </c:pt>
                <c:pt idx="32">
                  <c:v>193.17671909986115</c:v>
                </c:pt>
                <c:pt idx="33">
                  <c:v>192.85511809070925</c:v>
                </c:pt>
                <c:pt idx="34">
                  <c:v>192.52912549865241</c:v>
                </c:pt>
                <c:pt idx="35">
                  <c:v>192.19875239574151</c:v>
                </c:pt>
                <c:pt idx="36">
                  <c:v>191.86401039275356</c:v>
                </c:pt>
                <c:pt idx="37">
                  <c:v>191.52491173106893</c:v>
                </c:pt>
                <c:pt idx="38">
                  <c:v>191.18146938348454</c:v>
                </c:pt>
                <c:pt idx="39">
                  <c:v>190.83369716431511</c:v>
                </c:pt>
                <c:pt idx="40">
                  <c:v>190.48160984888668</c:v>
                </c:pt>
                <c:pt idx="41">
                  <c:v>190.12522330227574</c:v>
                </c:pt>
                <c:pt idx="42">
                  <c:v>189.76455461698157</c:v>
                </c:pt>
                <c:pt idx="43">
                  <c:v>189.39962225913962</c:v>
                </c:pt>
                <c:pt idx="44">
                  <c:v>189.03044622218147</c:v>
                </c:pt>
                <c:pt idx="45">
                  <c:v>188.6570481871035</c:v>
                </c:pt>
                <c:pt idx="46">
                  <c:v>188.27945168778555</c:v>
                </c:pt>
                <c:pt idx="47">
                  <c:v>187.89768227974054</c:v>
                </c:pt>
                <c:pt idx="48">
                  <c:v>187.51176771041108</c:v>
                </c:pt>
                <c:pt idx="49">
                  <c:v>187.1217380888113</c:v>
                </c:pt>
                <c:pt idx="50">
                  <c:v>186.72782367161105</c:v>
                </c:pt>
                <c:pt idx="51">
                  <c:v>186.3294669286951</c:v>
                </c:pt>
                <c:pt idx="52">
                  <c:v>185.92729889013117</c:v>
                </c:pt>
                <c:pt idx="53">
                  <c:v>185.52116309970603</c:v>
                </c:pt>
                <c:pt idx="54">
                  <c:v>185.11110384728153</c:v>
                </c:pt>
                <c:pt idx="55">
                  <c:v>184.69716867616555</c:v>
                </c:pt>
                <c:pt idx="56">
                  <c:v>184.27940850194264</c:v>
                </c:pt>
                <c:pt idx="57">
                  <c:v>183.85787772731845</c:v>
                </c:pt>
                <c:pt idx="58">
                  <c:v>183.4326343597086</c:v>
                </c:pt>
                <c:pt idx="59">
                  <c:v>183.00374014194477</c:v>
                </c:pt>
                <c:pt idx="60">
                  <c:v>182.57126071127004</c:v>
                </c:pt>
                <c:pt idx="61">
                  <c:v>182.13526580728518</c:v>
                </c:pt>
                <c:pt idx="62">
                  <c:v>181.69582955659251</c:v>
                </c:pt>
                <c:pt idx="63">
                  <c:v>181.25303087001697</c:v>
                </c:pt>
                <c:pt idx="64">
                  <c:v>180.80695399747086</c:v>
                </c:pt>
                <c:pt idx="65">
                  <c:v>180.35768929609577</c:v>
                </c:pt>
                <c:pt idx="66">
                  <c:v>179.90533427798783</c:v>
                </c:pt>
                <c:pt idx="67">
                  <c:v>179.4499999134961</c:v>
                </c:pt>
                <c:pt idx="68">
                  <c:v>178.99178799473742</c:v>
                </c:pt>
                <c:pt idx="69">
                  <c:v>178.53084250958801</c:v>
                </c:pt>
                <c:pt idx="70">
                  <c:v>178.06730371231544</c:v>
                </c:pt>
                <c:pt idx="71">
                  <c:v>177.60133641969122</c:v>
                </c:pt>
                <c:pt idx="72">
                  <c:v>177.13312978986386</c:v>
                </c:pt>
                <c:pt idx="73">
                  <c:v>176.66290297400741</c:v>
                </c:pt>
                <c:pt idx="74">
                  <c:v>176.19084470872423</c:v>
                </c:pt>
                <c:pt idx="75">
                  <c:v>175.71694518726434</c:v>
                </c:pt>
                <c:pt idx="76">
                  <c:v>175.24290369765919</c:v>
                </c:pt>
                <c:pt idx="77">
                  <c:v>174.76778031287827</c:v>
                </c:pt>
                <c:pt idx="78">
                  <c:v>174.29265692809736</c:v>
                </c:pt>
                <c:pt idx="79">
                  <c:v>173.81753354331642</c:v>
                </c:pt>
                <c:pt idx="80">
                  <c:v>173.34914890099773</c:v>
                </c:pt>
                <c:pt idx="81">
                  <c:v>172.89150376405883</c:v>
                </c:pt>
                <c:pt idx="82">
                  <c:v>172.43385862711995</c:v>
                </c:pt>
                <c:pt idx="83">
                  <c:v>171.97621349018107</c:v>
                </c:pt>
                <c:pt idx="84">
                  <c:v>171.51856835324219</c:v>
                </c:pt>
                <c:pt idx="85">
                  <c:v>171.06092321630331</c:v>
                </c:pt>
                <c:pt idx="86">
                  <c:v>170.6032780793644</c:v>
                </c:pt>
                <c:pt idx="87">
                  <c:v>170.14563294242549</c:v>
                </c:pt>
                <c:pt idx="88">
                  <c:v>169.74436943933841</c:v>
                </c:pt>
                <c:pt idx="89">
                  <c:v>169.34458678852729</c:v>
                </c:pt>
                <c:pt idx="90">
                  <c:v>168.94480413771618</c:v>
                </c:pt>
                <c:pt idx="91">
                  <c:v>168.61391573549059</c:v>
                </c:pt>
                <c:pt idx="92">
                  <c:v>168.28377747040247</c:v>
                </c:pt>
                <c:pt idx="93">
                  <c:v>168.03946643703171</c:v>
                </c:pt>
                <c:pt idx="94">
                  <c:v>167.84741809386375</c:v>
                </c:pt>
                <c:pt idx="95">
                  <c:v>167.90040675865129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652-4AA2-A5E5-E42C5A32E27A}"/>
            </c:ext>
          </c:extLst>
        </c:ser>
        <c:ser>
          <c:idx val="3"/>
          <c:order val="3"/>
          <c:tx>
            <c:strRef>
              <c:f>Diagrammdaten!$F$7</c:f>
              <c:strCache>
                <c:ptCount val="1"/>
                <c:pt idx="0">
                  <c:v>überkritisch [bar]</c:v>
                </c:pt>
              </c:strCache>
            </c:strRef>
          </c:tx>
          <c:spPr>
            <a:solidFill>
              <a:srgbClr val="FCE5CD"/>
            </a:solidFill>
            <a:ln>
              <a:noFill/>
            </a:ln>
          </c:spPr>
          <c:cat>
            <c:strRef>
              <c:f>Diagrammdaten!$C$128:$C$288</c:f>
              <c:strCache>
                <c:ptCount val="161"/>
                <c:pt idx="0">
                  <c:v>-20</c:v>
                </c:pt>
                <c:pt idx="40">
                  <c:v>0</c:v>
                </c:pt>
                <c:pt idx="80">
                  <c:v>20</c:v>
                </c:pt>
                <c:pt idx="120">
                  <c:v>40</c:v>
                </c:pt>
                <c:pt idx="160">
                  <c:v>60</c:v>
                </c:pt>
              </c:strCache>
            </c:strRef>
          </c:cat>
          <c:val>
            <c:numRef>
              <c:f>Diagrammdaten!$F$128:$F$288</c:f>
              <c:numCache>
                <c:formatCode>General</c:formatCode>
                <c:ptCount val="1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168.54494427808675</c:v>
                </c:pt>
                <c:pt idx="97">
                  <c:v>168.54494427808675</c:v>
                </c:pt>
                <c:pt idx="98">
                  <c:v>168.54494427808675</c:v>
                </c:pt>
                <c:pt idx="99">
                  <c:v>168.54494427808675</c:v>
                </c:pt>
                <c:pt idx="100">
                  <c:v>168.54494427808675</c:v>
                </c:pt>
                <c:pt idx="101">
                  <c:v>168.54494427808675</c:v>
                </c:pt>
                <c:pt idx="102">
                  <c:v>168.54494427808675</c:v>
                </c:pt>
                <c:pt idx="103">
                  <c:v>168.54494427808675</c:v>
                </c:pt>
                <c:pt idx="104">
                  <c:v>168.54494427808675</c:v>
                </c:pt>
                <c:pt idx="105">
                  <c:v>168.54494427808675</c:v>
                </c:pt>
                <c:pt idx="106">
                  <c:v>168.54494427808675</c:v>
                </c:pt>
                <c:pt idx="107">
                  <c:v>168.54494427808675</c:v>
                </c:pt>
                <c:pt idx="108">
                  <c:v>168.54494427808675</c:v>
                </c:pt>
                <c:pt idx="109">
                  <c:v>168.54494427808675</c:v>
                </c:pt>
                <c:pt idx="110">
                  <c:v>168.54494427808675</c:v>
                </c:pt>
                <c:pt idx="111">
                  <c:v>168.54494427808675</c:v>
                </c:pt>
                <c:pt idx="112">
                  <c:v>168.54494427808675</c:v>
                </c:pt>
                <c:pt idx="113">
                  <c:v>168.54494427808675</c:v>
                </c:pt>
                <c:pt idx="114">
                  <c:v>168.54494427808675</c:v>
                </c:pt>
                <c:pt idx="115">
                  <c:v>168.54494427808675</c:v>
                </c:pt>
                <c:pt idx="116">
                  <c:v>168.54494427808675</c:v>
                </c:pt>
                <c:pt idx="117">
                  <c:v>168.54494427808675</c:v>
                </c:pt>
                <c:pt idx="118">
                  <c:v>168.54494427808675</c:v>
                </c:pt>
                <c:pt idx="119">
                  <c:v>168.54494427808675</c:v>
                </c:pt>
                <c:pt idx="120">
                  <c:v>168.54494427808675</c:v>
                </c:pt>
                <c:pt idx="121">
                  <c:v>168.54494427808675</c:v>
                </c:pt>
                <c:pt idx="122">
                  <c:v>168.54494427808675</c:v>
                </c:pt>
                <c:pt idx="123">
                  <c:v>168.54494427808675</c:v>
                </c:pt>
                <c:pt idx="124">
                  <c:v>168.54494427808675</c:v>
                </c:pt>
                <c:pt idx="125">
                  <c:v>168.54494427808675</c:v>
                </c:pt>
                <c:pt idx="126">
                  <c:v>168.54494427808675</c:v>
                </c:pt>
                <c:pt idx="127">
                  <c:v>168.54494427808675</c:v>
                </c:pt>
                <c:pt idx="128">
                  <c:v>168.54494427808675</c:v>
                </c:pt>
                <c:pt idx="129">
                  <c:v>168.54494427808675</c:v>
                </c:pt>
                <c:pt idx="130">
                  <c:v>168.54494427808675</c:v>
                </c:pt>
                <c:pt idx="131">
                  <c:v>168.54494427808675</c:v>
                </c:pt>
                <c:pt idx="132">
                  <c:v>168.54494427808675</c:v>
                </c:pt>
                <c:pt idx="133">
                  <c:v>168.54494427808675</c:v>
                </c:pt>
                <c:pt idx="134">
                  <c:v>168.54494427808675</c:v>
                </c:pt>
                <c:pt idx="135">
                  <c:v>168.54494427808675</c:v>
                </c:pt>
                <c:pt idx="136">
                  <c:v>168.54494427808675</c:v>
                </c:pt>
                <c:pt idx="137">
                  <c:v>168.54494427808675</c:v>
                </c:pt>
                <c:pt idx="138">
                  <c:v>168.54494427808675</c:v>
                </c:pt>
                <c:pt idx="139">
                  <c:v>168.54494427808675</c:v>
                </c:pt>
                <c:pt idx="140">
                  <c:v>168.54494427808675</c:v>
                </c:pt>
                <c:pt idx="141">
                  <c:v>168.54494427808675</c:v>
                </c:pt>
                <c:pt idx="142">
                  <c:v>168.54494427808675</c:v>
                </c:pt>
                <c:pt idx="143">
                  <c:v>168.54494427808675</c:v>
                </c:pt>
                <c:pt idx="144">
                  <c:v>168.54494427808675</c:v>
                </c:pt>
                <c:pt idx="145">
                  <c:v>168.54494427808675</c:v>
                </c:pt>
                <c:pt idx="146">
                  <c:v>168.54494427808675</c:v>
                </c:pt>
                <c:pt idx="147">
                  <c:v>168.54494427808675</c:v>
                </c:pt>
                <c:pt idx="148">
                  <c:v>168.54494427808675</c:v>
                </c:pt>
                <c:pt idx="149">
                  <c:v>168.54494427808675</c:v>
                </c:pt>
                <c:pt idx="150">
                  <c:v>168.54494427808675</c:v>
                </c:pt>
                <c:pt idx="151">
                  <c:v>168.54494427808675</c:v>
                </c:pt>
                <c:pt idx="152">
                  <c:v>168.54494427808675</c:v>
                </c:pt>
                <c:pt idx="153">
                  <c:v>168.54494427808675</c:v>
                </c:pt>
                <c:pt idx="154">
                  <c:v>168.54494427808675</c:v>
                </c:pt>
                <c:pt idx="155">
                  <c:v>168.54494427808675</c:v>
                </c:pt>
                <c:pt idx="156">
                  <c:v>168.54494427808675</c:v>
                </c:pt>
                <c:pt idx="157">
                  <c:v>168.54494427808675</c:v>
                </c:pt>
                <c:pt idx="158">
                  <c:v>168.54494427808675</c:v>
                </c:pt>
                <c:pt idx="159">
                  <c:v>168.54494427808675</c:v>
                </c:pt>
                <c:pt idx="160">
                  <c:v>168.54494427808675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652-4AA2-A5E5-E42C5A32E27A}"/>
            </c:ext>
          </c:extLst>
        </c:ser>
        <c:ser>
          <c:idx val="4"/>
          <c:order val="4"/>
          <c:tx>
            <c:strRef>
              <c:f>Diagrammdaten!$G$7</c:f>
              <c:strCache>
                <c:ptCount val="1"/>
                <c:pt idx="0">
                  <c:v>fest [bar]</c:v>
                </c:pt>
              </c:strCache>
            </c:strRef>
          </c:tx>
          <c:spPr>
            <a:solidFill>
              <a:srgbClr val="D9D2E9"/>
            </a:solidFill>
            <a:ln>
              <a:noFill/>
            </a:ln>
          </c:spPr>
          <c:cat>
            <c:strRef>
              <c:f>Diagrammdaten!$C$128:$C$288</c:f>
              <c:strCache>
                <c:ptCount val="161"/>
                <c:pt idx="0">
                  <c:v>-20</c:v>
                </c:pt>
                <c:pt idx="40">
                  <c:v>0</c:v>
                </c:pt>
                <c:pt idx="80">
                  <c:v>20</c:v>
                </c:pt>
                <c:pt idx="120">
                  <c:v>40</c:v>
                </c:pt>
                <c:pt idx="160">
                  <c:v>60</c:v>
                </c:pt>
              </c:strCache>
            </c:strRef>
          </c:cat>
          <c:val>
            <c:numRef>
              <c:f>Diagrammdaten!$G$128:$G$288</c:f>
              <c:numCache>
                <c:formatCode>General</c:formatCode>
                <c:ptCount val="1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652-4AA2-A5E5-E42C5A32E2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80001"/>
        <c:axId val="50080002"/>
      </c:areaChart>
      <c:scatterChart>
        <c:scatterStyle val="lineMarker"/>
        <c:varyColors val="0"/>
        <c:ser>
          <c:idx val="5"/>
          <c:order val="5"/>
          <c:tx>
            <c:v>Phasengrenze Gemisch (Tau-/Blasenlinie)</c:v>
          </c:tx>
          <c:spPr>
            <a:ln w="22225">
              <a:solidFill>
                <a:srgbClr val="CA220E"/>
              </a:solidFill>
            </a:ln>
          </c:spPr>
          <c:marker>
            <c:symbol val="none"/>
          </c:marker>
          <c:xVal>
            <c:numRef>
              <c:f>Diagrammdaten!$M$8:$M$77</c:f>
              <c:numCache>
                <c:formatCode>General</c:formatCode>
                <c:ptCount val="7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1.2286411329180424</c:v>
                </c:pt>
                <c:pt idx="13">
                  <c:v>7.3406945606612055</c:v>
                </c:pt>
                <c:pt idx="14">
                  <c:v>13.452747988404369</c:v>
                </c:pt>
                <c:pt idx="15">
                  <c:v>19.564801416147532</c:v>
                </c:pt>
                <c:pt idx="16">
                  <c:v>25.676854843890695</c:v>
                </c:pt>
                <c:pt idx="17">
                  <c:v>31.788908271633858</c:v>
                </c:pt>
                <c:pt idx="18">
                  <c:v>37.900961699377021</c:v>
                </c:pt>
                <c:pt idx="19">
                  <c:v>44.013015127120184</c:v>
                </c:pt>
                <c:pt idx="20">
                  <c:v>50.125068554863347</c:v>
                </c:pt>
                <c:pt idx="21">
                  <c:v>56.23712198260651</c:v>
                </c:pt>
                <c:pt idx="22">
                  <c:v>62.349175410349687</c:v>
                </c:pt>
                <c:pt idx="23">
                  <c:v>68.461228838092836</c:v>
                </c:pt>
                <c:pt idx="24">
                  <c:v>74.573282265836013</c:v>
                </c:pt>
                <c:pt idx="25">
                  <c:v>80.685335693579162</c:v>
                </c:pt>
                <c:pt idx="26">
                  <c:v>86.79738912132234</c:v>
                </c:pt>
                <c:pt idx="27">
                  <c:v>92.909442549065488</c:v>
                </c:pt>
                <c:pt idx="28">
                  <c:v>93.115303345344046</c:v>
                </c:pt>
                <c:pt idx="29">
                  <c:v>95.096710873183156</c:v>
                </c:pt>
                <c:pt idx="30">
                  <c:v>96.469779968250691</c:v>
                </c:pt>
                <c:pt idx="31">
                  <c:v>97.147083729487235</c:v>
                </c:pt>
                <c:pt idx="32">
                  <c:v>97.186648700233036</c:v>
                </c:pt>
                <c:pt idx="33">
                  <c:v>97.119764583582423</c:v>
                </c:pt>
                <c:pt idx="34">
                  <c:v>96.69912051454844</c:v>
                </c:pt>
                <c:pt idx="35">
                  <c:v>96.533331288438717</c:v>
                </c:pt>
                <c:pt idx="36">
                  <c:v>96.09101257175962</c:v>
                </c:pt>
                <c:pt idx="37">
                  <c:v>95.895667133901043</c:v>
                </c:pt>
                <c:pt idx="38">
                  <c:v>95.426235986769143</c:v>
                </c:pt>
                <c:pt idx="39">
                  <c:v>94.829364704481804</c:v>
                </c:pt>
                <c:pt idx="40">
                  <c:v>93.224341909750933</c:v>
                </c:pt>
                <c:pt idx="41">
                  <c:v>92.909442549065488</c:v>
                </c:pt>
                <c:pt idx="42">
                  <c:v>87.015676743741722</c:v>
                </c:pt>
                <c:pt idx="43">
                  <c:v>81.121910938417955</c:v>
                </c:pt>
                <c:pt idx="44">
                  <c:v>75.228145133094188</c:v>
                </c:pt>
                <c:pt idx="45">
                  <c:v>69.334379327770421</c:v>
                </c:pt>
                <c:pt idx="46">
                  <c:v>63.440613522446661</c:v>
                </c:pt>
                <c:pt idx="47">
                  <c:v>57.546847717122901</c:v>
                </c:pt>
                <c:pt idx="48">
                  <c:v>51.653081911799134</c:v>
                </c:pt>
                <c:pt idx="49">
                  <c:v>45.759316106475367</c:v>
                </c:pt>
                <c:pt idx="50">
                  <c:v>39.8655503011516</c:v>
                </c:pt>
                <c:pt idx="51">
                  <c:v>33.971784495827833</c:v>
                </c:pt>
                <c:pt idx="52">
                  <c:v>28.078018690504067</c:v>
                </c:pt>
                <c:pt idx="53">
                  <c:v>22.184252885180314</c:v>
                </c:pt>
                <c:pt idx="54">
                  <c:v>16.290487079856547</c:v>
                </c:pt>
                <c:pt idx="55">
                  <c:v>10.39672127453278</c:v>
                </c:pt>
                <c:pt idx="56">
                  <c:v>4.502955469209013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</c:numCache>
            </c:numRef>
          </c:xVal>
          <c:yVal>
            <c:numRef>
              <c:f>Diagrammdaten!$K$8:$K$77</c:f>
              <c:numCache>
                <c:formatCode>General</c:formatCode>
                <c:ptCount val="70"/>
                <c:pt idx="0">
                  <c:v>5.4780051259929632</c:v>
                </c:pt>
                <c:pt idx="1">
                  <c:v>6.2465283664309963</c:v>
                </c:pt>
                <c:pt idx="2">
                  <c:v>7.094026716138905</c:v>
                </c:pt>
                <c:pt idx="3">
                  <c:v>8.0255579412624787</c:v>
                </c:pt>
                <c:pt idx="4">
                  <c:v>9.0463049806261271</c:v>
                </c:pt>
                <c:pt idx="5">
                  <c:v>10.161580260227899</c:v>
                </c:pt>
                <c:pt idx="6">
                  <c:v>11.376832494554185</c:v>
                </c:pt>
                <c:pt idx="7">
                  <c:v>12.697656236143098</c:v>
                </c:pt>
                <c:pt idx="8">
                  <c:v>14.129804656079587</c:v>
                </c:pt>
                <c:pt idx="9">
                  <c:v>15.67923451447156</c:v>
                </c:pt>
                <c:pt idx="10">
                  <c:v>17.352406968327372</c:v>
                </c:pt>
                <c:pt idx="11">
                  <c:v>19.155353708527862</c:v>
                </c:pt>
                <c:pt idx="12">
                  <c:v>21.094699875721581</c:v>
                </c:pt>
                <c:pt idx="13">
                  <c:v>23.177390130610402</c:v>
                </c:pt>
                <c:pt idx="14">
                  <c:v>25.410755922853671</c:v>
                </c:pt>
                <c:pt idx="15">
                  <c:v>27.802604003304531</c:v>
                </c:pt>
                <c:pt idx="16">
                  <c:v>30.363205999893026</c:v>
                </c:pt>
                <c:pt idx="17">
                  <c:v>33.096101826227539</c:v>
                </c:pt>
                <c:pt idx="18">
                  <c:v>36.017129110207115</c:v>
                </c:pt>
                <c:pt idx="19">
                  <c:v>39.136313339837116</c:v>
                </c:pt>
                <c:pt idx="20">
                  <c:v>42.466439159222979</c:v>
                </c:pt>
                <c:pt idx="21">
                  <c:v>46.023360530623989</c:v>
                </c:pt>
                <c:pt idx="22">
                  <c:v>49.826593298424697</c:v>
                </c:pt>
                <c:pt idx="23">
                  <c:v>53.902917038676897</c:v>
                </c:pt>
                <c:pt idx="24">
                  <c:v>58.288588500852839</c:v>
                </c:pt>
                <c:pt idx="25">
                  <c:v>63.115296932976065</c:v>
                </c:pt>
                <c:pt idx="26">
                  <c:v>68.296439810562831</c:v>
                </c:pt>
                <c:pt idx="27">
                  <c:v>74.339555460510013</c:v>
                </c:pt>
                <c:pt idx="28">
                  <c:v>74.556723930467271</c:v>
                </c:pt>
                <c:pt idx="29">
                  <c:v>76.933953502157294</c:v>
                </c:pt>
                <c:pt idx="30">
                  <c:v>78.941156502790562</c:v>
                </c:pt>
                <c:pt idx="31">
                  <c:v>80.494760566134005</c:v>
                </c:pt>
                <c:pt idx="32">
                  <c:v>80.896473762668705</c:v>
                </c:pt>
                <c:pt idx="33">
                  <c:v>81.224767037052715</c:v>
                </c:pt>
                <c:pt idx="34">
                  <c:v>81.685344406773822</c:v>
                </c:pt>
                <c:pt idx="35">
                  <c:v>81.838319578037911</c:v>
                </c:pt>
                <c:pt idx="36">
                  <c:v>82.075301596995402</c:v>
                </c:pt>
                <c:pt idx="37">
                  <c:v>82.127440129186695</c:v>
                </c:pt>
                <c:pt idx="38">
                  <c:v>82.17759431791859</c:v>
                </c:pt>
                <c:pt idx="39">
                  <c:v>82.142568673071494</c:v>
                </c:pt>
                <c:pt idx="40">
                  <c:v>81.790286378469247</c:v>
                </c:pt>
                <c:pt idx="41">
                  <c:v>81.686326049855197</c:v>
                </c:pt>
                <c:pt idx="42">
                  <c:v>79.403896306172044</c:v>
                </c:pt>
                <c:pt idx="43">
                  <c:v>76.706643047108898</c:v>
                </c:pt>
                <c:pt idx="44">
                  <c:v>73.917273160672508</c:v>
                </c:pt>
                <c:pt idx="45">
                  <c:v>71.162241328121723</c:v>
                </c:pt>
                <c:pt idx="46">
                  <c:v>68.499105449613097</c:v>
                </c:pt>
                <c:pt idx="47">
                  <c:v>65.950868682966799</c:v>
                </c:pt>
                <c:pt idx="48">
                  <c:v>63.532027644965225</c:v>
                </c:pt>
                <c:pt idx="49">
                  <c:v>61.252710857907914</c:v>
                </c:pt>
                <c:pt idx="50">
                  <c:v>59.119111530194637</c:v>
                </c:pt>
                <c:pt idx="51">
                  <c:v>57.135698205735828</c:v>
                </c:pt>
                <c:pt idx="52">
                  <c:v>55.304834874033894</c:v>
                </c:pt>
                <c:pt idx="53">
                  <c:v>53.628494465250789</c:v>
                </c:pt>
                <c:pt idx="54">
                  <c:v>52.108566858257042</c:v>
                </c:pt>
                <c:pt idx="55">
                  <c:v>50.747017816934239</c:v>
                </c:pt>
                <c:pt idx="56">
                  <c:v>49.546046180813249</c:v>
                </c:pt>
                <c:pt idx="57">
                  <c:v>48.508227960961797</c:v>
                </c:pt>
                <c:pt idx="58">
                  <c:v>47.636678138918917</c:v>
                </c:pt>
                <c:pt idx="59">
                  <c:v>46.935238191457664</c:v>
                </c:pt>
                <c:pt idx="60">
                  <c:v>46.40892779619076</c:v>
                </c:pt>
                <c:pt idx="61">
                  <c:v>46.063863329321116</c:v>
                </c:pt>
                <c:pt idx="62">
                  <c:v>45.907235940758852</c:v>
                </c:pt>
                <c:pt idx="63">
                  <c:v>45.948412119295952</c:v>
                </c:pt>
                <c:pt idx="64">
                  <c:v>46.199065481880361</c:v>
                </c:pt>
                <c:pt idx="65">
                  <c:v>46.673734775122661</c:v>
                </c:pt>
                <c:pt idx="66">
                  <c:v>47.390529862815043</c:v>
                </c:pt>
                <c:pt idx="67">
                  <c:v>48.372032320327683</c:v>
                </c:pt>
                <c:pt idx="68">
                  <c:v>49.646459563221228</c:v>
                </c:pt>
                <c:pt idx="69">
                  <c:v>51.249178858911719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652-4AA2-A5E5-E42C5A32E27A}"/>
            </c:ext>
          </c:extLst>
        </c:ser>
        <c:ser>
          <c:idx val="17"/>
          <c:order val="6"/>
          <c:tx>
            <c:v>Beschriftung Phasengebiete E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de-DE"/>
                      <a:t>flüssig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652-4AA2-A5E5-E42C5A32E27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de-DE"/>
                      <a:t>überkritisch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652-4AA2-A5E5-E42C5A32E27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de-DE"/>
                      <a:t>gasförmig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652-4AA2-A5E5-E42C5A32E27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de-DE"/>
                      <a:t>zweiphasig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652-4AA2-A5E5-E42C5A32E27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CA220E"/>
                        </a:solidFill>
                      </a:rPr>
                      <a:t>zweiphasig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652-4AA2-A5E5-E42C5A32E27A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Diagrammdaten!$M$394:$M$397</c:f>
              <c:numCache>
                <c:formatCode>General</c:formatCode>
                <c:ptCount val="4"/>
                <c:pt idx="0">
                  <c:v>41</c:v>
                </c:pt>
                <c:pt idx="1">
                  <c:v>131</c:v>
                </c:pt>
                <c:pt idx="2">
                  <c:v>131</c:v>
                </c:pt>
                <c:pt idx="3">
                  <c:v>17</c:v>
                </c:pt>
              </c:numCache>
            </c:numRef>
          </c:xVal>
          <c:yVal>
            <c:numRef>
              <c:f>Diagrammdaten!$K$394:$K$397</c:f>
              <c:numCache>
                <c:formatCode>General</c:formatCode>
                <c:ptCount val="4"/>
                <c:pt idx="0">
                  <c:v>105</c:v>
                </c:pt>
                <c:pt idx="1">
                  <c:v>120</c:v>
                </c:pt>
                <c:pt idx="2">
                  <c:v>25</c:v>
                </c:pt>
                <c:pt idx="3">
                  <c:v>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A652-4AA2-A5E5-E42C5A32E27A}"/>
            </c:ext>
          </c:extLst>
        </c:ser>
        <c:ser>
          <c:idx val="6"/>
          <c:order val="7"/>
          <c:tx>
            <c:v>Sättigungslinie reines CO₂ (Vergleich)</c:v>
          </c:tx>
          <c:spPr>
            <a:ln w="12700" cap="rnd">
              <a:solidFill>
                <a:srgbClr val="808080"/>
              </a:solidFill>
              <a:round/>
            </a:ln>
          </c:spPr>
          <c:marker>
            <c:symbol val="none"/>
          </c:marker>
          <c:xVal>
            <c:numRef>
              <c:f>Diagrammdaten!$M$256:$M$296</c:f>
              <c:numCache>
                <c:formatCode>General</c:formatCode>
                <c:ptCount val="4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2.2889200025337004</c:v>
                </c:pt>
                <c:pt idx="18">
                  <c:v>6.6656800026827341</c:v>
                </c:pt>
                <c:pt idx="19">
                  <c:v>11.042440002831768</c:v>
                </c:pt>
                <c:pt idx="20">
                  <c:v>15.419200002980801</c:v>
                </c:pt>
                <c:pt idx="21">
                  <c:v>19.795960003129835</c:v>
                </c:pt>
                <c:pt idx="22">
                  <c:v>24.172720003278869</c:v>
                </c:pt>
                <c:pt idx="23">
                  <c:v>28.549480003427902</c:v>
                </c:pt>
                <c:pt idx="24">
                  <c:v>32.926240003576936</c:v>
                </c:pt>
                <c:pt idx="25">
                  <c:v>37.30300000372597</c:v>
                </c:pt>
                <c:pt idx="26">
                  <c:v>41.679760003875003</c:v>
                </c:pt>
                <c:pt idx="27">
                  <c:v>46.056520004024037</c:v>
                </c:pt>
                <c:pt idx="28">
                  <c:v>50.433280004173071</c:v>
                </c:pt>
                <c:pt idx="29">
                  <c:v>54.810040004322104</c:v>
                </c:pt>
                <c:pt idx="30">
                  <c:v>59.186800004471138</c:v>
                </c:pt>
                <c:pt idx="31">
                  <c:v>63.563560004620172</c:v>
                </c:pt>
                <c:pt idx="32">
                  <c:v>67.940320004769205</c:v>
                </c:pt>
                <c:pt idx="33">
                  <c:v>72.317080004918239</c:v>
                </c:pt>
                <c:pt idx="34">
                  <c:v>76.693840005067273</c:v>
                </c:pt>
                <c:pt idx="35">
                  <c:v>81.070600005216306</c:v>
                </c:pt>
                <c:pt idx="36">
                  <c:v>85.44736000536534</c:v>
                </c:pt>
                <c:pt idx="37">
                  <c:v>89.824120005514374</c:v>
                </c:pt>
                <c:pt idx="38">
                  <c:v>94.200880005663407</c:v>
                </c:pt>
                <c:pt idx="39">
                  <c:v>98.577640005812441</c:v>
                </c:pt>
                <c:pt idx="40">
                  <c:v>102.95440000596147</c:v>
                </c:pt>
              </c:numCache>
            </c:numRef>
          </c:xVal>
          <c:yVal>
            <c:numRef>
              <c:f>Diagrammdaten!$K$256:$K$296</c:f>
              <c:numCache>
                <c:formatCode>General</c:formatCode>
                <c:ptCount val="41"/>
                <c:pt idx="0">
                  <c:v>5.179643433349451</c:v>
                </c:pt>
                <c:pt idx="1">
                  <c:v>5.690561898357319</c:v>
                </c:pt>
                <c:pt idx="2">
                  <c:v>6.2385925725646123</c:v>
                </c:pt>
                <c:pt idx="3">
                  <c:v>6.825395560929695</c:v>
                </c:pt>
                <c:pt idx="4">
                  <c:v>7.4526521748979997</c:v>
                </c:pt>
                <c:pt idx="5">
                  <c:v>8.1220643662310241</c:v>
                </c:pt>
                <c:pt idx="6">
                  <c:v>8.8353543202131775</c:v>
                </c:pt>
                <c:pt idx="7">
                  <c:v>9.5942642191494194</c:v>
                </c:pt>
                <c:pt idx="8">
                  <c:v>10.400556183845032</c:v>
                </c:pt>
                <c:pt idx="9">
                  <c:v>11.256012395801237</c:v>
                </c:pt>
                <c:pt idx="10">
                  <c:v>12.162435399008638</c:v>
                </c:pt>
                <c:pt idx="11">
                  <c:v>13.12164858209297</c:v>
                </c:pt>
                <c:pt idx="12">
                  <c:v>14.135496853100509</c:v>
                </c:pt>
                <c:pt idx="13">
                  <c:v>15.205847540490653</c:v>
                </c:pt>
                <c:pt idx="14">
                  <c:v>16.334591579694806</c:v>
                </c:pt>
                <c:pt idx="15">
                  <c:v>17.523645066186731</c:v>
                </c:pt>
                <c:pt idx="16">
                  <c:v>18.774951265593533</c:v>
                </c:pt>
                <c:pt idx="17">
                  <c:v>20.09048316632229</c:v>
                </c:pt>
                <c:pt idx="18">
                  <c:v>21.472246644534383</c:v>
                </c:pt>
                <c:pt idx="19">
                  <c:v>22.922284294019239</c:v>
                </c:pt>
                <c:pt idx="20">
                  <c:v>24.442679965043133</c:v>
                </c:pt>
                <c:pt idx="21">
                  <c:v>26.035564065652519</c:v>
                </c:pt>
                <c:pt idx="22">
                  <c:v>27.703119713043016</c:v>
                </c:pt>
                <c:pt idx="23">
                  <c:v>29.447589887066314</c:v>
                </c:pt>
                <c:pt idx="24">
                  <c:v>31.271285838462976</c:v>
                </c:pt>
                <c:pt idx="25">
                  <c:v>33.176597146455947</c:v>
                </c:pt>
                <c:pt idx="26">
                  <c:v>35.166004004476882</c:v>
                </c:pt>
                <c:pt idx="27">
                  <c:v>37.242092524682882</c:v>
                </c:pt>
                <c:pt idx="28">
                  <c:v>39.40757405146131</c:v>
                </c:pt>
                <c:pt idx="29">
                  <c:v>41.665309602075148</c:v>
                </c:pt>
                <c:pt idx="30">
                  <c:v>44.018340595742728</c:v>
                </c:pt>
                <c:pt idx="31">
                  <c:v>46.46992720935107</c:v>
                </c:pt>
                <c:pt idx="32">
                  <c:v>49.023596810330844</c:v>
                </c:pt>
                <c:pt idx="33">
                  <c:v>51.683208775895139</c:v>
                </c:pt>
                <c:pt idx="34">
                  <c:v>54.453051446377017</c:v>
                </c:pt>
                <c:pt idx="35">
                  <c:v>57.338004121264795</c:v>
                </c:pt>
                <c:pt idx="36">
                  <c:v>60.343818172330835</c:v>
                </c:pt>
                <c:pt idx="37">
                  <c:v>63.4775854036277</c:v>
                </c:pt>
                <c:pt idx="38">
                  <c:v>66.748524248563641</c:v>
                </c:pt>
                <c:pt idx="39">
                  <c:v>70.169980059503217</c:v>
                </c:pt>
                <c:pt idx="40">
                  <c:v>73.771278108842608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652-4AA2-A5E5-E42C5A32E27A}"/>
            </c:ext>
          </c:extLst>
        </c:ser>
        <c:ser>
          <c:idx val="7"/>
          <c:order val="8"/>
          <c:tx>
            <c:v>Blasenlinie + 3 bar (sicher flüssig)</c:v>
          </c:tx>
          <c:spPr>
            <a:ln w="12700" cap="rnd">
              <a:solidFill>
                <a:srgbClr val="CA220E"/>
              </a:solidFill>
              <a:prstDash val="dash"/>
              <a:round/>
            </a:ln>
          </c:spPr>
          <c:marker>
            <c:symbol val="none"/>
          </c:marker>
          <c:xVal>
            <c:numRef>
              <c:f>Diagrammdaten!$M$298:$M$327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3.559743678935547</c:v>
                </c:pt>
                <c:pt idx="14">
                  <c:v>9.3809547311613528</c:v>
                </c:pt>
                <c:pt idx="15">
                  <c:v>15.202165783387159</c:v>
                </c:pt>
                <c:pt idx="16">
                  <c:v>21.023376835612964</c:v>
                </c:pt>
                <c:pt idx="17">
                  <c:v>26.84458788783877</c:v>
                </c:pt>
                <c:pt idx="18">
                  <c:v>32.665798940064576</c:v>
                </c:pt>
                <c:pt idx="19">
                  <c:v>38.487009992290382</c:v>
                </c:pt>
                <c:pt idx="20">
                  <c:v>44.308221044516188</c:v>
                </c:pt>
                <c:pt idx="21">
                  <c:v>50.129432096741994</c:v>
                </c:pt>
                <c:pt idx="22">
                  <c:v>55.950643148967799</c:v>
                </c:pt>
                <c:pt idx="23">
                  <c:v>61.771854201193605</c:v>
                </c:pt>
                <c:pt idx="24">
                  <c:v>67.593065253419411</c:v>
                </c:pt>
                <c:pt idx="25">
                  <c:v>73.414276305645217</c:v>
                </c:pt>
                <c:pt idx="26">
                  <c:v>79.235487357871023</c:v>
                </c:pt>
                <c:pt idx="27">
                  <c:v>85.056698410096828</c:v>
                </c:pt>
                <c:pt idx="28">
                  <c:v>90.877909462322634</c:v>
                </c:pt>
                <c:pt idx="29">
                  <c:v>96.69912051454844</c:v>
                </c:pt>
              </c:numCache>
            </c:numRef>
          </c:xVal>
          <c:yVal>
            <c:numRef>
              <c:f>Diagrammdaten!$K$298:$K$327</c:f>
              <c:numCache>
                <c:formatCode>General</c:formatCode>
                <c:ptCount val="30"/>
                <c:pt idx="0">
                  <c:v>54.249178858911719</c:v>
                </c:pt>
                <c:pt idx="1">
                  <c:v>52.664363407576069</c:v>
                </c:pt>
                <c:pt idx="2">
                  <c:v>51.40003231788009</c:v>
                </c:pt>
                <c:pt idx="3">
                  <c:v>50.422039629483656</c:v>
                </c:pt>
                <c:pt idx="4">
                  <c:v>49.703056462019831</c:v>
                </c:pt>
                <c:pt idx="5">
                  <c:v>49.221145655561216</c:v>
                </c:pt>
                <c:pt idx="6">
                  <c:v>48.959101170097277</c:v>
                </c:pt>
                <c:pt idx="7">
                  <c:v>48.902828994722412</c:v>
                </c:pt>
                <c:pt idx="8">
                  <c:v>49.040237729303101</c:v>
                </c:pt>
                <c:pt idx="9">
                  <c:v>49.362146363389712</c:v>
                </c:pt>
                <c:pt idx="10">
                  <c:v>49.861173471192402</c:v>
                </c:pt>
                <c:pt idx="11">
                  <c:v>50.531397928398562</c:v>
                </c:pt>
                <c:pt idx="12">
                  <c:v>51.368765341961051</c:v>
                </c:pt>
                <c:pt idx="13">
                  <c:v>52.368889762331087</c:v>
                </c:pt>
                <c:pt idx="14">
                  <c:v>53.528518650089161</c:v>
                </c:pt>
                <c:pt idx="15">
                  <c:v>54.845101014529511</c:v>
                </c:pt>
                <c:pt idx="16">
                  <c:v>56.316468002074117</c:v>
                </c:pt>
                <c:pt idx="17">
                  <c:v>57.940872900767133</c:v>
                </c:pt>
                <c:pt idx="18">
                  <c:v>59.716932633410508</c:v>
                </c:pt>
                <c:pt idx="19">
                  <c:v>61.642103419846549</c:v>
                </c:pt>
                <c:pt idx="20">
                  <c:v>63.71401451613437</c:v>
                </c:pt>
                <c:pt idx="21">
                  <c:v>65.929211829067867</c:v>
                </c:pt>
                <c:pt idx="22">
                  <c:v>68.282233623562746</c:v>
                </c:pt>
                <c:pt idx="23">
                  <c:v>70.764954852547746</c:v>
                </c:pt>
                <c:pt idx="24">
                  <c:v>73.364513310303693</c:v>
                </c:pt>
                <c:pt idx="25">
                  <c:v>76.061587611447692</c:v>
                </c:pt>
                <c:pt idx="26">
                  <c:v>78.81922862244744</c:v>
                </c:pt>
                <c:pt idx="27">
                  <c:v>81.507379398410805</c:v>
                </c:pt>
                <c:pt idx="28">
                  <c:v>84.006386183492225</c:v>
                </c:pt>
                <c:pt idx="29">
                  <c:v>84.685344406773822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652-4AA2-A5E5-E42C5A32E27A}"/>
            </c:ext>
          </c:extLst>
        </c:ser>
        <c:ser>
          <c:idx val="8"/>
          <c:order val="9"/>
          <c:tx>
            <c:v>Taulinie − 3 bar (sicher gasförmig)</c:v>
          </c:tx>
          <c:spPr>
            <a:ln w="12700" cap="rnd">
              <a:solidFill>
                <a:srgbClr val="CA220E"/>
              </a:solidFill>
              <a:prstDash val="dash"/>
              <a:round/>
            </a:ln>
          </c:spPr>
          <c:marker>
            <c:symbol val="none"/>
          </c:marker>
          <c:xVal>
            <c:numRef>
              <c:f>Diagrammdaten!$M$329:$M$358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3.7782907966562362</c:v>
                </c:pt>
                <c:pt idx="14">
                  <c:v>9.6163131656297764</c:v>
                </c:pt>
                <c:pt idx="15">
                  <c:v>15.454335534603331</c:v>
                </c:pt>
                <c:pt idx="16">
                  <c:v>21.292357903576885</c:v>
                </c:pt>
                <c:pt idx="17">
                  <c:v>27.13038027255044</c:v>
                </c:pt>
                <c:pt idx="18">
                  <c:v>32.968402641523994</c:v>
                </c:pt>
                <c:pt idx="19">
                  <c:v>38.806425010497534</c:v>
                </c:pt>
                <c:pt idx="20">
                  <c:v>44.644447379471089</c:v>
                </c:pt>
                <c:pt idx="21">
                  <c:v>50.482469748444643</c:v>
                </c:pt>
                <c:pt idx="22">
                  <c:v>56.320492117418183</c:v>
                </c:pt>
                <c:pt idx="23">
                  <c:v>62.158514486391738</c:v>
                </c:pt>
                <c:pt idx="24">
                  <c:v>67.996536855365292</c:v>
                </c:pt>
                <c:pt idx="25">
                  <c:v>73.834559224338847</c:v>
                </c:pt>
                <c:pt idx="26">
                  <c:v>79.672581593312401</c:v>
                </c:pt>
                <c:pt idx="27">
                  <c:v>85.510603962285956</c:v>
                </c:pt>
                <c:pt idx="28">
                  <c:v>91.348626331259482</c:v>
                </c:pt>
                <c:pt idx="29">
                  <c:v>97.186648700233036</c:v>
                </c:pt>
              </c:numCache>
            </c:numRef>
          </c:xVal>
          <c:yVal>
            <c:numRef>
              <c:f>Diagrammdaten!$K$329:$K$358</c:f>
              <c:numCache>
                <c:formatCode>General</c:formatCode>
                <c:ptCount val="30"/>
                <c:pt idx="0">
                  <c:v>2.4780051259929632</c:v>
                </c:pt>
                <c:pt idx="1">
                  <c:v>3.2104599332675336</c:v>
                </c:pt>
                <c:pt idx="2">
                  <c:v>4.0147345983788778</c:v>
                </c:pt>
                <c:pt idx="3">
                  <c:v>4.8949818046756448</c:v>
                </c:pt>
                <c:pt idx="4">
                  <c:v>5.8564245962950601</c:v>
                </c:pt>
                <c:pt idx="5">
                  <c:v>6.9029427794701999</c:v>
                </c:pt>
                <c:pt idx="6">
                  <c:v>8.0394947701484778</c:v>
                </c:pt>
                <c:pt idx="7">
                  <c:v>9.2713091561138921</c:v>
                </c:pt>
                <c:pt idx="8">
                  <c:v>10.603085389059821</c:v>
                </c:pt>
                <c:pt idx="9">
                  <c:v>12.039852172418426</c:v>
                </c:pt>
                <c:pt idx="10">
                  <c:v>13.586873765952987</c:v>
                </c:pt>
                <c:pt idx="11">
                  <c:v>15.249592936904534</c:v>
                </c:pt>
                <c:pt idx="12">
                  <c:v>17.033658727159636</c:v>
                </c:pt>
                <c:pt idx="13">
                  <c:v>18.945376817165933</c:v>
                </c:pt>
                <c:pt idx="14">
                  <c:v>20.990785665133657</c:v>
                </c:pt>
                <c:pt idx="15">
                  <c:v>23.176208762572006</c:v>
                </c:pt>
                <c:pt idx="16">
                  <c:v>25.508607393240041</c:v>
                </c:pt>
                <c:pt idx="17">
                  <c:v>27.995474228307575</c:v>
                </c:pt>
                <c:pt idx="18">
                  <c:v>30.644973518769611</c:v>
                </c:pt>
                <c:pt idx="19">
                  <c:v>33.466550208449242</c:v>
                </c:pt>
                <c:pt idx="20">
                  <c:v>36.470502620113258</c:v>
                </c:pt>
                <c:pt idx="21">
                  <c:v>39.668178690413654</c:v>
                </c:pt>
                <c:pt idx="22">
                  <c:v>43.073587576943865</c:v>
                </c:pt>
                <c:pt idx="23">
                  <c:v>46.703908661604409</c:v>
                </c:pt>
                <c:pt idx="24">
                  <c:v>50.58211318954023</c:v>
                </c:pt>
                <c:pt idx="25">
                  <c:v>54.739597871776695</c:v>
                </c:pt>
                <c:pt idx="26">
                  <c:v>59.295247173517502</c:v>
                </c:pt>
                <c:pt idx="27">
                  <c:v>64.156072857380096</c:v>
                </c:pt>
                <c:pt idx="28">
                  <c:v>69.693005578099459</c:v>
                </c:pt>
                <c:pt idx="29">
                  <c:v>77.896473762668705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652-4AA2-A5E5-E42C5A32E27A}"/>
            </c:ext>
          </c:extLst>
        </c:ser>
        <c:ser>
          <c:idx val="12"/>
          <c:order val="10"/>
          <c:tx>
            <c:v>Kritischer Punkt Gemisch</c:v>
          </c:tx>
          <c:spPr>
            <a:ln>
              <a:noFill/>
            </a:ln>
          </c:spPr>
          <c:marker>
            <c:symbol val="circle"/>
            <c:size val="8"/>
            <c:spPr>
              <a:solidFill>
                <a:srgbClr val="CA220E"/>
              </a:solidFill>
              <a:ln>
                <a:solidFill>
                  <a:srgbClr val="CA220E"/>
                </a:solidFill>
              </a:ln>
            </c:spPr>
          </c:marker>
          <c:xVal>
            <c:numRef>
              <c:f>Diagrammdaten!$M$123</c:f>
              <c:numCache>
                <c:formatCode>General</c:formatCode>
                <c:ptCount val="1"/>
                <c:pt idx="0">
                  <c:v>96.909442549065488</c:v>
                </c:pt>
              </c:numCache>
            </c:numRef>
          </c:xVal>
          <c:yVal>
            <c:numRef>
              <c:f>Diagrammdaten!$K$123</c:f>
              <c:numCache>
                <c:formatCode>General</c:formatCode>
                <c:ptCount val="1"/>
                <c:pt idx="0">
                  <c:v>81.455055721913254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A652-4AA2-A5E5-E42C5A32E27A}"/>
            </c:ext>
          </c:extLst>
        </c:ser>
        <c:ser>
          <c:idx val="13"/>
          <c:order val="11"/>
          <c:tx>
            <c:v>S1: Pumpe</c:v>
          </c:tx>
          <c:spPr>
            <a:ln w="34925">
              <a:solidFill>
                <a:srgbClr val="007335"/>
              </a:solidFill>
            </a:ln>
          </c:spPr>
          <c:marker>
            <c:symbol val="diamond"/>
            <c:size val="8"/>
            <c:spPr>
              <a:solidFill>
                <a:srgbClr val="007335"/>
              </a:solidFill>
              <a:ln>
                <a:solidFill>
                  <a:srgbClr val="007335"/>
                </a:solidFill>
              </a:ln>
            </c:spPr>
          </c:marker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 b="1">
                        <a:solidFill>
                          <a:srgbClr val="404040"/>
                        </a:solidFill>
                      </a:defRPr>
                    </a:pPr>
                    <a:r>
                      <a:rPr lang="de-DE"/>
                      <a:t>S1 Netzübergabe
91 bar / 15 °C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A652-4AA2-A5E5-E42C5A32E27A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 b="1">
                        <a:solidFill>
                          <a:srgbClr val="404040"/>
                        </a:solidFill>
                      </a:defRPr>
                    </a:pPr>
                    <a:r>
                      <a:rPr lang="de-DE"/>
                      <a:t>Pumpe → Bohrlochkopf
114,9 bar / 18,4 °C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A652-4AA2-A5E5-E42C5A32E27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Diagrammdaten!$M$125:$M$126</c:f>
              <c:numCache>
                <c:formatCode>General</c:formatCode>
                <c:ptCount val="2"/>
                <c:pt idx="0">
                  <c:v>71</c:v>
                </c:pt>
                <c:pt idx="1">
                  <c:v>77.791238453403778</c:v>
                </c:pt>
              </c:numCache>
            </c:numRef>
          </c:xVal>
          <c:yVal>
            <c:numRef>
              <c:f>Diagrammdaten!$K$125:$K$126</c:f>
              <c:numCache>
                <c:formatCode>General</c:formatCode>
                <c:ptCount val="2"/>
                <c:pt idx="0">
                  <c:v>91</c:v>
                </c:pt>
                <c:pt idx="1">
                  <c:v>114.93130198208927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A652-4AA2-A5E5-E42C5A32E2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080001"/>
        <c:axId val="60080002"/>
      </c:scatterChart>
      <c:catAx>
        <c:axId val="5008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aseline="0"/>
                </a:pPr>
                <a:r>
                  <a:rPr lang="en-US" sz="1000" baseline="0"/>
                  <a:t>Temperatur [°C]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900" baseline="0"/>
            </a:pPr>
            <a:endParaRPr lang="en-US"/>
          </a:p>
        </c:txPr>
        <c:crossAx val="50080002"/>
        <c:crosses val="autoZero"/>
        <c:auto val="1"/>
        <c:lblAlgn val="ctr"/>
        <c:lblOffset val="100"/>
        <c:tickLblSkip val="40"/>
        <c:tickMarkSkip val="40"/>
        <c:noMultiLvlLbl val="0"/>
      </c:catAx>
      <c:valAx>
        <c:axId val="50080002"/>
        <c:scaling>
          <c:orientation val="minMax"/>
          <c:max val="130"/>
          <c:min val="0"/>
        </c:scaling>
        <c:delete val="0"/>
        <c:axPos val="l"/>
        <c:majorGridlines>
          <c:spPr>
            <a:ln w="6350">
              <a:solidFill>
                <a:srgbClr val="FFFFFF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aseline="0"/>
                </a:pPr>
                <a:r>
                  <a:rPr lang="en-US" sz="1000" baseline="0"/>
                  <a:t>Druck [bar]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80001"/>
        <c:crossesAt val="1"/>
        <c:crossBetween val="between"/>
        <c:majorUnit val="10"/>
      </c:valAx>
      <c:valAx>
        <c:axId val="60080002"/>
        <c:scaling>
          <c:orientation val="minMax"/>
          <c:max val="130"/>
          <c:min val="0"/>
        </c:scaling>
        <c:delete val="1"/>
        <c:axPos val="r"/>
        <c:numFmt formatCode="General" sourceLinked="1"/>
        <c:majorTickMark val="out"/>
        <c:minorTickMark val="none"/>
        <c:tickLblPos val="nextTo"/>
        <c:crossAx val="60080001"/>
        <c:crosses val="max"/>
        <c:crossBetween val="midCat"/>
      </c:valAx>
      <c:valAx>
        <c:axId val="6008000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60080002"/>
        <c:crosses val="autoZero"/>
        <c:crossBetween val="midCat"/>
      </c:valAx>
    </c:plotArea>
    <c:legend>
      <c:legendPos val="r"/>
      <c:legendEntry>
        <c:idx val="6"/>
        <c:delete val="1"/>
      </c:legendEntry>
      <c:overlay val="0"/>
      <c:txPr>
        <a:bodyPr/>
        <a:lstStyle/>
        <a:p>
          <a:pPr>
            <a:defRPr sz="900" baseline="0"/>
          </a:pPr>
          <a:endParaRPr lang="en-US"/>
        </a:p>
      </c:txPr>
    </c:legend>
    <c:plotVisOnly val="1"/>
    <c:dispBlanksAs val="zero"/>
    <c:showDLblsOverMax val="0"/>
  </c:chart>
  <c:spPr>
    <a:ln>
      <a:solidFill>
        <a:srgbClr val="BFBFBF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1">
                <a:solidFill>
                  <a:srgbClr val="00304F"/>
                </a:solidFill>
              </a:defRPr>
            </a:pPr>
            <a:r>
              <a:rPr lang="de-DE"/>
              <a:t>Spezifische Arbeit bis zum Bohrlochkopf [kJ/kg]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'Einspeicherung S2'!$D$74</c:f>
              <c:strCache>
                <c:ptCount val="1"/>
                <c:pt idx="0">
                  <c:v>Verdichter 1. Stufe</c:v>
                </c:pt>
              </c:strCache>
            </c:strRef>
          </c:tx>
          <c:spPr>
            <a:solidFill>
              <a:srgbClr val="EE7203"/>
            </a:solidFill>
          </c:spPr>
          <c:invertIfNegative val="0"/>
          <c:cat>
            <c:strRef>
              <c:f>'Einspeicherung S2'!$C$75:$C$78</c:f>
              <c:strCache>
                <c:ptCount val="4"/>
                <c:pt idx="0">
                  <c:v>S1: Pumpe</c:v>
                </c:pt>
                <c:pt idx="1">
                  <c:v>S2 gewählt (B)</c:v>
                </c:pt>
                <c:pt idx="2">
                  <c:v>Alternative A: verflüssigen</c:v>
                </c:pt>
                <c:pt idx="3">
                  <c:v>Alternative C: durchverdichten</c:v>
                </c:pt>
              </c:strCache>
            </c:strRef>
          </c:cat>
          <c:val>
            <c:numRef>
              <c:f>'Einspeicherung S2'!$D$75:$D$78</c:f>
              <c:numCache>
                <c:formatCode>0.00</c:formatCode>
                <c:ptCount val="4"/>
                <c:pt idx="0">
                  <c:v>0</c:v>
                </c:pt>
                <c:pt idx="1">
                  <c:v>29.357183000604437</c:v>
                </c:pt>
                <c:pt idx="2">
                  <c:v>28.11953813276341</c:v>
                </c:pt>
                <c:pt idx="3">
                  <c:v>31.751301030879631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A79-495E-AD60-D1A875467551}"/>
            </c:ext>
          </c:extLst>
        </c:ser>
        <c:ser>
          <c:idx val="1"/>
          <c:order val="1"/>
          <c:tx>
            <c:strRef>
              <c:f>'Einspeicherung S2'!$E$74</c:f>
              <c:strCache>
                <c:ptCount val="1"/>
                <c:pt idx="0">
                  <c:v>Verdichter 2. Stufe</c:v>
                </c:pt>
              </c:strCache>
            </c:strRef>
          </c:tx>
          <c:spPr>
            <a:solidFill>
              <a:srgbClr val="F4B183"/>
            </a:solidFill>
          </c:spPr>
          <c:invertIfNegative val="0"/>
          <c:cat>
            <c:strRef>
              <c:f>'Einspeicherung S2'!$C$75:$C$78</c:f>
              <c:strCache>
                <c:ptCount val="4"/>
                <c:pt idx="0">
                  <c:v>S1: Pumpe</c:v>
                </c:pt>
                <c:pt idx="1">
                  <c:v>S2 gewählt (B)</c:v>
                </c:pt>
                <c:pt idx="2">
                  <c:v>Alternative A: verflüssigen</c:v>
                </c:pt>
                <c:pt idx="3">
                  <c:v>Alternative C: durchverdichten</c:v>
                </c:pt>
              </c:strCache>
            </c:strRef>
          </c:cat>
          <c:val>
            <c:numRef>
              <c:f>'Einspeicherung S2'!$E$75:$E$78</c:f>
              <c:numCache>
                <c:formatCode>0.00</c:formatCode>
                <c:ptCount val="4"/>
                <c:pt idx="0">
                  <c:v>0</c:v>
                </c:pt>
                <c:pt idx="1">
                  <c:v>32.368303654819385</c:v>
                </c:pt>
                <c:pt idx="2">
                  <c:v>24.794489797663005</c:v>
                </c:pt>
                <c:pt idx="3">
                  <c:v>43.13970004782044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A79-495E-AD60-D1A875467551}"/>
            </c:ext>
          </c:extLst>
        </c:ser>
        <c:ser>
          <c:idx val="2"/>
          <c:order val="2"/>
          <c:tx>
            <c:strRef>
              <c:f>'Einspeicherung S2'!$F$74</c:f>
              <c:strCache>
                <c:ptCount val="1"/>
                <c:pt idx="0">
                  <c:v>Pumpe</c:v>
                </c:pt>
              </c:strCache>
            </c:strRef>
          </c:tx>
          <c:spPr>
            <a:solidFill>
              <a:srgbClr val="007335"/>
            </a:solidFill>
          </c:spPr>
          <c:invertIfNegative val="0"/>
          <c:cat>
            <c:strRef>
              <c:f>'Einspeicherung S2'!$C$75:$C$78</c:f>
              <c:strCache>
                <c:ptCount val="4"/>
                <c:pt idx="0">
                  <c:v>S1: Pumpe</c:v>
                </c:pt>
                <c:pt idx="1">
                  <c:v>S2 gewählt (B)</c:v>
                </c:pt>
                <c:pt idx="2">
                  <c:v>Alternative A: verflüssigen</c:v>
                </c:pt>
                <c:pt idx="3">
                  <c:v>Alternative C: durchverdichten</c:v>
                </c:pt>
              </c:strCache>
            </c:strRef>
          </c:cat>
          <c:val>
            <c:numRef>
              <c:f>'Einspeicherung S2'!$F$75:$F$78</c:f>
              <c:numCache>
                <c:formatCode>0.00</c:formatCode>
                <c:ptCount val="4"/>
                <c:pt idx="0">
                  <c:v>3.7235121065057797</c:v>
                </c:pt>
                <c:pt idx="1">
                  <c:v>4.4414613289754925</c:v>
                </c:pt>
                <c:pt idx="2">
                  <c:v>6.0348335753491256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A79-495E-AD60-D1A875467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2111042576"/>
        <c:axId val="1479758832"/>
      </c:barChart>
      <c:catAx>
        <c:axId val="211104257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crossAx val="1479758832"/>
        <c:crosses val="autoZero"/>
        <c:auto val="1"/>
        <c:lblAlgn val="ctr"/>
        <c:lblOffset val="100"/>
        <c:noMultiLvlLbl val="0"/>
      </c:catAx>
      <c:valAx>
        <c:axId val="1479758832"/>
        <c:scaling>
          <c:orientation val="minMax"/>
        </c:scaling>
        <c:delete val="0"/>
        <c:axPos val="t"/>
        <c:majorGridlines>
          <c:spPr>
            <a:ln>
              <a:solidFill>
                <a:srgbClr val="E0E0E0"/>
              </a:solidFill>
            </a:ln>
          </c:spPr>
        </c:majorGridlines>
        <c:numFmt formatCode="0.00" sourceLinked="1"/>
        <c:majorTickMark val="out"/>
        <c:minorTickMark val="none"/>
        <c:tickLblPos val="nextTo"/>
        <c:crossAx val="21110425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>
                <a:solidFill>
                  <a:srgbClr val="00304F"/>
                </a:solidFill>
              </a:defRPr>
            </a:pPr>
            <a:r>
              <a:rPr lang="en-US" sz="1200" b="1" baseline="0">
                <a:solidFill>
                  <a:srgbClr val="00304F"/>
                </a:solidFill>
              </a:rPr>
              <a:t>S2 im Phasendiagramm: verdichten, überkritisch kühlen, pumpen (Worst-Case-Gemisch)</a:t>
            </a:r>
          </a:p>
        </c:rich>
      </c:tx>
      <c:overlay val="0"/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Diagrammdaten!$D$7</c:f>
              <c:strCache>
                <c:ptCount val="1"/>
                <c:pt idx="0">
                  <c:v>gasförmig [bar]</c:v>
                </c:pt>
              </c:strCache>
            </c:strRef>
          </c:tx>
          <c:spPr>
            <a:solidFill>
              <a:srgbClr val="CFE2F3"/>
            </a:solidFill>
            <a:ln>
              <a:noFill/>
            </a:ln>
          </c:spPr>
          <c:cat>
            <c:strRef>
              <c:f>Diagrammdaten!$C$128:$C$388</c:f>
              <c:strCache>
                <c:ptCount val="241"/>
                <c:pt idx="0">
                  <c:v>-20</c:v>
                </c:pt>
                <c:pt idx="40">
                  <c:v>0</c:v>
                </c:pt>
                <c:pt idx="80">
                  <c:v>20</c:v>
                </c:pt>
                <c:pt idx="120">
                  <c:v>40</c:v>
                </c:pt>
                <c:pt idx="160">
                  <c:v>60</c:v>
                </c:pt>
                <c:pt idx="200">
                  <c:v>80</c:v>
                </c:pt>
                <c:pt idx="240">
                  <c:v>100</c:v>
                </c:pt>
              </c:strCache>
            </c:strRef>
          </c:cat>
          <c:val>
            <c:numRef>
              <c:f>Diagrammdaten!$D$128:$D$388</c:f>
              <c:numCache>
                <c:formatCode>General</c:formatCode>
                <c:ptCount val="261"/>
                <c:pt idx="0">
                  <c:v>21.019382247337123</c:v>
                </c:pt>
                <c:pt idx="1">
                  <c:v>21.349243928996074</c:v>
                </c:pt>
                <c:pt idx="2">
                  <c:v>21.682967151690651</c:v>
                </c:pt>
                <c:pt idx="3">
                  <c:v>22.020583480496693</c:v>
                </c:pt>
                <c:pt idx="4">
                  <c:v>22.362124772082222</c:v>
                </c:pt>
                <c:pt idx="5">
                  <c:v>22.707623184526081</c:v>
                </c:pt>
                <c:pt idx="6">
                  <c:v>23.057111187672984</c:v>
                </c:pt>
                <c:pt idx="7">
                  <c:v>23.410621573866361</c:v>
                </c:pt>
                <c:pt idx="8">
                  <c:v>23.768187469338002</c:v>
                </c:pt>
                <c:pt idx="9">
                  <c:v>24.12984234599627</c:v>
                </c:pt>
                <c:pt idx="10">
                  <c:v>24.495620033870402</c:v>
                </c:pt>
                <c:pt idx="11">
                  <c:v>24.865534504483001</c:v>
                </c:pt>
                <c:pt idx="12">
                  <c:v>25.239681032717183</c:v>
                </c:pt>
                <c:pt idx="13">
                  <c:v>25.618033914754317</c:v>
                </c:pt>
                <c:pt idx="14">
                  <c:v>26.000648779532593</c:v>
                </c:pt>
                <c:pt idx="15">
                  <c:v>26.387561456360864</c:v>
                </c:pt>
                <c:pt idx="16">
                  <c:v>26.77880822122118</c:v>
                </c:pt>
                <c:pt idx="17">
                  <c:v>27.174425814219134</c:v>
                </c:pt>
                <c:pt idx="18">
                  <c:v>27.574451458074829</c:v>
                </c:pt>
                <c:pt idx="19">
                  <c:v>27.978922877476542</c:v>
                </c:pt>
                <c:pt idx="20">
                  <c:v>28.387878319565097</c:v>
                </c:pt>
                <c:pt idx="21">
                  <c:v>28.801356575535983</c:v>
                </c:pt>
                <c:pt idx="22">
                  <c:v>29.21966600247509</c:v>
                </c:pt>
                <c:pt idx="23">
                  <c:v>29.644089510561468</c:v>
                </c:pt>
                <c:pt idx="24">
                  <c:v>30.069598596144392</c:v>
                </c:pt>
                <c:pt idx="25">
                  <c:v>30.503380530925153</c:v>
                </c:pt>
                <c:pt idx="26">
                  <c:v>30.937988822707315</c:v>
                </c:pt>
                <c:pt idx="27">
                  <c:v>31.379452087235325</c:v>
                </c:pt>
                <c:pt idx="28">
                  <c:v>31.82572702823888</c:v>
                </c:pt>
                <c:pt idx="29">
                  <c:v>32.276857732169212</c:v>
                </c:pt>
                <c:pt idx="30">
                  <c:v>32.732889090722054</c:v>
                </c:pt>
                <c:pt idx="31">
                  <c:v>33.193866839690045</c:v>
                </c:pt>
                <c:pt idx="32">
                  <c:v>33.659837600410995</c:v>
                </c:pt>
                <c:pt idx="33">
                  <c:v>34.130848923988133</c:v>
                </c:pt>
                <c:pt idx="34">
                  <c:v>34.606949338621241</c:v>
                </c:pt>
                <c:pt idx="35">
                  <c:v>35.088188400233264</c:v>
                </c:pt>
                <c:pt idx="36">
                  <c:v>35.574616746776918</c:v>
                </c:pt>
                <c:pt idx="37">
                  <c:v>36.066286156425733</c:v>
                </c:pt>
                <c:pt idx="38">
                  <c:v>36.563249610200728</c:v>
                </c:pt>
                <c:pt idx="39">
                  <c:v>37.065561359218584</c:v>
                </c:pt>
                <c:pt idx="40">
                  <c:v>37.573276997210179</c:v>
                </c:pt>
                <c:pt idx="41">
                  <c:v>38.086453538633471</c:v>
                </c:pt>
                <c:pt idx="42">
                  <c:v>38.60514950304249</c:v>
                </c:pt>
                <c:pt idx="43">
                  <c:v>39.129425006292543</c:v>
                </c:pt>
                <c:pt idx="44">
                  <c:v>39.659341859162808</c:v>
                </c:pt>
                <c:pt idx="45">
                  <c:v>40.19496367434504</c:v>
                </c:pt>
                <c:pt idx="46">
                  <c:v>40.736355982418857</c:v>
                </c:pt>
                <c:pt idx="47">
                  <c:v>41.283586357901441</c:v>
                </c:pt>
                <c:pt idx="48">
                  <c:v>41.836420633447588</c:v>
                </c:pt>
                <c:pt idx="49">
                  <c:v>42.3958426640854</c:v>
                </c:pt>
                <c:pt idx="50">
                  <c:v>42.961015260630354</c:v>
                </c:pt>
                <c:pt idx="51">
                  <c:v>43.532319597590259</c:v>
                </c:pt>
                <c:pt idx="52">
                  <c:v>44.109835793581581</c:v>
                </c:pt>
                <c:pt idx="53">
                  <c:v>44.693647048409758</c:v>
                </c:pt>
                <c:pt idx="54">
                  <c:v>45.283839878592119</c:v>
                </c:pt>
                <c:pt idx="55">
                  <c:v>45.880504376789766</c:v>
                </c:pt>
                <c:pt idx="56">
                  <c:v>46.483734498420105</c:v>
                </c:pt>
                <c:pt idx="57">
                  <c:v>47.093628379086717</c:v>
                </c:pt>
                <c:pt idx="58">
                  <c:v>47.710288687124077</c:v>
                </c:pt>
                <c:pt idx="59">
                  <c:v>48.333823016385388</c:v>
                </c:pt>
                <c:pt idx="60">
                  <c:v>48.964344325289865</c:v>
                </c:pt>
                <c:pt idx="61">
                  <c:v>49.601909301745991</c:v>
                </c:pt>
                <c:pt idx="62">
                  <c:v>50.246829555681302</c:v>
                </c:pt>
                <c:pt idx="63">
                  <c:v>50.899050970206332</c:v>
                </c:pt>
                <c:pt idx="64">
                  <c:v>51.558775689360345</c:v>
                </c:pt>
                <c:pt idx="65">
                  <c:v>52.226152292085246</c:v>
                </c:pt>
                <c:pt idx="66">
                  <c:v>52.901338850141386</c:v>
                </c:pt>
                <c:pt idx="67">
                  <c:v>53.584503999302882</c:v>
                </c:pt>
                <c:pt idx="68">
                  <c:v>54.275828179093409</c:v>
                </c:pt>
                <c:pt idx="69">
                  <c:v>54.975505075157592</c:v>
                </c:pt>
                <c:pt idx="70">
                  <c:v>55.683743306690538</c:v>
                </c:pt>
                <c:pt idx="71">
                  <c:v>56.400768411846606</c:v>
                </c:pt>
                <c:pt idx="72">
                  <c:v>57.126825197876414</c:v>
                </c:pt>
                <c:pt idx="73">
                  <c:v>57.862180540579779</c:v>
                </c:pt>
                <c:pt idx="74">
                  <c:v>58.607126741337744</c:v>
                </c:pt>
                <c:pt idx="75">
                  <c:v>59.361985581713512</c:v>
                </c:pt>
                <c:pt idx="76">
                  <c:v>60.131197783688393</c:v>
                </c:pt>
                <c:pt idx="77">
                  <c:v>60.94092026147699</c:v>
                </c:pt>
                <c:pt idx="78">
                  <c:v>61.750642739265587</c:v>
                </c:pt>
                <c:pt idx="79">
                  <c:v>62.560365217054184</c:v>
                </c:pt>
                <c:pt idx="80">
                  <c:v>63.37008769484278</c:v>
                </c:pt>
                <c:pt idx="81">
                  <c:v>64.179810172631377</c:v>
                </c:pt>
                <c:pt idx="82">
                  <c:v>64.989532650419974</c:v>
                </c:pt>
                <c:pt idx="83">
                  <c:v>65.817354559425965</c:v>
                </c:pt>
                <c:pt idx="84">
                  <c:v>66.703568505223032</c:v>
                </c:pt>
                <c:pt idx="85">
                  <c:v>67.589782451020099</c:v>
                </c:pt>
                <c:pt idx="86">
                  <c:v>68.475996396817166</c:v>
                </c:pt>
                <c:pt idx="87">
                  <c:v>69.40522495773665</c:v>
                </c:pt>
                <c:pt idx="88">
                  <c:v>70.363800093024707</c:v>
                </c:pt>
                <c:pt idx="89">
                  <c:v>71.322375228312765</c:v>
                </c:pt>
                <c:pt idx="90">
                  <c:v>72.325229642539654</c:v>
                </c:pt>
                <c:pt idx="91">
                  <c:v>73.38015838022605</c:v>
                </c:pt>
                <c:pt idx="92">
                  <c:v>74.43508711791246</c:v>
                </c:pt>
                <c:pt idx="93">
                  <c:v>75.61815476681673</c:v>
                </c:pt>
                <c:pt idx="94">
                  <c:v>76.817922880286346</c:v>
                </c:pt>
                <c:pt idx="95">
                  <c:v>78.254414833855236</c:v>
                </c:pt>
                <c:pt idx="96">
                  <c:v>81.455055721913254</c:v>
                </c:pt>
                <c:pt idx="97">
                  <c:v>81.455055721913254</c:v>
                </c:pt>
                <c:pt idx="98">
                  <c:v>81.455055721913254</c:v>
                </c:pt>
                <c:pt idx="99">
                  <c:v>81.455055721913254</c:v>
                </c:pt>
                <c:pt idx="100">
                  <c:v>81.455055721913254</c:v>
                </c:pt>
                <c:pt idx="101">
                  <c:v>81.455055721913254</c:v>
                </c:pt>
                <c:pt idx="102">
                  <c:v>81.455055721913254</c:v>
                </c:pt>
                <c:pt idx="103">
                  <c:v>81.455055721913254</c:v>
                </c:pt>
                <c:pt idx="104">
                  <c:v>81.455055721913254</c:v>
                </c:pt>
                <c:pt idx="105">
                  <c:v>81.455055721913254</c:v>
                </c:pt>
                <c:pt idx="106">
                  <c:v>81.455055721913254</c:v>
                </c:pt>
                <c:pt idx="107">
                  <c:v>81.455055721913254</c:v>
                </c:pt>
                <c:pt idx="108">
                  <c:v>81.455055721913254</c:v>
                </c:pt>
                <c:pt idx="109">
                  <c:v>81.455055721913254</c:v>
                </c:pt>
                <c:pt idx="110">
                  <c:v>81.455055721913254</c:v>
                </c:pt>
                <c:pt idx="111">
                  <c:v>81.455055721913254</c:v>
                </c:pt>
                <c:pt idx="112">
                  <c:v>81.455055721913254</c:v>
                </c:pt>
                <c:pt idx="113">
                  <c:v>81.455055721913254</c:v>
                </c:pt>
                <c:pt idx="114">
                  <c:v>81.455055721913254</c:v>
                </c:pt>
                <c:pt idx="115">
                  <c:v>81.455055721913254</c:v>
                </c:pt>
                <c:pt idx="116">
                  <c:v>81.455055721913254</c:v>
                </c:pt>
                <c:pt idx="117">
                  <c:v>81.455055721913254</c:v>
                </c:pt>
                <c:pt idx="118">
                  <c:v>81.455055721913254</c:v>
                </c:pt>
                <c:pt idx="119">
                  <c:v>81.455055721913254</c:v>
                </c:pt>
                <c:pt idx="120">
                  <c:v>81.455055721913254</c:v>
                </c:pt>
                <c:pt idx="121">
                  <c:v>81.455055721913254</c:v>
                </c:pt>
                <c:pt idx="122">
                  <c:v>81.455055721913254</c:v>
                </c:pt>
                <c:pt idx="123">
                  <c:v>81.455055721913254</c:v>
                </c:pt>
                <c:pt idx="124">
                  <c:v>81.455055721913254</c:v>
                </c:pt>
                <c:pt idx="125">
                  <c:v>81.455055721913254</c:v>
                </c:pt>
                <c:pt idx="126">
                  <c:v>81.455055721913254</c:v>
                </c:pt>
                <c:pt idx="127">
                  <c:v>81.455055721913254</c:v>
                </c:pt>
                <c:pt idx="128">
                  <c:v>81.455055721913254</c:v>
                </c:pt>
                <c:pt idx="129">
                  <c:v>81.455055721913254</c:v>
                </c:pt>
                <c:pt idx="130">
                  <c:v>81.455055721913254</c:v>
                </c:pt>
                <c:pt idx="131">
                  <c:v>81.455055721913254</c:v>
                </c:pt>
                <c:pt idx="132">
                  <c:v>81.455055721913254</c:v>
                </c:pt>
                <c:pt idx="133">
                  <c:v>81.455055721913254</c:v>
                </c:pt>
                <c:pt idx="134">
                  <c:v>81.455055721913254</c:v>
                </c:pt>
                <c:pt idx="135">
                  <c:v>81.455055721913254</c:v>
                </c:pt>
                <c:pt idx="136">
                  <c:v>81.455055721913254</c:v>
                </c:pt>
                <c:pt idx="137">
                  <c:v>81.455055721913254</c:v>
                </c:pt>
                <c:pt idx="138">
                  <c:v>81.455055721913254</c:v>
                </c:pt>
                <c:pt idx="139">
                  <c:v>81.455055721913254</c:v>
                </c:pt>
                <c:pt idx="140">
                  <c:v>81.455055721913254</c:v>
                </c:pt>
                <c:pt idx="141">
                  <c:v>81.455055721913254</c:v>
                </c:pt>
                <c:pt idx="142">
                  <c:v>81.455055721913254</c:v>
                </c:pt>
                <c:pt idx="143">
                  <c:v>81.455055721913254</c:v>
                </c:pt>
                <c:pt idx="144">
                  <c:v>81.455055721913254</c:v>
                </c:pt>
                <c:pt idx="145">
                  <c:v>81.455055721913254</c:v>
                </c:pt>
                <c:pt idx="146">
                  <c:v>81.455055721913254</c:v>
                </c:pt>
                <c:pt idx="147">
                  <c:v>81.455055721913254</c:v>
                </c:pt>
                <c:pt idx="148">
                  <c:v>81.455055721913254</c:v>
                </c:pt>
                <c:pt idx="149">
                  <c:v>81.455055721913254</c:v>
                </c:pt>
                <c:pt idx="150">
                  <c:v>81.455055721913254</c:v>
                </c:pt>
                <c:pt idx="151">
                  <c:v>81.455055721913254</c:v>
                </c:pt>
                <c:pt idx="152">
                  <c:v>81.455055721913254</c:v>
                </c:pt>
                <c:pt idx="153">
                  <c:v>81.455055721913254</c:v>
                </c:pt>
                <c:pt idx="154">
                  <c:v>81.455055721913254</c:v>
                </c:pt>
                <c:pt idx="155">
                  <c:v>81.455055721913254</c:v>
                </c:pt>
                <c:pt idx="156">
                  <c:v>81.455055721913254</c:v>
                </c:pt>
                <c:pt idx="157">
                  <c:v>81.455055721913254</c:v>
                </c:pt>
                <c:pt idx="158">
                  <c:v>81.455055721913254</c:v>
                </c:pt>
                <c:pt idx="159">
                  <c:v>81.455055721913254</c:v>
                </c:pt>
                <c:pt idx="160">
                  <c:v>81.455055721913254</c:v>
                </c:pt>
                <c:pt idx="161">
                  <c:v>81.455055721913254</c:v>
                </c:pt>
                <c:pt idx="162">
                  <c:v>81.455055721913254</c:v>
                </c:pt>
                <c:pt idx="163">
                  <c:v>81.455055721913254</c:v>
                </c:pt>
                <c:pt idx="164">
                  <c:v>81.455055721913254</c:v>
                </c:pt>
                <c:pt idx="165">
                  <c:v>81.455055721913254</c:v>
                </c:pt>
                <c:pt idx="166">
                  <c:v>81.455055721913254</c:v>
                </c:pt>
                <c:pt idx="167">
                  <c:v>81.455055721913254</c:v>
                </c:pt>
                <c:pt idx="168">
                  <c:v>81.455055721913254</c:v>
                </c:pt>
                <c:pt idx="169">
                  <c:v>81.455055721913254</c:v>
                </c:pt>
                <c:pt idx="170">
                  <c:v>81.455055721913254</c:v>
                </c:pt>
                <c:pt idx="171">
                  <c:v>81.455055721913254</c:v>
                </c:pt>
                <c:pt idx="172">
                  <c:v>81.455055721913254</c:v>
                </c:pt>
                <c:pt idx="173">
                  <c:v>81.455055721913254</c:v>
                </c:pt>
                <c:pt idx="174">
                  <c:v>81.455055721913254</c:v>
                </c:pt>
                <c:pt idx="175">
                  <c:v>81.455055721913254</c:v>
                </c:pt>
                <c:pt idx="176">
                  <c:v>81.455055721913254</c:v>
                </c:pt>
                <c:pt idx="177">
                  <c:v>81.455055721913254</c:v>
                </c:pt>
                <c:pt idx="178">
                  <c:v>81.455055721913254</c:v>
                </c:pt>
                <c:pt idx="179">
                  <c:v>81.455055721913254</c:v>
                </c:pt>
                <c:pt idx="180">
                  <c:v>81.455055721913254</c:v>
                </c:pt>
                <c:pt idx="181">
                  <c:v>81.455055721913254</c:v>
                </c:pt>
                <c:pt idx="182">
                  <c:v>81.455055721913254</c:v>
                </c:pt>
                <c:pt idx="183">
                  <c:v>81.455055721913254</c:v>
                </c:pt>
                <c:pt idx="184">
                  <c:v>81.455055721913254</c:v>
                </c:pt>
                <c:pt idx="185">
                  <c:v>81.455055721913254</c:v>
                </c:pt>
                <c:pt idx="186">
                  <c:v>81.455055721913254</c:v>
                </c:pt>
                <c:pt idx="187">
                  <c:v>81.455055721913254</c:v>
                </c:pt>
                <c:pt idx="188">
                  <c:v>81.455055721913254</c:v>
                </c:pt>
                <c:pt idx="189">
                  <c:v>81.455055721913254</c:v>
                </c:pt>
                <c:pt idx="190">
                  <c:v>81.455055721913254</c:v>
                </c:pt>
                <c:pt idx="191">
                  <c:v>81.455055721913254</c:v>
                </c:pt>
                <c:pt idx="192">
                  <c:v>81.455055721913254</c:v>
                </c:pt>
                <c:pt idx="193">
                  <c:v>81.455055721913254</c:v>
                </c:pt>
                <c:pt idx="194">
                  <c:v>81.455055721913254</c:v>
                </c:pt>
                <c:pt idx="195">
                  <c:v>81.455055721913254</c:v>
                </c:pt>
                <c:pt idx="196">
                  <c:v>81.455055721913254</c:v>
                </c:pt>
                <c:pt idx="197">
                  <c:v>81.455055721913254</c:v>
                </c:pt>
                <c:pt idx="198">
                  <c:v>81.455055721913254</c:v>
                </c:pt>
                <c:pt idx="199">
                  <c:v>81.455055721913254</c:v>
                </c:pt>
                <c:pt idx="200">
                  <c:v>81.455055721913254</c:v>
                </c:pt>
                <c:pt idx="201">
                  <c:v>81.455055721913254</c:v>
                </c:pt>
                <c:pt idx="202">
                  <c:v>81.455055721913254</c:v>
                </c:pt>
                <c:pt idx="203">
                  <c:v>81.455055721913254</c:v>
                </c:pt>
                <c:pt idx="204">
                  <c:v>81.455055721913254</c:v>
                </c:pt>
                <c:pt idx="205">
                  <c:v>81.455055721913254</c:v>
                </c:pt>
                <c:pt idx="206">
                  <c:v>81.455055721913254</c:v>
                </c:pt>
                <c:pt idx="207">
                  <c:v>81.455055721913254</c:v>
                </c:pt>
                <c:pt idx="208">
                  <c:v>81.455055721913254</c:v>
                </c:pt>
                <c:pt idx="209">
                  <c:v>81.455055721913254</c:v>
                </c:pt>
                <c:pt idx="210">
                  <c:v>81.455055721913254</c:v>
                </c:pt>
                <c:pt idx="211">
                  <c:v>81.455055721913254</c:v>
                </c:pt>
                <c:pt idx="212">
                  <c:v>81.455055721913254</c:v>
                </c:pt>
                <c:pt idx="213">
                  <c:v>81.455055721913254</c:v>
                </c:pt>
                <c:pt idx="214">
                  <c:v>81.455055721913254</c:v>
                </c:pt>
                <c:pt idx="215">
                  <c:v>81.455055721913254</c:v>
                </c:pt>
                <c:pt idx="216">
                  <c:v>81.455055721913254</c:v>
                </c:pt>
                <c:pt idx="217">
                  <c:v>81.455055721913254</c:v>
                </c:pt>
                <c:pt idx="218">
                  <c:v>81.455055721913254</c:v>
                </c:pt>
                <c:pt idx="219">
                  <c:v>81.455055721913254</c:v>
                </c:pt>
                <c:pt idx="220">
                  <c:v>81.455055721913254</c:v>
                </c:pt>
                <c:pt idx="221">
                  <c:v>81.455055721913254</c:v>
                </c:pt>
                <c:pt idx="222">
                  <c:v>81.455055721913254</c:v>
                </c:pt>
                <c:pt idx="223">
                  <c:v>81.455055721913254</c:v>
                </c:pt>
                <c:pt idx="224">
                  <c:v>81.455055721913254</c:v>
                </c:pt>
                <c:pt idx="225">
                  <c:v>81.455055721913254</c:v>
                </c:pt>
                <c:pt idx="226">
                  <c:v>81.455055721913254</c:v>
                </c:pt>
                <c:pt idx="227">
                  <c:v>81.455055721913254</c:v>
                </c:pt>
                <c:pt idx="228">
                  <c:v>81.455055721913254</c:v>
                </c:pt>
                <c:pt idx="229">
                  <c:v>81.455055721913254</c:v>
                </c:pt>
                <c:pt idx="230">
                  <c:v>81.455055721913254</c:v>
                </c:pt>
                <c:pt idx="231">
                  <c:v>81.455055721913254</c:v>
                </c:pt>
                <c:pt idx="232">
                  <c:v>81.455055721913254</c:v>
                </c:pt>
                <c:pt idx="233">
                  <c:v>81.455055721913254</c:v>
                </c:pt>
                <c:pt idx="234">
                  <c:v>81.455055721913254</c:v>
                </c:pt>
                <c:pt idx="235">
                  <c:v>81.455055721913254</c:v>
                </c:pt>
                <c:pt idx="236">
                  <c:v>81.455055721913254</c:v>
                </c:pt>
                <c:pt idx="237">
                  <c:v>81.455055721913254</c:v>
                </c:pt>
                <c:pt idx="238">
                  <c:v>81.455055721913254</c:v>
                </c:pt>
                <c:pt idx="239">
                  <c:v>81.455055721913254</c:v>
                </c:pt>
                <c:pt idx="240">
                  <c:v>81.455055721913254</c:v>
                </c:pt>
                <c:pt idx="241">
                  <c:v>81.455055721913254</c:v>
                </c:pt>
                <c:pt idx="242">
                  <c:v>81.455055721913254</c:v>
                </c:pt>
                <c:pt idx="243">
                  <c:v>81.455055721913254</c:v>
                </c:pt>
                <c:pt idx="244">
                  <c:v>81.455055721913254</c:v>
                </c:pt>
                <c:pt idx="245">
                  <c:v>81.455055721913254</c:v>
                </c:pt>
                <c:pt idx="246">
                  <c:v>81.455055721913254</c:v>
                </c:pt>
                <c:pt idx="247">
                  <c:v>81.455055721913254</c:v>
                </c:pt>
                <c:pt idx="248">
                  <c:v>81.455055721913254</c:v>
                </c:pt>
                <c:pt idx="249">
                  <c:v>81.455055721913254</c:v>
                </c:pt>
                <c:pt idx="250">
                  <c:v>81.455055721913254</c:v>
                </c:pt>
                <c:pt idx="251">
                  <c:v>81.455055721913254</c:v>
                </c:pt>
                <c:pt idx="252">
                  <c:v>81.455055721913254</c:v>
                </c:pt>
                <c:pt idx="253">
                  <c:v>81.455055721913254</c:v>
                </c:pt>
                <c:pt idx="254">
                  <c:v>81.455055721913254</c:v>
                </c:pt>
                <c:pt idx="255">
                  <c:v>81.455055721913254</c:v>
                </c:pt>
                <c:pt idx="256">
                  <c:v>81.455055721913254</c:v>
                </c:pt>
                <c:pt idx="257">
                  <c:v>81.455055721913254</c:v>
                </c:pt>
                <c:pt idx="258">
                  <c:v>81.455055721913254</c:v>
                </c:pt>
                <c:pt idx="259">
                  <c:v>81.455055721913254</c:v>
                </c:pt>
                <c:pt idx="260">
                  <c:v>81.455055721913254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41-40F0-8FF8-07BCA3849169}"/>
            </c:ext>
          </c:extLst>
        </c:ser>
        <c:ser>
          <c:idx val="1"/>
          <c:order val="1"/>
          <c:tx>
            <c:strRef>
              <c:f>Diagrammdaten!$H$7</c:f>
              <c:strCache>
                <c:ptCount val="1"/>
                <c:pt idx="0">
                  <c:v>zweiphasig [bar]</c:v>
                </c:pt>
              </c:strCache>
            </c:strRef>
          </c:tx>
          <c:spPr>
            <a:solidFill>
              <a:srgbClr val="F4B6B0"/>
            </a:solidFill>
            <a:ln>
              <a:noFill/>
            </a:ln>
          </c:spPr>
          <c:cat>
            <c:strRef>
              <c:f>Diagrammdaten!$C$128:$C$388</c:f>
              <c:strCache>
                <c:ptCount val="241"/>
                <c:pt idx="0">
                  <c:v>-20</c:v>
                </c:pt>
                <c:pt idx="40">
                  <c:v>0</c:v>
                </c:pt>
                <c:pt idx="80">
                  <c:v>20</c:v>
                </c:pt>
                <c:pt idx="120">
                  <c:v>40</c:v>
                </c:pt>
                <c:pt idx="160">
                  <c:v>60</c:v>
                </c:pt>
                <c:pt idx="200">
                  <c:v>80</c:v>
                </c:pt>
                <c:pt idx="240">
                  <c:v>100</c:v>
                </c:pt>
              </c:strCache>
            </c:strRef>
          </c:cat>
          <c:val>
            <c:numRef>
              <c:f>Diagrammdaten!$H$128:$H$388</c:f>
              <c:numCache>
                <c:formatCode>General</c:formatCode>
                <c:ptCount val="261"/>
                <c:pt idx="0">
                  <c:v>27.889712345938602</c:v>
                </c:pt>
                <c:pt idx="1">
                  <c:v>27.7356797829489</c:v>
                </c:pt>
                <c:pt idx="2">
                  <c:v>27.582518633945266</c:v>
                </c:pt>
                <c:pt idx="3">
                  <c:v>27.430182685894895</c:v>
                </c:pt>
                <c:pt idx="4">
                  <c:v>27.278625924175163</c:v>
                </c:pt>
                <c:pt idx="5">
                  <c:v>27.127802485424557</c:v>
                </c:pt>
                <c:pt idx="6">
                  <c:v>26.977666626624814</c:v>
                </c:pt>
                <c:pt idx="7">
                  <c:v>26.828172689814085</c:v>
                </c:pt>
                <c:pt idx="8">
                  <c:v>26.679275067686859</c:v>
                </c:pt>
                <c:pt idx="9">
                  <c:v>26.530928169258171</c:v>
                </c:pt>
                <c:pt idx="10">
                  <c:v>26.383086385531215</c:v>
                </c:pt>
                <c:pt idx="11">
                  <c:v>26.235724284797229</c:v>
                </c:pt>
                <c:pt idx="12">
                  <c:v>26.088735429977124</c:v>
                </c:pt>
                <c:pt idx="13">
                  <c:v>25.942134640404841</c:v>
                </c:pt>
                <c:pt idx="14">
                  <c:v>25.795855660508817</c:v>
                </c:pt>
                <c:pt idx="15">
                  <c:v>25.649852272701452</c:v>
                </c:pt>
                <c:pt idx="16">
                  <c:v>25.504078031716734</c:v>
                </c:pt>
                <c:pt idx="17">
                  <c:v>25.358486228024951</c:v>
                </c:pt>
                <c:pt idx="18">
                  <c:v>25.213029850092948</c:v>
                </c:pt>
                <c:pt idx="19">
                  <c:v>25.067661545601041</c:v>
                </c:pt>
                <c:pt idx="20">
                  <c:v>24.922333581097384</c:v>
                </c:pt>
                <c:pt idx="21">
                  <c:v>24.776997799896648</c:v>
                </c:pt>
                <c:pt idx="22">
                  <c:v>24.631336578838134</c:v>
                </c:pt>
                <c:pt idx="23">
                  <c:v>24.484057818450818</c:v>
                </c:pt>
                <c:pt idx="24">
                  <c:v>24.339976664075426</c:v>
                </c:pt>
                <c:pt idx="25">
                  <c:v>24.192509398302992</c:v>
                </c:pt>
                <c:pt idx="26">
                  <c:v>24.048480736166471</c:v>
                </c:pt>
                <c:pt idx="27">
                  <c:v>23.902057137392948</c:v>
                </c:pt>
                <c:pt idx="28">
                  <c:v>23.755272683840936</c:v>
                </c:pt>
                <c:pt idx="29">
                  <c:v>23.608073967583614</c:v>
                </c:pt>
                <c:pt idx="30">
                  <c:v>23.460406625214745</c:v>
                </c:pt>
                <c:pt idx="31">
                  <c:v>23.312215250677021</c:v>
                </c:pt>
                <c:pt idx="32">
                  <c:v>23.163443299727874</c:v>
                </c:pt>
                <c:pt idx="33">
                  <c:v>23.014032985302606</c:v>
                </c:pt>
                <c:pt idx="34">
                  <c:v>22.86392516272636</c:v>
                </c:pt>
                <c:pt idx="35">
                  <c:v>22.713059204025228</c:v>
                </c:pt>
                <c:pt idx="36">
                  <c:v>22.561372860469525</c:v>
                </c:pt>
                <c:pt idx="37">
                  <c:v>22.408802112505327</c:v>
                </c:pt>
                <c:pt idx="38">
                  <c:v>22.255281006314725</c:v>
                </c:pt>
                <c:pt idx="39">
                  <c:v>22.100741476466304</c:v>
                </c:pt>
                <c:pt idx="40">
                  <c:v>21.945113153903144</c:v>
                </c:pt>
                <c:pt idx="41">
                  <c:v>21.788323159090801</c:v>
                </c:pt>
                <c:pt idx="42">
                  <c:v>21.630295879975947</c:v>
                </c:pt>
                <c:pt idx="43">
                  <c:v>21.470952734567852</c:v>
                </c:pt>
                <c:pt idx="44">
                  <c:v>21.310211918655718</c:v>
                </c:pt>
                <c:pt idx="45">
                  <c:v>21.147988138551462</c:v>
                </c:pt>
                <c:pt idx="46">
                  <c:v>20.984192329795583</c:v>
                </c:pt>
                <c:pt idx="47">
                  <c:v>20.818731362358008</c:v>
                </c:pt>
                <c:pt idx="48">
                  <c:v>20.651811656141327</c:v>
                </c:pt>
                <c:pt idx="49">
                  <c:v>20.482419247103287</c:v>
                </c:pt>
                <c:pt idx="50">
                  <c:v>20.311161067758604</c:v>
                </c:pt>
                <c:pt idx="51">
                  <c:v>20.138213473714643</c:v>
                </c:pt>
                <c:pt idx="52">
                  <c:v>19.962865316287264</c:v>
                </c:pt>
                <c:pt idx="53">
                  <c:v>19.785189851884226</c:v>
                </c:pt>
                <c:pt idx="54">
                  <c:v>19.605056274126355</c:v>
                </c:pt>
                <c:pt idx="55">
                  <c:v>19.422326947044688</c:v>
                </c:pt>
                <c:pt idx="56">
                  <c:v>19.236856999637254</c:v>
                </c:pt>
                <c:pt idx="57">
                  <c:v>19.048493893594831</c:v>
                </c:pt>
                <c:pt idx="58">
                  <c:v>18.857076953167322</c:v>
                </c:pt>
                <c:pt idx="59">
                  <c:v>18.662436841669852</c:v>
                </c:pt>
                <c:pt idx="60">
                  <c:v>18.464394963440107</c:v>
                </c:pt>
                <c:pt idx="61">
                  <c:v>18.262824890968815</c:v>
                </c:pt>
                <c:pt idx="62">
                  <c:v>18.057340887726184</c:v>
                </c:pt>
                <c:pt idx="63">
                  <c:v>17.847918159776697</c:v>
                </c:pt>
                <c:pt idx="64">
                  <c:v>17.634270313168798</c:v>
                </c:pt>
                <c:pt idx="65">
                  <c:v>17.416158411818969</c:v>
                </c:pt>
                <c:pt idx="66">
                  <c:v>17.193326871870781</c:v>
                </c:pt>
                <c:pt idx="67">
                  <c:v>16.965496087201018</c:v>
                </c:pt>
                <c:pt idx="68">
                  <c:v>16.732383826169155</c:v>
                </c:pt>
                <c:pt idx="69">
                  <c:v>16.493652415254395</c:v>
                </c:pt>
                <c:pt idx="70">
                  <c:v>16.248952980994012</c:v>
                </c:pt>
                <c:pt idx="71">
                  <c:v>15.997895168462172</c:v>
                </c:pt>
                <c:pt idx="72">
                  <c:v>15.740045012259728</c:v>
                </c:pt>
                <c:pt idx="73">
                  <c:v>15.474916485412827</c:v>
                </c:pt>
                <c:pt idx="74">
                  <c:v>15.202028549938014</c:v>
                </c:pt>
                <c:pt idx="75">
                  <c:v>14.921069231022145</c:v>
                </c:pt>
                <c:pt idx="76">
                  <c:v>14.62589851865242</c:v>
                </c:pt>
                <c:pt idx="77">
                  <c:v>14.291299425644738</c:v>
                </c:pt>
                <c:pt idx="78">
                  <c:v>13.956700332637055</c:v>
                </c:pt>
                <c:pt idx="79">
                  <c:v>13.622101239629387</c:v>
                </c:pt>
                <c:pt idx="80">
                  <c:v>13.280763404159487</c:v>
                </c:pt>
                <c:pt idx="81">
                  <c:v>12.928686063309783</c:v>
                </c:pt>
                <c:pt idx="82">
                  <c:v>12.576608722460065</c:v>
                </c:pt>
                <c:pt idx="83">
                  <c:v>12.206431950392968</c:v>
                </c:pt>
                <c:pt idx="84">
                  <c:v>11.777863141534795</c:v>
                </c:pt>
                <c:pt idx="85">
                  <c:v>11.349294332676607</c:v>
                </c:pt>
                <c:pt idx="86">
                  <c:v>10.920725523818433</c:v>
                </c:pt>
                <c:pt idx="87">
                  <c:v>10.449142099837843</c:v>
                </c:pt>
                <c:pt idx="88">
                  <c:v>9.8918304676368791</c:v>
                </c:pt>
                <c:pt idx="89">
                  <c:v>9.3330379831599544</c:v>
                </c:pt>
                <c:pt idx="90">
                  <c:v>8.7299662197441847</c:v>
                </c:pt>
                <c:pt idx="91">
                  <c:v>8.0059258842833714</c:v>
                </c:pt>
                <c:pt idx="92">
                  <c:v>7.2811354116850566</c:v>
                </c:pt>
                <c:pt idx="93">
                  <c:v>6.3423787961515785</c:v>
                </c:pt>
                <c:pt idx="94">
                  <c:v>5.334659025849902</c:v>
                </c:pt>
                <c:pt idx="95">
                  <c:v>3.8451784074934778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41-40F0-8FF8-07BCA3849169}"/>
            </c:ext>
          </c:extLst>
        </c:ser>
        <c:ser>
          <c:idx val="2"/>
          <c:order val="2"/>
          <c:tx>
            <c:strRef>
              <c:f>Diagrammdaten!$E$7</c:f>
              <c:strCache>
                <c:ptCount val="1"/>
                <c:pt idx="0">
                  <c:v>flüssig [bar]</c:v>
                </c:pt>
              </c:strCache>
            </c:strRef>
          </c:tx>
          <c:spPr>
            <a:solidFill>
              <a:srgbClr val="D9EAD3"/>
            </a:solidFill>
            <a:ln>
              <a:noFill/>
            </a:ln>
          </c:spPr>
          <c:cat>
            <c:strRef>
              <c:f>Diagrammdaten!$C$128:$C$388</c:f>
              <c:strCache>
                <c:ptCount val="241"/>
                <c:pt idx="0">
                  <c:v>-20</c:v>
                </c:pt>
                <c:pt idx="40">
                  <c:v>0</c:v>
                </c:pt>
                <c:pt idx="80">
                  <c:v>20</c:v>
                </c:pt>
                <c:pt idx="120">
                  <c:v>40</c:v>
                </c:pt>
                <c:pt idx="160">
                  <c:v>60</c:v>
                </c:pt>
                <c:pt idx="200">
                  <c:v>80</c:v>
                </c:pt>
                <c:pt idx="240">
                  <c:v>100</c:v>
                </c:pt>
              </c:strCache>
            </c:strRef>
          </c:cat>
          <c:val>
            <c:numRef>
              <c:f>Diagrammdaten!$E$128:$E$388</c:f>
              <c:numCache>
                <c:formatCode>General</c:formatCode>
                <c:ptCount val="261"/>
                <c:pt idx="0">
                  <c:v>201.09090540672429</c:v>
                </c:pt>
                <c:pt idx="1">
                  <c:v>200.91507628805502</c:v>
                </c:pt>
                <c:pt idx="2">
                  <c:v>200.73451421436408</c:v>
                </c:pt>
                <c:pt idx="3">
                  <c:v>200.54923383360841</c:v>
                </c:pt>
                <c:pt idx="4">
                  <c:v>200.35924930374262</c:v>
                </c:pt>
                <c:pt idx="5">
                  <c:v>200.16457433004936</c:v>
                </c:pt>
                <c:pt idx="6">
                  <c:v>199.9652221857022</c:v>
                </c:pt>
                <c:pt idx="7">
                  <c:v>199.76120573631954</c:v>
                </c:pt>
                <c:pt idx="8">
                  <c:v>199.55253746297512</c:v>
                </c:pt>
                <c:pt idx="9">
                  <c:v>199.33922948474554</c:v>
                </c:pt>
                <c:pt idx="10">
                  <c:v>199.12129358059838</c:v>
                </c:pt>
                <c:pt idx="11">
                  <c:v>198.89874121071978</c:v>
                </c:pt>
                <c:pt idx="12">
                  <c:v>198.67158353730571</c:v>
                </c:pt>
                <c:pt idx="13">
                  <c:v>198.43983144484085</c:v>
                </c:pt>
                <c:pt idx="14">
                  <c:v>198.20349555995858</c:v>
                </c:pt>
                <c:pt idx="15">
                  <c:v>197.96258627093769</c:v>
                </c:pt>
                <c:pt idx="16">
                  <c:v>197.71711374706209</c:v>
                </c:pt>
                <c:pt idx="17">
                  <c:v>197.46708795775592</c:v>
                </c:pt>
                <c:pt idx="18">
                  <c:v>197.21251869183223</c:v>
                </c:pt>
                <c:pt idx="19">
                  <c:v>196.95341557692242</c:v>
                </c:pt>
                <c:pt idx="20">
                  <c:v>196.68978809933753</c:v>
                </c:pt>
                <c:pt idx="21">
                  <c:v>196.42164562456736</c:v>
                </c:pt>
                <c:pt idx="22">
                  <c:v>196.14899741868678</c:v>
                </c:pt>
                <c:pt idx="23">
                  <c:v>195.87185267098772</c:v>
                </c:pt>
                <c:pt idx="24">
                  <c:v>195.59042473978019</c:v>
                </c:pt>
                <c:pt idx="25">
                  <c:v>195.30411007077186</c:v>
                </c:pt>
                <c:pt idx="26">
                  <c:v>195.01353044112622</c:v>
                </c:pt>
                <c:pt idx="27">
                  <c:v>194.71849077537172</c:v>
                </c:pt>
                <c:pt idx="28">
                  <c:v>194.4190002879202</c:v>
                </c:pt>
                <c:pt idx="29">
                  <c:v>194.11506830024717</c:v>
                </c:pt>
                <c:pt idx="30">
                  <c:v>193.80670428406319</c:v>
                </c:pt>
                <c:pt idx="31">
                  <c:v>193.49391790963293</c:v>
                </c:pt>
                <c:pt idx="32">
                  <c:v>193.17671909986115</c:v>
                </c:pt>
                <c:pt idx="33">
                  <c:v>192.85511809070925</c:v>
                </c:pt>
                <c:pt idx="34">
                  <c:v>192.52912549865241</c:v>
                </c:pt>
                <c:pt idx="35">
                  <c:v>192.19875239574151</c:v>
                </c:pt>
                <c:pt idx="36">
                  <c:v>191.86401039275356</c:v>
                </c:pt>
                <c:pt idx="37">
                  <c:v>191.52491173106893</c:v>
                </c:pt>
                <c:pt idx="38">
                  <c:v>191.18146938348454</c:v>
                </c:pt>
                <c:pt idx="39">
                  <c:v>190.83369716431511</c:v>
                </c:pt>
                <c:pt idx="40">
                  <c:v>190.48160984888668</c:v>
                </c:pt>
                <c:pt idx="41">
                  <c:v>190.12522330227574</c:v>
                </c:pt>
                <c:pt idx="42">
                  <c:v>189.76455461698157</c:v>
                </c:pt>
                <c:pt idx="43">
                  <c:v>189.39962225913962</c:v>
                </c:pt>
                <c:pt idx="44">
                  <c:v>189.03044622218147</c:v>
                </c:pt>
                <c:pt idx="45">
                  <c:v>188.6570481871035</c:v>
                </c:pt>
                <c:pt idx="46">
                  <c:v>188.27945168778555</c:v>
                </c:pt>
                <c:pt idx="47">
                  <c:v>187.89768227974054</c:v>
                </c:pt>
                <c:pt idx="48">
                  <c:v>187.51176771041108</c:v>
                </c:pt>
                <c:pt idx="49">
                  <c:v>187.1217380888113</c:v>
                </c:pt>
                <c:pt idx="50">
                  <c:v>186.72782367161105</c:v>
                </c:pt>
                <c:pt idx="51">
                  <c:v>186.3294669286951</c:v>
                </c:pt>
                <c:pt idx="52">
                  <c:v>185.92729889013117</c:v>
                </c:pt>
                <c:pt idx="53">
                  <c:v>185.52116309970603</c:v>
                </c:pt>
                <c:pt idx="54">
                  <c:v>185.11110384728153</c:v>
                </c:pt>
                <c:pt idx="55">
                  <c:v>184.69716867616555</c:v>
                </c:pt>
                <c:pt idx="56">
                  <c:v>184.27940850194264</c:v>
                </c:pt>
                <c:pt idx="57">
                  <c:v>183.85787772731845</c:v>
                </c:pt>
                <c:pt idx="58">
                  <c:v>183.4326343597086</c:v>
                </c:pt>
                <c:pt idx="59">
                  <c:v>183.00374014194477</c:v>
                </c:pt>
                <c:pt idx="60">
                  <c:v>182.57126071127004</c:v>
                </c:pt>
                <c:pt idx="61">
                  <c:v>182.13526580728518</c:v>
                </c:pt>
                <c:pt idx="62">
                  <c:v>181.69582955659251</c:v>
                </c:pt>
                <c:pt idx="63">
                  <c:v>181.25303087001697</c:v>
                </c:pt>
                <c:pt idx="64">
                  <c:v>180.80695399747086</c:v>
                </c:pt>
                <c:pt idx="65">
                  <c:v>180.35768929609577</c:v>
                </c:pt>
                <c:pt idx="66">
                  <c:v>179.90533427798783</c:v>
                </c:pt>
                <c:pt idx="67">
                  <c:v>179.4499999134961</c:v>
                </c:pt>
                <c:pt idx="68">
                  <c:v>178.99178799473742</c:v>
                </c:pt>
                <c:pt idx="69">
                  <c:v>178.53084250958801</c:v>
                </c:pt>
                <c:pt idx="70">
                  <c:v>178.06730371231544</c:v>
                </c:pt>
                <c:pt idx="71">
                  <c:v>177.60133641969122</c:v>
                </c:pt>
                <c:pt idx="72">
                  <c:v>177.13312978986386</c:v>
                </c:pt>
                <c:pt idx="73">
                  <c:v>176.66290297400741</c:v>
                </c:pt>
                <c:pt idx="74">
                  <c:v>176.19084470872423</c:v>
                </c:pt>
                <c:pt idx="75">
                  <c:v>175.71694518726434</c:v>
                </c:pt>
                <c:pt idx="76">
                  <c:v>175.24290369765919</c:v>
                </c:pt>
                <c:pt idx="77">
                  <c:v>174.76778031287827</c:v>
                </c:pt>
                <c:pt idx="78">
                  <c:v>174.29265692809736</c:v>
                </c:pt>
                <c:pt idx="79">
                  <c:v>173.81753354331642</c:v>
                </c:pt>
                <c:pt idx="80">
                  <c:v>173.34914890099773</c:v>
                </c:pt>
                <c:pt idx="81">
                  <c:v>172.89150376405883</c:v>
                </c:pt>
                <c:pt idx="82">
                  <c:v>172.43385862711995</c:v>
                </c:pt>
                <c:pt idx="83">
                  <c:v>171.97621349018107</c:v>
                </c:pt>
                <c:pt idx="84">
                  <c:v>171.51856835324219</c:v>
                </c:pt>
                <c:pt idx="85">
                  <c:v>171.06092321630331</c:v>
                </c:pt>
                <c:pt idx="86">
                  <c:v>170.6032780793644</c:v>
                </c:pt>
                <c:pt idx="87">
                  <c:v>170.14563294242549</c:v>
                </c:pt>
                <c:pt idx="88">
                  <c:v>169.74436943933841</c:v>
                </c:pt>
                <c:pt idx="89">
                  <c:v>169.34458678852729</c:v>
                </c:pt>
                <c:pt idx="90">
                  <c:v>168.94480413771618</c:v>
                </c:pt>
                <c:pt idx="91">
                  <c:v>168.61391573549059</c:v>
                </c:pt>
                <c:pt idx="92">
                  <c:v>168.28377747040247</c:v>
                </c:pt>
                <c:pt idx="93">
                  <c:v>168.03946643703171</c:v>
                </c:pt>
                <c:pt idx="94">
                  <c:v>167.84741809386375</c:v>
                </c:pt>
                <c:pt idx="95">
                  <c:v>167.90040675865129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41-40F0-8FF8-07BCA3849169}"/>
            </c:ext>
          </c:extLst>
        </c:ser>
        <c:ser>
          <c:idx val="3"/>
          <c:order val="3"/>
          <c:tx>
            <c:strRef>
              <c:f>Diagrammdaten!$F$7</c:f>
              <c:strCache>
                <c:ptCount val="1"/>
                <c:pt idx="0">
                  <c:v>überkritisch [bar]</c:v>
                </c:pt>
              </c:strCache>
            </c:strRef>
          </c:tx>
          <c:spPr>
            <a:solidFill>
              <a:srgbClr val="FCE5CD"/>
            </a:solidFill>
            <a:ln>
              <a:noFill/>
            </a:ln>
          </c:spPr>
          <c:cat>
            <c:strRef>
              <c:f>Diagrammdaten!$C$128:$C$388</c:f>
              <c:strCache>
                <c:ptCount val="241"/>
                <c:pt idx="0">
                  <c:v>-20</c:v>
                </c:pt>
                <c:pt idx="40">
                  <c:v>0</c:v>
                </c:pt>
                <c:pt idx="80">
                  <c:v>20</c:v>
                </c:pt>
                <c:pt idx="120">
                  <c:v>40</c:v>
                </c:pt>
                <c:pt idx="160">
                  <c:v>60</c:v>
                </c:pt>
                <c:pt idx="200">
                  <c:v>80</c:v>
                </c:pt>
                <c:pt idx="240">
                  <c:v>100</c:v>
                </c:pt>
              </c:strCache>
            </c:strRef>
          </c:cat>
          <c:val>
            <c:numRef>
              <c:f>Diagrammdaten!$F$128:$F$388</c:f>
              <c:numCache>
                <c:formatCode>General</c:formatCode>
                <c:ptCount val="2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168.54494427808675</c:v>
                </c:pt>
                <c:pt idx="97">
                  <c:v>168.54494427808675</c:v>
                </c:pt>
                <c:pt idx="98">
                  <c:v>168.54494427808675</c:v>
                </c:pt>
                <c:pt idx="99">
                  <c:v>168.54494427808675</c:v>
                </c:pt>
                <c:pt idx="100">
                  <c:v>168.54494427808675</c:v>
                </c:pt>
                <c:pt idx="101">
                  <c:v>168.54494427808675</c:v>
                </c:pt>
                <c:pt idx="102">
                  <c:v>168.54494427808675</c:v>
                </c:pt>
                <c:pt idx="103">
                  <c:v>168.54494427808675</c:v>
                </c:pt>
                <c:pt idx="104">
                  <c:v>168.54494427808675</c:v>
                </c:pt>
                <c:pt idx="105">
                  <c:v>168.54494427808675</c:v>
                </c:pt>
                <c:pt idx="106">
                  <c:v>168.54494427808675</c:v>
                </c:pt>
                <c:pt idx="107">
                  <c:v>168.54494427808675</c:v>
                </c:pt>
                <c:pt idx="108">
                  <c:v>168.54494427808675</c:v>
                </c:pt>
                <c:pt idx="109">
                  <c:v>168.54494427808675</c:v>
                </c:pt>
                <c:pt idx="110">
                  <c:v>168.54494427808675</c:v>
                </c:pt>
                <c:pt idx="111">
                  <c:v>168.54494427808675</c:v>
                </c:pt>
                <c:pt idx="112">
                  <c:v>168.54494427808675</c:v>
                </c:pt>
                <c:pt idx="113">
                  <c:v>168.54494427808675</c:v>
                </c:pt>
                <c:pt idx="114">
                  <c:v>168.54494427808675</c:v>
                </c:pt>
                <c:pt idx="115">
                  <c:v>168.54494427808675</c:v>
                </c:pt>
                <c:pt idx="116">
                  <c:v>168.54494427808675</c:v>
                </c:pt>
                <c:pt idx="117">
                  <c:v>168.54494427808675</c:v>
                </c:pt>
                <c:pt idx="118">
                  <c:v>168.54494427808675</c:v>
                </c:pt>
                <c:pt idx="119">
                  <c:v>168.54494427808675</c:v>
                </c:pt>
                <c:pt idx="120">
                  <c:v>168.54494427808675</c:v>
                </c:pt>
                <c:pt idx="121">
                  <c:v>168.54494427808675</c:v>
                </c:pt>
                <c:pt idx="122">
                  <c:v>168.54494427808675</c:v>
                </c:pt>
                <c:pt idx="123">
                  <c:v>168.54494427808675</c:v>
                </c:pt>
                <c:pt idx="124">
                  <c:v>168.54494427808675</c:v>
                </c:pt>
                <c:pt idx="125">
                  <c:v>168.54494427808675</c:v>
                </c:pt>
                <c:pt idx="126">
                  <c:v>168.54494427808675</c:v>
                </c:pt>
                <c:pt idx="127">
                  <c:v>168.54494427808675</c:v>
                </c:pt>
                <c:pt idx="128">
                  <c:v>168.54494427808675</c:v>
                </c:pt>
                <c:pt idx="129">
                  <c:v>168.54494427808675</c:v>
                </c:pt>
                <c:pt idx="130">
                  <c:v>168.54494427808675</c:v>
                </c:pt>
                <c:pt idx="131">
                  <c:v>168.54494427808675</c:v>
                </c:pt>
                <c:pt idx="132">
                  <c:v>168.54494427808675</c:v>
                </c:pt>
                <c:pt idx="133">
                  <c:v>168.54494427808675</c:v>
                </c:pt>
                <c:pt idx="134">
                  <c:v>168.54494427808675</c:v>
                </c:pt>
                <c:pt idx="135">
                  <c:v>168.54494427808675</c:v>
                </c:pt>
                <c:pt idx="136">
                  <c:v>168.54494427808675</c:v>
                </c:pt>
                <c:pt idx="137">
                  <c:v>168.54494427808675</c:v>
                </c:pt>
                <c:pt idx="138">
                  <c:v>168.54494427808675</c:v>
                </c:pt>
                <c:pt idx="139">
                  <c:v>168.54494427808675</c:v>
                </c:pt>
                <c:pt idx="140">
                  <c:v>168.54494427808675</c:v>
                </c:pt>
                <c:pt idx="141">
                  <c:v>168.54494427808675</c:v>
                </c:pt>
                <c:pt idx="142">
                  <c:v>168.54494427808675</c:v>
                </c:pt>
                <c:pt idx="143">
                  <c:v>168.54494427808675</c:v>
                </c:pt>
                <c:pt idx="144">
                  <c:v>168.54494427808675</c:v>
                </c:pt>
                <c:pt idx="145">
                  <c:v>168.54494427808675</c:v>
                </c:pt>
                <c:pt idx="146">
                  <c:v>168.54494427808675</c:v>
                </c:pt>
                <c:pt idx="147">
                  <c:v>168.54494427808675</c:v>
                </c:pt>
                <c:pt idx="148">
                  <c:v>168.54494427808675</c:v>
                </c:pt>
                <c:pt idx="149">
                  <c:v>168.54494427808675</c:v>
                </c:pt>
                <c:pt idx="150">
                  <c:v>168.54494427808675</c:v>
                </c:pt>
                <c:pt idx="151">
                  <c:v>168.54494427808675</c:v>
                </c:pt>
                <c:pt idx="152">
                  <c:v>168.54494427808675</c:v>
                </c:pt>
                <c:pt idx="153">
                  <c:v>168.54494427808675</c:v>
                </c:pt>
                <c:pt idx="154">
                  <c:v>168.54494427808675</c:v>
                </c:pt>
                <c:pt idx="155">
                  <c:v>168.54494427808675</c:v>
                </c:pt>
                <c:pt idx="156">
                  <c:v>168.54494427808675</c:v>
                </c:pt>
                <c:pt idx="157">
                  <c:v>168.54494427808675</c:v>
                </c:pt>
                <c:pt idx="158">
                  <c:v>168.54494427808675</c:v>
                </c:pt>
                <c:pt idx="159">
                  <c:v>168.54494427808675</c:v>
                </c:pt>
                <c:pt idx="160">
                  <c:v>168.54494427808675</c:v>
                </c:pt>
                <c:pt idx="161">
                  <c:v>168.54494427808675</c:v>
                </c:pt>
                <c:pt idx="162">
                  <c:v>168.54494427808675</c:v>
                </c:pt>
                <c:pt idx="163">
                  <c:v>168.54494427808675</c:v>
                </c:pt>
                <c:pt idx="164">
                  <c:v>168.54494427808675</c:v>
                </c:pt>
                <c:pt idx="165">
                  <c:v>168.54494427808675</c:v>
                </c:pt>
                <c:pt idx="166">
                  <c:v>168.54494427808675</c:v>
                </c:pt>
                <c:pt idx="167">
                  <c:v>168.54494427808675</c:v>
                </c:pt>
                <c:pt idx="168">
                  <c:v>168.54494427808675</c:v>
                </c:pt>
                <c:pt idx="169">
                  <c:v>168.54494427808675</c:v>
                </c:pt>
                <c:pt idx="170">
                  <c:v>168.54494427808675</c:v>
                </c:pt>
                <c:pt idx="171">
                  <c:v>168.54494427808675</c:v>
                </c:pt>
                <c:pt idx="172">
                  <c:v>168.54494427808675</c:v>
                </c:pt>
                <c:pt idx="173">
                  <c:v>168.54494427808675</c:v>
                </c:pt>
                <c:pt idx="174">
                  <c:v>168.54494427808675</c:v>
                </c:pt>
                <c:pt idx="175">
                  <c:v>168.54494427808675</c:v>
                </c:pt>
                <c:pt idx="176">
                  <c:v>168.54494427808675</c:v>
                </c:pt>
                <c:pt idx="177">
                  <c:v>168.54494427808675</c:v>
                </c:pt>
                <c:pt idx="178">
                  <c:v>168.54494427808675</c:v>
                </c:pt>
                <c:pt idx="179">
                  <c:v>168.54494427808675</c:v>
                </c:pt>
                <c:pt idx="180">
                  <c:v>168.54494427808675</c:v>
                </c:pt>
                <c:pt idx="181">
                  <c:v>168.54494427808675</c:v>
                </c:pt>
                <c:pt idx="182">
                  <c:v>168.54494427808675</c:v>
                </c:pt>
                <c:pt idx="183">
                  <c:v>168.54494427808675</c:v>
                </c:pt>
                <c:pt idx="184">
                  <c:v>168.54494427808675</c:v>
                </c:pt>
                <c:pt idx="185">
                  <c:v>168.54494427808675</c:v>
                </c:pt>
                <c:pt idx="186">
                  <c:v>168.54494427808675</c:v>
                </c:pt>
                <c:pt idx="187">
                  <c:v>168.54494427808675</c:v>
                </c:pt>
                <c:pt idx="188">
                  <c:v>168.54494427808675</c:v>
                </c:pt>
                <c:pt idx="189">
                  <c:v>168.54494427808675</c:v>
                </c:pt>
                <c:pt idx="190">
                  <c:v>168.54494427808675</c:v>
                </c:pt>
                <c:pt idx="191">
                  <c:v>168.54494427808675</c:v>
                </c:pt>
                <c:pt idx="192">
                  <c:v>168.54494427808675</c:v>
                </c:pt>
                <c:pt idx="193">
                  <c:v>168.54494427808675</c:v>
                </c:pt>
                <c:pt idx="194">
                  <c:v>168.54494427808675</c:v>
                </c:pt>
                <c:pt idx="195">
                  <c:v>168.54494427808675</c:v>
                </c:pt>
                <c:pt idx="196">
                  <c:v>168.54494427808675</c:v>
                </c:pt>
                <c:pt idx="197">
                  <c:v>168.54494427808675</c:v>
                </c:pt>
                <c:pt idx="198">
                  <c:v>168.54494427808675</c:v>
                </c:pt>
                <c:pt idx="199">
                  <c:v>168.54494427808675</c:v>
                </c:pt>
                <c:pt idx="200">
                  <c:v>168.54494427808675</c:v>
                </c:pt>
                <c:pt idx="201">
                  <c:v>168.54494427808675</c:v>
                </c:pt>
                <c:pt idx="202">
                  <c:v>168.54494427808675</c:v>
                </c:pt>
                <c:pt idx="203">
                  <c:v>168.54494427808675</c:v>
                </c:pt>
                <c:pt idx="204">
                  <c:v>168.54494427808675</c:v>
                </c:pt>
                <c:pt idx="205">
                  <c:v>168.54494427808675</c:v>
                </c:pt>
                <c:pt idx="206">
                  <c:v>168.54494427808675</c:v>
                </c:pt>
                <c:pt idx="207">
                  <c:v>168.54494427808675</c:v>
                </c:pt>
                <c:pt idx="208">
                  <c:v>168.54494427808675</c:v>
                </c:pt>
                <c:pt idx="209">
                  <c:v>168.54494427808675</c:v>
                </c:pt>
                <c:pt idx="210">
                  <c:v>168.54494427808675</c:v>
                </c:pt>
                <c:pt idx="211">
                  <c:v>168.54494427808675</c:v>
                </c:pt>
                <c:pt idx="212">
                  <c:v>168.54494427808675</c:v>
                </c:pt>
                <c:pt idx="213">
                  <c:v>168.54494427808675</c:v>
                </c:pt>
                <c:pt idx="214">
                  <c:v>168.54494427808675</c:v>
                </c:pt>
                <c:pt idx="215">
                  <c:v>168.54494427808675</c:v>
                </c:pt>
                <c:pt idx="216">
                  <c:v>168.54494427808675</c:v>
                </c:pt>
                <c:pt idx="217">
                  <c:v>168.54494427808675</c:v>
                </c:pt>
                <c:pt idx="218">
                  <c:v>168.54494427808675</c:v>
                </c:pt>
                <c:pt idx="219">
                  <c:v>168.54494427808675</c:v>
                </c:pt>
                <c:pt idx="220">
                  <c:v>168.54494427808675</c:v>
                </c:pt>
                <c:pt idx="221">
                  <c:v>168.54494427808675</c:v>
                </c:pt>
                <c:pt idx="222">
                  <c:v>168.54494427808675</c:v>
                </c:pt>
                <c:pt idx="223">
                  <c:v>168.54494427808675</c:v>
                </c:pt>
                <c:pt idx="224">
                  <c:v>168.54494427808675</c:v>
                </c:pt>
                <c:pt idx="225">
                  <c:v>168.54494427808675</c:v>
                </c:pt>
                <c:pt idx="226">
                  <c:v>168.54494427808675</c:v>
                </c:pt>
                <c:pt idx="227">
                  <c:v>168.54494427808675</c:v>
                </c:pt>
                <c:pt idx="228">
                  <c:v>168.54494427808675</c:v>
                </c:pt>
                <c:pt idx="229">
                  <c:v>168.54494427808675</c:v>
                </c:pt>
                <c:pt idx="230">
                  <c:v>168.54494427808675</c:v>
                </c:pt>
                <c:pt idx="231">
                  <c:v>168.54494427808675</c:v>
                </c:pt>
                <c:pt idx="232">
                  <c:v>168.54494427808675</c:v>
                </c:pt>
                <c:pt idx="233">
                  <c:v>168.54494427808675</c:v>
                </c:pt>
                <c:pt idx="234">
                  <c:v>168.54494427808675</c:v>
                </c:pt>
                <c:pt idx="235">
                  <c:v>168.54494427808675</c:v>
                </c:pt>
                <c:pt idx="236">
                  <c:v>168.54494427808675</c:v>
                </c:pt>
                <c:pt idx="237">
                  <c:v>168.54494427808675</c:v>
                </c:pt>
                <c:pt idx="238">
                  <c:v>168.54494427808675</c:v>
                </c:pt>
                <c:pt idx="239">
                  <c:v>168.54494427808675</c:v>
                </c:pt>
                <c:pt idx="240">
                  <c:v>168.54494427808675</c:v>
                </c:pt>
                <c:pt idx="241">
                  <c:v>168.54494427808675</c:v>
                </c:pt>
                <c:pt idx="242">
                  <c:v>168.54494427808675</c:v>
                </c:pt>
                <c:pt idx="243">
                  <c:v>168.54494427808675</c:v>
                </c:pt>
                <c:pt idx="244">
                  <c:v>168.54494427808675</c:v>
                </c:pt>
                <c:pt idx="245">
                  <c:v>168.54494427808675</c:v>
                </c:pt>
                <c:pt idx="246">
                  <c:v>168.54494427808675</c:v>
                </c:pt>
                <c:pt idx="247">
                  <c:v>168.54494427808675</c:v>
                </c:pt>
                <c:pt idx="248">
                  <c:v>168.54494427808675</c:v>
                </c:pt>
                <c:pt idx="249">
                  <c:v>168.54494427808675</c:v>
                </c:pt>
                <c:pt idx="250">
                  <c:v>168.54494427808675</c:v>
                </c:pt>
                <c:pt idx="251">
                  <c:v>168.54494427808675</c:v>
                </c:pt>
                <c:pt idx="252">
                  <c:v>168.54494427808675</c:v>
                </c:pt>
                <c:pt idx="253">
                  <c:v>168.54494427808675</c:v>
                </c:pt>
                <c:pt idx="254">
                  <c:v>168.54494427808675</c:v>
                </c:pt>
                <c:pt idx="255">
                  <c:v>168.54494427808675</c:v>
                </c:pt>
                <c:pt idx="256">
                  <c:v>168.54494427808675</c:v>
                </c:pt>
                <c:pt idx="257">
                  <c:v>168.54494427808675</c:v>
                </c:pt>
                <c:pt idx="258">
                  <c:v>168.54494427808675</c:v>
                </c:pt>
                <c:pt idx="259">
                  <c:v>168.54494427808675</c:v>
                </c:pt>
                <c:pt idx="260">
                  <c:v>168.54494427808675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41-40F0-8FF8-07BCA3849169}"/>
            </c:ext>
          </c:extLst>
        </c:ser>
        <c:ser>
          <c:idx val="4"/>
          <c:order val="4"/>
          <c:tx>
            <c:strRef>
              <c:f>Diagrammdaten!$G$7</c:f>
              <c:strCache>
                <c:ptCount val="1"/>
                <c:pt idx="0">
                  <c:v>fest [bar]</c:v>
                </c:pt>
              </c:strCache>
            </c:strRef>
          </c:tx>
          <c:spPr>
            <a:solidFill>
              <a:srgbClr val="D9D2E9"/>
            </a:solidFill>
            <a:ln>
              <a:noFill/>
            </a:ln>
          </c:spPr>
          <c:cat>
            <c:strRef>
              <c:f>Diagrammdaten!$C$128:$C$388</c:f>
              <c:strCache>
                <c:ptCount val="241"/>
                <c:pt idx="0">
                  <c:v>-20</c:v>
                </c:pt>
                <c:pt idx="40">
                  <c:v>0</c:v>
                </c:pt>
                <c:pt idx="80">
                  <c:v>20</c:v>
                </c:pt>
                <c:pt idx="120">
                  <c:v>40</c:v>
                </c:pt>
                <c:pt idx="160">
                  <c:v>60</c:v>
                </c:pt>
                <c:pt idx="200">
                  <c:v>80</c:v>
                </c:pt>
                <c:pt idx="240">
                  <c:v>100</c:v>
                </c:pt>
              </c:strCache>
            </c:strRef>
          </c:cat>
          <c:val>
            <c:numRef>
              <c:f>Diagrammdaten!$G$128:$G$388</c:f>
              <c:numCache>
                <c:formatCode>General</c:formatCode>
                <c:ptCount val="2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41-40F0-8FF8-07BCA38491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80001"/>
        <c:axId val="50080002"/>
      </c:areaChart>
      <c:scatterChart>
        <c:scatterStyle val="lineMarker"/>
        <c:varyColors val="0"/>
        <c:ser>
          <c:idx val="5"/>
          <c:order val="5"/>
          <c:tx>
            <c:v>Phasengrenze Gemisch (Tau-/Blasenlinie)</c:v>
          </c:tx>
          <c:spPr>
            <a:ln w="22225">
              <a:solidFill>
                <a:srgbClr val="CA220E"/>
              </a:solidFill>
            </a:ln>
          </c:spPr>
          <c:marker>
            <c:symbol val="none"/>
          </c:marker>
          <c:xVal>
            <c:numRef>
              <c:f>Diagrammdaten!$M$8:$M$77</c:f>
              <c:numCache>
                <c:formatCode>General</c:formatCode>
                <c:ptCount val="7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1.2286411329180424</c:v>
                </c:pt>
                <c:pt idx="13">
                  <c:v>7.3406945606612055</c:v>
                </c:pt>
                <c:pt idx="14">
                  <c:v>13.452747988404369</c:v>
                </c:pt>
                <c:pt idx="15">
                  <c:v>19.564801416147532</c:v>
                </c:pt>
                <c:pt idx="16">
                  <c:v>25.676854843890695</c:v>
                </c:pt>
                <c:pt idx="17">
                  <c:v>31.788908271633858</c:v>
                </c:pt>
                <c:pt idx="18">
                  <c:v>37.900961699377021</c:v>
                </c:pt>
                <c:pt idx="19">
                  <c:v>44.013015127120184</c:v>
                </c:pt>
                <c:pt idx="20">
                  <c:v>50.125068554863347</c:v>
                </c:pt>
                <c:pt idx="21">
                  <c:v>56.23712198260651</c:v>
                </c:pt>
                <c:pt idx="22">
                  <c:v>62.349175410349687</c:v>
                </c:pt>
                <c:pt idx="23">
                  <c:v>68.461228838092836</c:v>
                </c:pt>
                <c:pt idx="24">
                  <c:v>74.573282265836013</c:v>
                </c:pt>
                <c:pt idx="25">
                  <c:v>80.685335693579162</c:v>
                </c:pt>
                <c:pt idx="26">
                  <c:v>86.79738912132234</c:v>
                </c:pt>
                <c:pt idx="27">
                  <c:v>92.909442549065488</c:v>
                </c:pt>
                <c:pt idx="28">
                  <c:v>93.115303345344046</c:v>
                </c:pt>
                <c:pt idx="29">
                  <c:v>95.096710873183156</c:v>
                </c:pt>
                <c:pt idx="30">
                  <c:v>96.469779968250691</c:v>
                </c:pt>
                <c:pt idx="31">
                  <c:v>97.147083729487235</c:v>
                </c:pt>
                <c:pt idx="32">
                  <c:v>97.186648700233036</c:v>
                </c:pt>
                <c:pt idx="33">
                  <c:v>97.119764583582423</c:v>
                </c:pt>
                <c:pt idx="34">
                  <c:v>96.69912051454844</c:v>
                </c:pt>
                <c:pt idx="35">
                  <c:v>96.533331288438717</c:v>
                </c:pt>
                <c:pt idx="36">
                  <c:v>96.09101257175962</c:v>
                </c:pt>
                <c:pt idx="37">
                  <c:v>95.895667133901043</c:v>
                </c:pt>
                <c:pt idx="38">
                  <c:v>95.426235986769143</c:v>
                </c:pt>
                <c:pt idx="39">
                  <c:v>94.829364704481804</c:v>
                </c:pt>
                <c:pt idx="40">
                  <c:v>93.224341909750933</c:v>
                </c:pt>
                <c:pt idx="41">
                  <c:v>92.909442549065488</c:v>
                </c:pt>
                <c:pt idx="42">
                  <c:v>87.015676743741722</c:v>
                </c:pt>
                <c:pt idx="43">
                  <c:v>81.121910938417955</c:v>
                </c:pt>
                <c:pt idx="44">
                  <c:v>75.228145133094188</c:v>
                </c:pt>
                <c:pt idx="45">
                  <c:v>69.334379327770421</c:v>
                </c:pt>
                <c:pt idx="46">
                  <c:v>63.440613522446661</c:v>
                </c:pt>
                <c:pt idx="47">
                  <c:v>57.546847717122901</c:v>
                </c:pt>
                <c:pt idx="48">
                  <c:v>51.653081911799134</c:v>
                </c:pt>
                <c:pt idx="49">
                  <c:v>45.759316106475367</c:v>
                </c:pt>
                <c:pt idx="50">
                  <c:v>39.8655503011516</c:v>
                </c:pt>
                <c:pt idx="51">
                  <c:v>33.971784495827833</c:v>
                </c:pt>
                <c:pt idx="52">
                  <c:v>28.078018690504067</c:v>
                </c:pt>
                <c:pt idx="53">
                  <c:v>22.184252885180314</c:v>
                </c:pt>
                <c:pt idx="54">
                  <c:v>16.290487079856547</c:v>
                </c:pt>
                <c:pt idx="55">
                  <c:v>10.39672127453278</c:v>
                </c:pt>
                <c:pt idx="56">
                  <c:v>4.502955469209013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</c:numCache>
            </c:numRef>
          </c:xVal>
          <c:yVal>
            <c:numRef>
              <c:f>Diagrammdaten!$K$8:$K$77</c:f>
              <c:numCache>
                <c:formatCode>General</c:formatCode>
                <c:ptCount val="70"/>
                <c:pt idx="0">
                  <c:v>5.4780051259929632</c:v>
                </c:pt>
                <c:pt idx="1">
                  <c:v>6.2465283664309963</c:v>
                </c:pt>
                <c:pt idx="2">
                  <c:v>7.094026716138905</c:v>
                </c:pt>
                <c:pt idx="3">
                  <c:v>8.0255579412624787</c:v>
                </c:pt>
                <c:pt idx="4">
                  <c:v>9.0463049806261271</c:v>
                </c:pt>
                <c:pt idx="5">
                  <c:v>10.161580260227899</c:v>
                </c:pt>
                <c:pt idx="6">
                  <c:v>11.376832494554185</c:v>
                </c:pt>
                <c:pt idx="7">
                  <c:v>12.697656236143098</c:v>
                </c:pt>
                <c:pt idx="8">
                  <c:v>14.129804656079587</c:v>
                </c:pt>
                <c:pt idx="9">
                  <c:v>15.67923451447156</c:v>
                </c:pt>
                <c:pt idx="10">
                  <c:v>17.352406968327372</c:v>
                </c:pt>
                <c:pt idx="11">
                  <c:v>19.155353708527862</c:v>
                </c:pt>
                <c:pt idx="12">
                  <c:v>21.094699875721581</c:v>
                </c:pt>
                <c:pt idx="13">
                  <c:v>23.177390130610402</c:v>
                </c:pt>
                <c:pt idx="14">
                  <c:v>25.410755922853671</c:v>
                </c:pt>
                <c:pt idx="15">
                  <c:v>27.802604003304531</c:v>
                </c:pt>
                <c:pt idx="16">
                  <c:v>30.363205999893026</c:v>
                </c:pt>
                <c:pt idx="17">
                  <c:v>33.096101826227539</c:v>
                </c:pt>
                <c:pt idx="18">
                  <c:v>36.017129110207115</c:v>
                </c:pt>
                <c:pt idx="19">
                  <c:v>39.136313339837116</c:v>
                </c:pt>
                <c:pt idx="20">
                  <c:v>42.466439159222979</c:v>
                </c:pt>
                <c:pt idx="21">
                  <c:v>46.023360530623989</c:v>
                </c:pt>
                <c:pt idx="22">
                  <c:v>49.826593298424697</c:v>
                </c:pt>
                <c:pt idx="23">
                  <c:v>53.902917038676897</c:v>
                </c:pt>
                <c:pt idx="24">
                  <c:v>58.288588500852839</c:v>
                </c:pt>
                <c:pt idx="25">
                  <c:v>63.115296932976065</c:v>
                </c:pt>
                <c:pt idx="26">
                  <c:v>68.296439810562831</c:v>
                </c:pt>
                <c:pt idx="27">
                  <c:v>74.339555460510013</c:v>
                </c:pt>
                <c:pt idx="28">
                  <c:v>74.556723930467271</c:v>
                </c:pt>
                <c:pt idx="29">
                  <c:v>76.933953502157294</c:v>
                </c:pt>
                <c:pt idx="30">
                  <c:v>78.941156502790562</c:v>
                </c:pt>
                <c:pt idx="31">
                  <c:v>80.494760566134005</c:v>
                </c:pt>
                <c:pt idx="32">
                  <c:v>80.896473762668705</c:v>
                </c:pt>
                <c:pt idx="33">
                  <c:v>81.224767037052715</c:v>
                </c:pt>
                <c:pt idx="34">
                  <c:v>81.685344406773822</c:v>
                </c:pt>
                <c:pt idx="35">
                  <c:v>81.838319578037911</c:v>
                </c:pt>
                <c:pt idx="36">
                  <c:v>82.075301596995402</c:v>
                </c:pt>
                <c:pt idx="37">
                  <c:v>82.127440129186695</c:v>
                </c:pt>
                <c:pt idx="38">
                  <c:v>82.17759431791859</c:v>
                </c:pt>
                <c:pt idx="39">
                  <c:v>82.142568673071494</c:v>
                </c:pt>
                <c:pt idx="40">
                  <c:v>81.790286378469247</c:v>
                </c:pt>
                <c:pt idx="41">
                  <c:v>81.686326049855197</c:v>
                </c:pt>
                <c:pt idx="42">
                  <c:v>79.403896306172044</c:v>
                </c:pt>
                <c:pt idx="43">
                  <c:v>76.706643047108898</c:v>
                </c:pt>
                <c:pt idx="44">
                  <c:v>73.917273160672508</c:v>
                </c:pt>
                <c:pt idx="45">
                  <c:v>71.162241328121723</c:v>
                </c:pt>
                <c:pt idx="46">
                  <c:v>68.499105449613097</c:v>
                </c:pt>
                <c:pt idx="47">
                  <c:v>65.950868682966799</c:v>
                </c:pt>
                <c:pt idx="48">
                  <c:v>63.532027644965225</c:v>
                </c:pt>
                <c:pt idx="49">
                  <c:v>61.252710857907914</c:v>
                </c:pt>
                <c:pt idx="50">
                  <c:v>59.119111530194637</c:v>
                </c:pt>
                <c:pt idx="51">
                  <c:v>57.135698205735828</c:v>
                </c:pt>
                <c:pt idx="52">
                  <c:v>55.304834874033894</c:v>
                </c:pt>
                <c:pt idx="53">
                  <c:v>53.628494465250789</c:v>
                </c:pt>
                <c:pt idx="54">
                  <c:v>52.108566858257042</c:v>
                </c:pt>
                <c:pt idx="55">
                  <c:v>50.747017816934239</c:v>
                </c:pt>
                <c:pt idx="56">
                  <c:v>49.546046180813249</c:v>
                </c:pt>
                <c:pt idx="57">
                  <c:v>48.508227960961797</c:v>
                </c:pt>
                <c:pt idx="58">
                  <c:v>47.636678138918917</c:v>
                </c:pt>
                <c:pt idx="59">
                  <c:v>46.935238191457664</c:v>
                </c:pt>
                <c:pt idx="60">
                  <c:v>46.40892779619076</c:v>
                </c:pt>
                <c:pt idx="61">
                  <c:v>46.063863329321116</c:v>
                </c:pt>
                <c:pt idx="62">
                  <c:v>45.907235940758852</c:v>
                </c:pt>
                <c:pt idx="63">
                  <c:v>45.948412119295952</c:v>
                </c:pt>
                <c:pt idx="64">
                  <c:v>46.199065481880361</c:v>
                </c:pt>
                <c:pt idx="65">
                  <c:v>46.673734775122661</c:v>
                </c:pt>
                <c:pt idx="66">
                  <c:v>47.390529862815043</c:v>
                </c:pt>
                <c:pt idx="67">
                  <c:v>48.372032320327683</c:v>
                </c:pt>
                <c:pt idx="68">
                  <c:v>49.646459563221228</c:v>
                </c:pt>
                <c:pt idx="69">
                  <c:v>51.249178858911719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C41-40F0-8FF8-07BCA3849169}"/>
            </c:ext>
          </c:extLst>
        </c:ser>
        <c:ser>
          <c:idx val="17"/>
          <c:order val="6"/>
          <c:tx>
            <c:v>Beschriftung Phasengebiete E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flüssig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2C41-40F0-8FF8-07BCA384916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überkritisch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2C41-40F0-8FF8-07BCA384916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gasförmig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2C41-40F0-8FF8-07BCA384916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zweiphasig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2C41-40F0-8FF8-07BCA384916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CA220E"/>
                        </a:solidFill>
                      </a:rPr>
                      <a:t>zweiphasig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2C41-40F0-8FF8-07BCA3849169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Diagrammdaten!$M$399:$M$402</c:f>
              <c:numCache>
                <c:formatCode>General</c:formatCode>
                <c:ptCount val="4"/>
                <c:pt idx="0">
                  <c:v>41</c:v>
                </c:pt>
                <c:pt idx="1">
                  <c:v>211</c:v>
                </c:pt>
                <c:pt idx="2">
                  <c:v>191</c:v>
                </c:pt>
                <c:pt idx="3">
                  <c:v>17</c:v>
                </c:pt>
              </c:numCache>
            </c:numRef>
          </c:xVal>
          <c:yVal>
            <c:numRef>
              <c:f>Diagrammdaten!$K$399:$K$402</c:f>
              <c:numCache>
                <c:formatCode>General</c:formatCode>
                <c:ptCount val="4"/>
                <c:pt idx="0">
                  <c:v>105</c:v>
                </c:pt>
                <c:pt idx="1">
                  <c:v>120</c:v>
                </c:pt>
                <c:pt idx="2">
                  <c:v>15</c:v>
                </c:pt>
                <c:pt idx="3">
                  <c:v>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2C41-40F0-8FF8-07BCA3849169}"/>
            </c:ext>
          </c:extLst>
        </c:ser>
        <c:ser>
          <c:idx val="6"/>
          <c:order val="7"/>
          <c:tx>
            <c:v>Sättigungslinie reines CO₂ (Vergleich)</c:v>
          </c:tx>
          <c:spPr>
            <a:ln w="12700" cap="rnd">
              <a:solidFill>
                <a:srgbClr val="808080"/>
              </a:solidFill>
              <a:round/>
            </a:ln>
          </c:spPr>
          <c:marker>
            <c:symbol val="none"/>
          </c:marker>
          <c:xVal>
            <c:numRef>
              <c:f>Diagrammdaten!$M$256:$M$296</c:f>
              <c:numCache>
                <c:formatCode>General</c:formatCode>
                <c:ptCount val="4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2.2889200025337004</c:v>
                </c:pt>
                <c:pt idx="18">
                  <c:v>6.6656800026827341</c:v>
                </c:pt>
                <c:pt idx="19">
                  <c:v>11.042440002831768</c:v>
                </c:pt>
                <c:pt idx="20">
                  <c:v>15.419200002980801</c:v>
                </c:pt>
                <c:pt idx="21">
                  <c:v>19.795960003129835</c:v>
                </c:pt>
                <c:pt idx="22">
                  <c:v>24.172720003278869</c:v>
                </c:pt>
                <c:pt idx="23">
                  <c:v>28.549480003427902</c:v>
                </c:pt>
                <c:pt idx="24">
                  <c:v>32.926240003576936</c:v>
                </c:pt>
                <c:pt idx="25">
                  <c:v>37.30300000372597</c:v>
                </c:pt>
                <c:pt idx="26">
                  <c:v>41.679760003875003</c:v>
                </c:pt>
                <c:pt idx="27">
                  <c:v>46.056520004024037</c:v>
                </c:pt>
                <c:pt idx="28">
                  <c:v>50.433280004173071</c:v>
                </c:pt>
                <c:pt idx="29">
                  <c:v>54.810040004322104</c:v>
                </c:pt>
                <c:pt idx="30">
                  <c:v>59.186800004471138</c:v>
                </c:pt>
                <c:pt idx="31">
                  <c:v>63.563560004620172</c:v>
                </c:pt>
                <c:pt idx="32">
                  <c:v>67.940320004769205</c:v>
                </c:pt>
                <c:pt idx="33">
                  <c:v>72.317080004918239</c:v>
                </c:pt>
                <c:pt idx="34">
                  <c:v>76.693840005067273</c:v>
                </c:pt>
                <c:pt idx="35">
                  <c:v>81.070600005216306</c:v>
                </c:pt>
                <c:pt idx="36">
                  <c:v>85.44736000536534</c:v>
                </c:pt>
                <c:pt idx="37">
                  <c:v>89.824120005514374</c:v>
                </c:pt>
                <c:pt idx="38">
                  <c:v>94.200880005663407</c:v>
                </c:pt>
                <c:pt idx="39">
                  <c:v>98.577640005812441</c:v>
                </c:pt>
                <c:pt idx="40">
                  <c:v>102.95440000596147</c:v>
                </c:pt>
              </c:numCache>
            </c:numRef>
          </c:xVal>
          <c:yVal>
            <c:numRef>
              <c:f>Diagrammdaten!$K$256:$K$296</c:f>
              <c:numCache>
                <c:formatCode>General</c:formatCode>
                <c:ptCount val="41"/>
                <c:pt idx="0">
                  <c:v>5.179643433349451</c:v>
                </c:pt>
                <c:pt idx="1">
                  <c:v>5.690561898357319</c:v>
                </c:pt>
                <c:pt idx="2">
                  <c:v>6.2385925725646123</c:v>
                </c:pt>
                <c:pt idx="3">
                  <c:v>6.825395560929695</c:v>
                </c:pt>
                <c:pt idx="4">
                  <c:v>7.4526521748979997</c:v>
                </c:pt>
                <c:pt idx="5">
                  <c:v>8.1220643662310241</c:v>
                </c:pt>
                <c:pt idx="6">
                  <c:v>8.8353543202131775</c:v>
                </c:pt>
                <c:pt idx="7">
                  <c:v>9.5942642191494194</c:v>
                </c:pt>
                <c:pt idx="8">
                  <c:v>10.400556183845032</c:v>
                </c:pt>
                <c:pt idx="9">
                  <c:v>11.256012395801237</c:v>
                </c:pt>
                <c:pt idx="10">
                  <c:v>12.162435399008638</c:v>
                </c:pt>
                <c:pt idx="11">
                  <c:v>13.12164858209297</c:v>
                </c:pt>
                <c:pt idx="12">
                  <c:v>14.135496853100509</c:v>
                </c:pt>
                <c:pt idx="13">
                  <c:v>15.205847540490653</c:v>
                </c:pt>
                <c:pt idx="14">
                  <c:v>16.334591579694806</c:v>
                </c:pt>
                <c:pt idx="15">
                  <c:v>17.523645066186731</c:v>
                </c:pt>
                <c:pt idx="16">
                  <c:v>18.774951265593533</c:v>
                </c:pt>
                <c:pt idx="17">
                  <c:v>20.09048316632229</c:v>
                </c:pt>
                <c:pt idx="18">
                  <c:v>21.472246644534383</c:v>
                </c:pt>
                <c:pt idx="19">
                  <c:v>22.922284294019239</c:v>
                </c:pt>
                <c:pt idx="20">
                  <c:v>24.442679965043133</c:v>
                </c:pt>
                <c:pt idx="21">
                  <c:v>26.035564065652519</c:v>
                </c:pt>
                <c:pt idx="22">
                  <c:v>27.703119713043016</c:v>
                </c:pt>
                <c:pt idx="23">
                  <c:v>29.447589887066314</c:v>
                </c:pt>
                <c:pt idx="24">
                  <c:v>31.271285838462976</c:v>
                </c:pt>
                <c:pt idx="25">
                  <c:v>33.176597146455947</c:v>
                </c:pt>
                <c:pt idx="26">
                  <c:v>35.166004004476882</c:v>
                </c:pt>
                <c:pt idx="27">
                  <c:v>37.242092524682882</c:v>
                </c:pt>
                <c:pt idx="28">
                  <c:v>39.40757405146131</c:v>
                </c:pt>
                <c:pt idx="29">
                  <c:v>41.665309602075148</c:v>
                </c:pt>
                <c:pt idx="30">
                  <c:v>44.018340595742728</c:v>
                </c:pt>
                <c:pt idx="31">
                  <c:v>46.46992720935107</c:v>
                </c:pt>
                <c:pt idx="32">
                  <c:v>49.023596810330844</c:v>
                </c:pt>
                <c:pt idx="33">
                  <c:v>51.683208775895139</c:v>
                </c:pt>
                <c:pt idx="34">
                  <c:v>54.453051446377017</c:v>
                </c:pt>
                <c:pt idx="35">
                  <c:v>57.338004121264795</c:v>
                </c:pt>
                <c:pt idx="36">
                  <c:v>60.343818172330835</c:v>
                </c:pt>
                <c:pt idx="37">
                  <c:v>63.4775854036277</c:v>
                </c:pt>
                <c:pt idx="38">
                  <c:v>66.748524248563641</c:v>
                </c:pt>
                <c:pt idx="39">
                  <c:v>70.169980059503217</c:v>
                </c:pt>
                <c:pt idx="40">
                  <c:v>73.771278108842608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C41-40F0-8FF8-07BCA3849169}"/>
            </c:ext>
          </c:extLst>
        </c:ser>
        <c:ser>
          <c:idx val="7"/>
          <c:order val="8"/>
          <c:tx>
            <c:v>Blasenlinie + 3 bar (sicher flüssig)</c:v>
          </c:tx>
          <c:spPr>
            <a:ln w="12700" cap="rnd">
              <a:solidFill>
                <a:srgbClr val="CA220E"/>
              </a:solidFill>
              <a:prstDash val="dash"/>
              <a:round/>
            </a:ln>
          </c:spPr>
          <c:marker>
            <c:symbol val="none"/>
          </c:marker>
          <c:xVal>
            <c:numRef>
              <c:f>Diagrammdaten!$M$298:$M$327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3.559743678935547</c:v>
                </c:pt>
                <c:pt idx="14">
                  <c:v>9.3809547311613528</c:v>
                </c:pt>
                <c:pt idx="15">
                  <c:v>15.202165783387159</c:v>
                </c:pt>
                <c:pt idx="16">
                  <c:v>21.023376835612964</c:v>
                </c:pt>
                <c:pt idx="17">
                  <c:v>26.84458788783877</c:v>
                </c:pt>
                <c:pt idx="18">
                  <c:v>32.665798940064576</c:v>
                </c:pt>
                <c:pt idx="19">
                  <c:v>38.487009992290382</c:v>
                </c:pt>
                <c:pt idx="20">
                  <c:v>44.308221044516188</c:v>
                </c:pt>
                <c:pt idx="21">
                  <c:v>50.129432096741994</c:v>
                </c:pt>
                <c:pt idx="22">
                  <c:v>55.950643148967799</c:v>
                </c:pt>
                <c:pt idx="23">
                  <c:v>61.771854201193605</c:v>
                </c:pt>
                <c:pt idx="24">
                  <c:v>67.593065253419411</c:v>
                </c:pt>
                <c:pt idx="25">
                  <c:v>73.414276305645217</c:v>
                </c:pt>
                <c:pt idx="26">
                  <c:v>79.235487357871023</c:v>
                </c:pt>
                <c:pt idx="27">
                  <c:v>85.056698410096828</c:v>
                </c:pt>
                <c:pt idx="28">
                  <c:v>90.877909462322634</c:v>
                </c:pt>
                <c:pt idx="29">
                  <c:v>96.69912051454844</c:v>
                </c:pt>
              </c:numCache>
            </c:numRef>
          </c:xVal>
          <c:yVal>
            <c:numRef>
              <c:f>Diagrammdaten!$K$298:$K$327</c:f>
              <c:numCache>
                <c:formatCode>General</c:formatCode>
                <c:ptCount val="30"/>
                <c:pt idx="0">
                  <c:v>54.249178858911719</c:v>
                </c:pt>
                <c:pt idx="1">
                  <c:v>52.664363407576069</c:v>
                </c:pt>
                <c:pt idx="2">
                  <c:v>51.40003231788009</c:v>
                </c:pt>
                <c:pt idx="3">
                  <c:v>50.422039629483656</c:v>
                </c:pt>
                <c:pt idx="4">
                  <c:v>49.703056462019831</c:v>
                </c:pt>
                <c:pt idx="5">
                  <c:v>49.221145655561216</c:v>
                </c:pt>
                <c:pt idx="6">
                  <c:v>48.959101170097277</c:v>
                </c:pt>
                <c:pt idx="7">
                  <c:v>48.902828994722412</c:v>
                </c:pt>
                <c:pt idx="8">
                  <c:v>49.040237729303101</c:v>
                </c:pt>
                <c:pt idx="9">
                  <c:v>49.362146363389712</c:v>
                </c:pt>
                <c:pt idx="10">
                  <c:v>49.861173471192402</c:v>
                </c:pt>
                <c:pt idx="11">
                  <c:v>50.531397928398562</c:v>
                </c:pt>
                <c:pt idx="12">
                  <c:v>51.368765341961051</c:v>
                </c:pt>
                <c:pt idx="13">
                  <c:v>52.368889762331087</c:v>
                </c:pt>
                <c:pt idx="14">
                  <c:v>53.528518650089161</c:v>
                </c:pt>
                <c:pt idx="15">
                  <c:v>54.845101014529511</c:v>
                </c:pt>
                <c:pt idx="16">
                  <c:v>56.316468002074117</c:v>
                </c:pt>
                <c:pt idx="17">
                  <c:v>57.940872900767133</c:v>
                </c:pt>
                <c:pt idx="18">
                  <c:v>59.716932633410508</c:v>
                </c:pt>
                <c:pt idx="19">
                  <c:v>61.642103419846549</c:v>
                </c:pt>
                <c:pt idx="20">
                  <c:v>63.71401451613437</c:v>
                </c:pt>
                <c:pt idx="21">
                  <c:v>65.929211829067867</c:v>
                </c:pt>
                <c:pt idx="22">
                  <c:v>68.282233623562746</c:v>
                </c:pt>
                <c:pt idx="23">
                  <c:v>70.764954852547746</c:v>
                </c:pt>
                <c:pt idx="24">
                  <c:v>73.364513310303693</c:v>
                </c:pt>
                <c:pt idx="25">
                  <c:v>76.061587611447692</c:v>
                </c:pt>
                <c:pt idx="26">
                  <c:v>78.81922862244744</c:v>
                </c:pt>
                <c:pt idx="27">
                  <c:v>81.507379398410805</c:v>
                </c:pt>
                <c:pt idx="28">
                  <c:v>84.006386183492225</c:v>
                </c:pt>
                <c:pt idx="29">
                  <c:v>84.685344406773822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C41-40F0-8FF8-07BCA3849169}"/>
            </c:ext>
          </c:extLst>
        </c:ser>
        <c:ser>
          <c:idx val="8"/>
          <c:order val="9"/>
          <c:tx>
            <c:v>Taulinie − 3 bar (sicher gasförmig)</c:v>
          </c:tx>
          <c:spPr>
            <a:ln w="12700" cap="rnd">
              <a:solidFill>
                <a:srgbClr val="CA220E"/>
              </a:solidFill>
              <a:prstDash val="dash"/>
              <a:round/>
            </a:ln>
          </c:spPr>
          <c:marker>
            <c:symbol val="none"/>
          </c:marker>
          <c:xVal>
            <c:numRef>
              <c:f>Diagrammdaten!$M$329:$M$358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3.7782907966562362</c:v>
                </c:pt>
                <c:pt idx="14">
                  <c:v>9.6163131656297764</c:v>
                </c:pt>
                <c:pt idx="15">
                  <c:v>15.454335534603331</c:v>
                </c:pt>
                <c:pt idx="16">
                  <c:v>21.292357903576885</c:v>
                </c:pt>
                <c:pt idx="17">
                  <c:v>27.13038027255044</c:v>
                </c:pt>
                <c:pt idx="18">
                  <c:v>32.968402641523994</c:v>
                </c:pt>
                <c:pt idx="19">
                  <c:v>38.806425010497534</c:v>
                </c:pt>
                <c:pt idx="20">
                  <c:v>44.644447379471089</c:v>
                </c:pt>
                <c:pt idx="21">
                  <c:v>50.482469748444643</c:v>
                </c:pt>
                <c:pt idx="22">
                  <c:v>56.320492117418183</c:v>
                </c:pt>
                <c:pt idx="23">
                  <c:v>62.158514486391738</c:v>
                </c:pt>
                <c:pt idx="24">
                  <c:v>67.996536855365292</c:v>
                </c:pt>
                <c:pt idx="25">
                  <c:v>73.834559224338847</c:v>
                </c:pt>
                <c:pt idx="26">
                  <c:v>79.672581593312401</c:v>
                </c:pt>
                <c:pt idx="27">
                  <c:v>85.510603962285956</c:v>
                </c:pt>
                <c:pt idx="28">
                  <c:v>91.348626331259482</c:v>
                </c:pt>
                <c:pt idx="29">
                  <c:v>97.186648700233036</c:v>
                </c:pt>
              </c:numCache>
            </c:numRef>
          </c:xVal>
          <c:yVal>
            <c:numRef>
              <c:f>Diagrammdaten!$K$329:$K$358</c:f>
              <c:numCache>
                <c:formatCode>General</c:formatCode>
                <c:ptCount val="30"/>
                <c:pt idx="0">
                  <c:v>2.4780051259929632</c:v>
                </c:pt>
                <c:pt idx="1">
                  <c:v>3.2104599332675336</c:v>
                </c:pt>
                <c:pt idx="2">
                  <c:v>4.0147345983788778</c:v>
                </c:pt>
                <c:pt idx="3">
                  <c:v>4.8949818046756448</c:v>
                </c:pt>
                <c:pt idx="4">
                  <c:v>5.8564245962950601</c:v>
                </c:pt>
                <c:pt idx="5">
                  <c:v>6.9029427794701999</c:v>
                </c:pt>
                <c:pt idx="6">
                  <c:v>8.0394947701484778</c:v>
                </c:pt>
                <c:pt idx="7">
                  <c:v>9.2713091561138921</c:v>
                </c:pt>
                <c:pt idx="8">
                  <c:v>10.603085389059821</c:v>
                </c:pt>
                <c:pt idx="9">
                  <c:v>12.039852172418426</c:v>
                </c:pt>
                <c:pt idx="10">
                  <c:v>13.586873765952987</c:v>
                </c:pt>
                <c:pt idx="11">
                  <c:v>15.249592936904534</c:v>
                </c:pt>
                <c:pt idx="12">
                  <c:v>17.033658727159636</c:v>
                </c:pt>
                <c:pt idx="13">
                  <c:v>18.945376817165933</c:v>
                </c:pt>
                <c:pt idx="14">
                  <c:v>20.990785665133657</c:v>
                </c:pt>
                <c:pt idx="15">
                  <c:v>23.176208762572006</c:v>
                </c:pt>
                <c:pt idx="16">
                  <c:v>25.508607393240041</c:v>
                </c:pt>
                <c:pt idx="17">
                  <c:v>27.995474228307575</c:v>
                </c:pt>
                <c:pt idx="18">
                  <c:v>30.644973518769611</c:v>
                </c:pt>
                <c:pt idx="19">
                  <c:v>33.466550208449242</c:v>
                </c:pt>
                <c:pt idx="20">
                  <c:v>36.470502620113258</c:v>
                </c:pt>
                <c:pt idx="21">
                  <c:v>39.668178690413654</c:v>
                </c:pt>
                <c:pt idx="22">
                  <c:v>43.073587576943865</c:v>
                </c:pt>
                <c:pt idx="23">
                  <c:v>46.703908661604409</c:v>
                </c:pt>
                <c:pt idx="24">
                  <c:v>50.58211318954023</c:v>
                </c:pt>
                <c:pt idx="25">
                  <c:v>54.739597871776695</c:v>
                </c:pt>
                <c:pt idx="26">
                  <c:v>59.295247173517502</c:v>
                </c:pt>
                <c:pt idx="27">
                  <c:v>64.156072857380096</c:v>
                </c:pt>
                <c:pt idx="28">
                  <c:v>69.693005578099459</c:v>
                </c:pt>
                <c:pt idx="29">
                  <c:v>77.896473762668705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C41-40F0-8FF8-07BCA3849169}"/>
            </c:ext>
          </c:extLst>
        </c:ser>
        <c:ser>
          <c:idx val="14"/>
          <c:order val="10"/>
          <c:tx>
            <c:v>S2: verdichten → überkritisch kühlen → pumpen</c:v>
          </c:tx>
          <c:spPr>
            <a:ln w="28575">
              <a:solidFill>
                <a:srgbClr val="0476D9"/>
              </a:solidFill>
            </a:ln>
          </c:spPr>
          <c:marker>
            <c:symbol val="circle"/>
            <c:size val="6"/>
            <c:spPr>
              <a:solidFill>
                <a:srgbClr val="0476D9"/>
              </a:solidFill>
              <a:ln>
                <a:solidFill>
                  <a:srgbClr val="0476D9"/>
                </a:solidFill>
              </a:ln>
            </c:spPr>
          </c:marker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 b="1">
                        <a:solidFill>
                          <a:srgbClr val="404040"/>
                        </a:solidFill>
                      </a:defRPr>
                    </a:pPr>
                    <a:r>
                      <a:rPr lang="en-US"/>
                      <a:t>Netzübergabe 30 bar / 15 °C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2C41-40F0-8FF8-07BCA3849169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 b="1">
                        <a:solidFill>
                          <a:srgbClr val="404040"/>
                        </a:solidFill>
                      </a:defRPr>
                    </a:pPr>
                    <a:r>
                      <a:rPr lang="en-US"/>
                      <a:t>Verdichter 1: 57,5 °C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2C41-40F0-8FF8-07BCA3849169}"/>
                </c:ext>
              </c:extLst>
            </c:dLbl>
            <c:dLbl>
              <c:idx val="2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 b="1">
                        <a:solidFill>
                          <a:srgbClr val="404040"/>
                        </a:solidFill>
                      </a:defRPr>
                    </a:pPr>
                    <a:r>
                      <a:rPr lang="en-US"/>
                      <a:t>Zwischenkühler 50 bar / 26 °C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2C41-40F0-8FF8-07BCA3849169}"/>
                </c:ext>
              </c:extLst>
            </c:dLbl>
            <c:dLbl>
              <c:idx val="3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 b="1">
                        <a:solidFill>
                          <a:srgbClr val="404040"/>
                        </a:solidFill>
                      </a:defRPr>
                    </a:pPr>
                    <a:r>
                      <a:rPr lang="en-US"/>
                      <a:t>Verdichter 2: 77,4 °C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2C41-40F0-8FF8-07BCA3849169}"/>
                </c:ext>
              </c:extLst>
            </c:dLbl>
            <c:dLbl>
              <c:idx val="4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 b="1">
                        <a:solidFill>
                          <a:srgbClr val="404040"/>
                        </a:solidFill>
                      </a:defRPr>
                    </a:pPr>
                    <a:r>
                      <a:rPr lang="en-US"/>
                      <a:t>Kühler 91 bar / 26 °C → Pumpe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2C41-40F0-8FF8-07BCA3849169}"/>
                </c:ext>
              </c:extLst>
            </c:dLbl>
            <c:dLbl>
              <c:idx val="5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 b="1">
                        <a:solidFill>
                          <a:srgbClr val="404040"/>
                        </a:solidFill>
                      </a:defRPr>
                    </a:pPr>
                    <a:r>
                      <a:rPr lang="en-US"/>
                      <a:t>Bohrlochkopf 114,9 bar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2C41-40F0-8FF8-07BCA384916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Diagrammdaten!$M$128:$M$133</c:f>
              <c:numCache>
                <c:formatCode>General</c:formatCode>
                <c:ptCount val="6"/>
                <c:pt idx="0">
                  <c:v>71</c:v>
                </c:pt>
                <c:pt idx="1">
                  <c:v>155.99996894817946</c:v>
                </c:pt>
                <c:pt idx="2">
                  <c:v>93</c:v>
                </c:pt>
                <c:pt idx="3">
                  <c:v>195.75429467943798</c:v>
                </c:pt>
                <c:pt idx="4">
                  <c:v>93</c:v>
                </c:pt>
                <c:pt idx="5">
                  <c:v>104.49938892528485</c:v>
                </c:pt>
              </c:numCache>
            </c:numRef>
          </c:xVal>
          <c:yVal>
            <c:numRef>
              <c:f>Diagrammdaten!$K$128:$K$133</c:f>
              <c:numCache>
                <c:formatCode>General</c:formatCode>
                <c:ptCount val="6"/>
                <c:pt idx="0">
                  <c:v>30</c:v>
                </c:pt>
                <c:pt idx="1">
                  <c:v>50</c:v>
                </c:pt>
                <c:pt idx="2">
                  <c:v>50</c:v>
                </c:pt>
                <c:pt idx="3">
                  <c:v>91</c:v>
                </c:pt>
                <c:pt idx="4">
                  <c:v>91</c:v>
                </c:pt>
                <c:pt idx="5">
                  <c:v>114.93130198208927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C41-40F0-8FF8-07BCA3849169}"/>
            </c:ext>
          </c:extLst>
        </c:ser>
        <c:ser>
          <c:idx val="12"/>
          <c:order val="11"/>
          <c:tx>
            <c:v>Kritischer Punkt Gemisch</c:v>
          </c:tx>
          <c:spPr>
            <a:ln>
              <a:noFill/>
            </a:ln>
          </c:spPr>
          <c:marker>
            <c:symbol val="circle"/>
            <c:size val="8"/>
            <c:spPr>
              <a:solidFill>
                <a:srgbClr val="CA220E"/>
              </a:solidFill>
              <a:ln>
                <a:solidFill>
                  <a:srgbClr val="CA220E"/>
                </a:solidFill>
              </a:ln>
            </c:spPr>
          </c:marker>
          <c:xVal>
            <c:numRef>
              <c:f>Diagrammdaten!$M$123</c:f>
              <c:numCache>
                <c:formatCode>General</c:formatCode>
                <c:ptCount val="1"/>
                <c:pt idx="0">
                  <c:v>96.909442549065488</c:v>
                </c:pt>
              </c:numCache>
            </c:numRef>
          </c:xVal>
          <c:yVal>
            <c:numRef>
              <c:f>Diagrammdaten!$K$123</c:f>
              <c:numCache>
                <c:formatCode>General</c:formatCode>
                <c:ptCount val="1"/>
                <c:pt idx="0">
                  <c:v>81.455055721913254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C41-40F0-8FF8-07BCA3849169}"/>
            </c:ext>
          </c:extLst>
        </c:ser>
        <c:ser>
          <c:idx val="20"/>
          <c:order val="12"/>
          <c:tx>
            <c:v>ρ = 500 kg/m³ (Gemisch)</c:v>
          </c:tx>
          <c:spPr>
            <a:ln w="19050" cap="rnd">
              <a:solidFill>
                <a:srgbClr val="EE7203"/>
              </a:solidFill>
              <a:prstDash val="dot"/>
            </a:ln>
          </c:spPr>
          <c:marker>
            <c:symbol val="none"/>
          </c:marker>
          <c:xVal>
            <c:numRef>
              <c:f>Diagrammdaten!$M$367:$M$378</c:f>
              <c:numCache>
                <c:formatCode>General</c:formatCode>
                <c:ptCount val="12"/>
                <c:pt idx="0">
                  <c:v>97.851343560353286</c:v>
                </c:pt>
                <c:pt idx="1">
                  <c:v>102.00349837929956</c:v>
                </c:pt>
                <c:pt idx="2">
                  <c:v>106.12709398633616</c:v>
                </c:pt>
                <c:pt idx="3">
                  <c:v>110.22967074606738</c:v>
                </c:pt>
                <c:pt idx="4">
                  <c:v>114.31034545220446</c:v>
                </c:pt>
                <c:pt idx="5">
                  <c:v>118.37850541109459</c:v>
                </c:pt>
                <c:pt idx="6">
                  <c:v>122.43380590193343</c:v>
                </c:pt>
                <c:pt idx="7">
                  <c:v>126.47248541967751</c:v>
                </c:pt>
                <c:pt idx="8">
                  <c:v>130.50384302228866</c:v>
                </c:pt>
                <c:pt idx="9">
                  <c:v>134.52588197435807</c:v>
                </c:pt>
                <c:pt idx="10">
                  <c:v>138.5395405573673</c:v>
                </c:pt>
                <c:pt idx="11">
                  <c:v>142.54403313554269</c:v>
                </c:pt>
              </c:numCache>
            </c:numRef>
          </c:xVal>
          <c:yVal>
            <c:numRef>
              <c:f>Diagrammdaten!$K$367:$K$378</c:f>
              <c:numCache>
                <c:formatCode>General</c:formatCode>
                <c:ptCount val="12"/>
                <c:pt idx="0">
                  <c:v>84</c:v>
                </c:pt>
                <c:pt idx="1">
                  <c:v>88</c:v>
                </c:pt>
                <c:pt idx="2">
                  <c:v>92</c:v>
                </c:pt>
                <c:pt idx="3">
                  <c:v>96</c:v>
                </c:pt>
                <c:pt idx="4">
                  <c:v>100</c:v>
                </c:pt>
                <c:pt idx="5">
                  <c:v>104</c:v>
                </c:pt>
                <c:pt idx="6">
                  <c:v>108</c:v>
                </c:pt>
                <c:pt idx="7">
                  <c:v>112</c:v>
                </c:pt>
                <c:pt idx="8">
                  <c:v>116</c:v>
                </c:pt>
                <c:pt idx="9">
                  <c:v>120</c:v>
                </c:pt>
                <c:pt idx="10">
                  <c:v>124</c:v>
                </c:pt>
                <c:pt idx="11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2C41-40F0-8FF8-07BCA38491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080001"/>
        <c:axId val="60080002"/>
      </c:scatterChart>
      <c:catAx>
        <c:axId val="5008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aseline="0"/>
                </a:pPr>
                <a:r>
                  <a:rPr lang="en-US" sz="1000" baseline="0"/>
                  <a:t>Temperatur [°C]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900" baseline="0"/>
            </a:pPr>
            <a:endParaRPr lang="en-US"/>
          </a:p>
        </c:txPr>
        <c:crossAx val="50080002"/>
        <c:crosses val="autoZero"/>
        <c:auto val="1"/>
        <c:lblAlgn val="ctr"/>
        <c:lblOffset val="100"/>
        <c:tickLblSkip val="40"/>
        <c:tickMarkSkip val="40"/>
        <c:noMultiLvlLbl val="0"/>
      </c:catAx>
      <c:valAx>
        <c:axId val="50080002"/>
        <c:scaling>
          <c:orientation val="minMax"/>
          <c:max val="130"/>
          <c:min val="0"/>
        </c:scaling>
        <c:delete val="0"/>
        <c:axPos val="l"/>
        <c:majorGridlines>
          <c:spPr>
            <a:ln w="6350">
              <a:solidFill>
                <a:srgbClr val="FFFFFF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aseline="0"/>
                </a:pPr>
                <a:r>
                  <a:rPr lang="en-US" sz="1000" baseline="0"/>
                  <a:t>Druck [bar]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80001"/>
        <c:crossesAt val="1"/>
        <c:crossBetween val="between"/>
        <c:majorUnit val="10"/>
      </c:valAx>
      <c:valAx>
        <c:axId val="60080002"/>
        <c:scaling>
          <c:orientation val="minMax"/>
          <c:max val="130"/>
          <c:min val="0"/>
        </c:scaling>
        <c:delete val="1"/>
        <c:axPos val="r"/>
        <c:numFmt formatCode="General" sourceLinked="1"/>
        <c:majorTickMark val="out"/>
        <c:minorTickMark val="none"/>
        <c:tickLblPos val="nextTo"/>
        <c:crossAx val="60080001"/>
        <c:crosses val="max"/>
        <c:crossBetween val="midCat"/>
      </c:valAx>
      <c:valAx>
        <c:axId val="6008000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60080002"/>
        <c:crosses val="autoZero"/>
        <c:crossBetween val="midCat"/>
      </c:valAx>
    </c:plotArea>
    <c:legend>
      <c:legendPos val="r"/>
      <c:legendEntry>
        <c:idx val="6"/>
        <c:delete val="1"/>
      </c:legendEntry>
      <c:overlay val="0"/>
      <c:txPr>
        <a:bodyPr/>
        <a:lstStyle/>
        <a:p>
          <a:pPr>
            <a:defRPr sz="900" baseline="0"/>
          </a:pPr>
          <a:endParaRPr lang="en-US"/>
        </a:p>
      </c:txPr>
    </c:legend>
    <c:plotVisOnly val="1"/>
    <c:dispBlanksAs val="zero"/>
    <c:showDLblsOverMax val="0"/>
  </c:chart>
  <c:spPr>
    <a:ln>
      <a:solidFill>
        <a:srgbClr val="BFBFBF"/>
      </a:solidFill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>
                <a:solidFill>
                  <a:srgbClr val="00304F"/>
                </a:solidFill>
              </a:defRPr>
            </a:pPr>
            <a:r>
              <a:rPr lang="en-US" sz="1200" b="1" baseline="0">
                <a:solidFill>
                  <a:srgbClr val="00304F"/>
                </a:solidFill>
              </a:rPr>
              <a:t>Gewählter Weg B und die Alternativen A, C, D, E im Phasendiagramm (Worst-Case-Gemisch)</a:t>
            </a:r>
          </a:p>
        </c:rich>
      </c:tx>
      <c:overlay val="0"/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Diagrammdaten!$D$7</c:f>
              <c:strCache>
                <c:ptCount val="1"/>
                <c:pt idx="0">
                  <c:v>gasförmig [bar]</c:v>
                </c:pt>
              </c:strCache>
            </c:strRef>
          </c:tx>
          <c:spPr>
            <a:solidFill>
              <a:srgbClr val="CFE2F3"/>
            </a:solidFill>
            <a:ln>
              <a:noFill/>
            </a:ln>
          </c:spPr>
          <c:cat>
            <c:strRef>
              <c:f>Diagrammdaten!$C$48:$C$388</c:f>
              <c:strCache>
                <c:ptCount val="321"/>
                <c:pt idx="0">
                  <c:v>-60</c:v>
                </c:pt>
                <c:pt idx="40">
                  <c:v>-40</c:v>
                </c:pt>
                <c:pt idx="80">
                  <c:v>-20</c:v>
                </c:pt>
                <c:pt idx="120">
                  <c:v>0</c:v>
                </c:pt>
                <c:pt idx="160">
                  <c:v>20</c:v>
                </c:pt>
                <c:pt idx="200">
                  <c:v>40</c:v>
                </c:pt>
                <c:pt idx="240">
                  <c:v>60</c:v>
                </c:pt>
                <c:pt idx="280">
                  <c:v>80</c:v>
                </c:pt>
                <c:pt idx="320">
                  <c:v>100</c:v>
                </c:pt>
              </c:strCache>
            </c:strRef>
          </c:cat>
          <c:val>
            <c:numRef>
              <c:f>Diagrammdaten!$D$48:$D$388</c:f>
              <c:numCache>
                <c:formatCode>General</c:formatCode>
                <c:ptCount val="341"/>
                <c:pt idx="0">
                  <c:v>4.0861745418042217</c:v>
                </c:pt>
                <c:pt idx="1">
                  <c:v>4.2309676583365281</c:v>
                </c:pt>
                <c:pt idx="2">
                  <c:v>4.3803158042993156</c:v>
                </c:pt>
                <c:pt idx="3">
                  <c:v>4.5343492356916677</c:v>
                </c:pt>
                <c:pt idx="4">
                  <c:v>4.6932026616762457</c:v>
                </c:pt>
                <c:pt idx="5">
                  <c:v>4.8570160489607197</c:v>
                </c:pt>
                <c:pt idx="6">
                  <c:v>5.0259364249698981</c:v>
                </c:pt>
                <c:pt idx="7">
                  <c:v>5.4919860799449749</c:v>
                </c:pt>
                <c:pt idx="8">
                  <c:v>5.6127439371801966</c:v>
                </c:pt>
                <c:pt idx="9">
                  <c:v>5.7355076682387329</c:v>
                </c:pt>
                <c:pt idx="10">
                  <c:v>5.8602987779670137</c:v>
                </c:pt>
                <c:pt idx="11">
                  <c:v>5.9871388591800443</c:v>
                </c:pt>
                <c:pt idx="12">
                  <c:v>6.1160495926643224</c:v>
                </c:pt>
                <c:pt idx="13">
                  <c:v>6.2470527471981425</c:v>
                </c:pt>
                <c:pt idx="14">
                  <c:v>6.3801701795764982</c:v>
                </c:pt>
                <c:pt idx="15">
                  <c:v>6.5154238347897238</c:v>
                </c:pt>
                <c:pt idx="16">
                  <c:v>6.6528357460767671</c:v>
                </c:pt>
                <c:pt idx="17">
                  <c:v>6.7924280351432822</c:v>
                </c:pt>
                <c:pt idx="18">
                  <c:v>6.9342229123897052</c:v>
                </c:pt>
                <c:pt idx="19">
                  <c:v>7.0782426771019722</c:v>
                </c:pt>
                <c:pt idx="20">
                  <c:v>7.2245097178489024</c:v>
                </c:pt>
                <c:pt idx="21">
                  <c:v>7.3730465127103502</c:v>
                </c:pt>
                <c:pt idx="22">
                  <c:v>7.5238756297246789</c:v>
                </c:pt>
                <c:pt idx="23">
                  <c:v>7.6770197272943728</c:v>
                </c:pt>
                <c:pt idx="24">
                  <c:v>7.8324218604236382</c:v>
                </c:pt>
                <c:pt idx="25">
                  <c:v>7.9903439524663922</c:v>
                </c:pt>
                <c:pt idx="26">
                  <c:v>8.1505698531683723</c:v>
                </c:pt>
                <c:pt idx="27">
                  <c:v>8.3132022818456477</c:v>
                </c:pt>
                <c:pt idx="28">
                  <c:v>8.4782643567241394</c:v>
                </c:pt>
                <c:pt idx="29">
                  <c:v>8.6457792899035155</c:v>
                </c:pt>
                <c:pt idx="30">
                  <c:v>8.8157703881778495</c:v>
                </c:pt>
                <c:pt idx="31">
                  <c:v>8.9882610537478094</c:v>
                </c:pt>
                <c:pt idx="32">
                  <c:v>9.1632747851362311</c:v>
                </c:pt>
                <c:pt idx="33">
                  <c:v>9.3408351781147942</c:v>
                </c:pt>
                <c:pt idx="34">
                  <c:v>9.5209659265827469</c:v>
                </c:pt>
                <c:pt idx="35">
                  <c:v>9.7036908236466317</c:v>
                </c:pt>
                <c:pt idx="36">
                  <c:v>9.889033762673316</c:v>
                </c:pt>
                <c:pt idx="37">
                  <c:v>10.077018738400762</c:v>
                </c:pt>
                <c:pt idx="38">
                  <c:v>10.267669848055281</c:v>
                </c:pt>
                <c:pt idx="39">
                  <c:v>10.461011292705777</c:v>
                </c:pt>
                <c:pt idx="40">
                  <c:v>10.65706737848825</c:v>
                </c:pt>
                <c:pt idx="41">
                  <c:v>10.855862517881613</c:v>
                </c:pt>
                <c:pt idx="42">
                  <c:v>11.057421231298767</c:v>
                </c:pt>
                <c:pt idx="43">
                  <c:v>11.261768148424618</c:v>
                </c:pt>
                <c:pt idx="44">
                  <c:v>11.46892800980112</c:v>
                </c:pt>
                <c:pt idx="45">
                  <c:v>11.678925668469054</c:v>
                </c:pt>
                <c:pt idx="46">
                  <c:v>11.891786091679583</c:v>
                </c:pt>
                <c:pt idx="47">
                  <c:v>12.107534362600649</c:v>
                </c:pt>
                <c:pt idx="48">
                  <c:v>12.326195682274205</c:v>
                </c:pt>
                <c:pt idx="49">
                  <c:v>12.547795371500028</c:v>
                </c:pt>
                <c:pt idx="50">
                  <c:v>12.772358872889802</c:v>
                </c:pt>
                <c:pt idx="51">
                  <c:v>12.999911753042955</c:v>
                </c:pt>
                <c:pt idx="52">
                  <c:v>13.230479704752533</c:v>
                </c:pt>
                <c:pt idx="53">
                  <c:v>13.464088549338307</c:v>
                </c:pt>
                <c:pt idx="54">
                  <c:v>13.700764239189271</c:v>
                </c:pt>
                <c:pt idx="55">
                  <c:v>13.940532860287671</c:v>
                </c:pt>
                <c:pt idx="56">
                  <c:v>14.183351703185131</c:v>
                </c:pt>
                <c:pt idx="57">
                  <c:v>14.429453924659507</c:v>
                </c:pt>
                <c:pt idx="58">
                  <c:v>14.678659233038044</c:v>
                </c:pt>
                <c:pt idx="59">
                  <c:v>14.931063208978326</c:v>
                </c:pt>
                <c:pt idx="60">
                  <c:v>15.186692649944018</c:v>
                </c:pt>
                <c:pt idx="61">
                  <c:v>15.445574505341019</c:v>
                </c:pt>
                <c:pt idx="62">
                  <c:v>15.707735880186359</c:v>
                </c:pt>
                <c:pt idx="63">
                  <c:v>15.973204038727578</c:v>
                </c:pt>
                <c:pt idx="64">
                  <c:v>16.242006408537232</c:v>
                </c:pt>
                <c:pt idx="65">
                  <c:v>16.514170584509827</c:v>
                </c:pt>
                <c:pt idx="66">
                  <c:v>16.789724333197771</c:v>
                </c:pt>
                <c:pt idx="67">
                  <c:v>17.06869559729407</c:v>
                </c:pt>
                <c:pt idx="68">
                  <c:v>17.351112500347501</c:v>
                </c:pt>
                <c:pt idx="69">
                  <c:v>17.637003351619452</c:v>
                </c:pt>
                <c:pt idx="70">
                  <c:v>17.926396651249259</c:v>
                </c:pt>
                <c:pt idx="71">
                  <c:v>18.219321095572891</c:v>
                </c:pt>
                <c:pt idx="72">
                  <c:v>18.515805582712161</c:v>
                </c:pt>
                <c:pt idx="73">
                  <c:v>18.815879218407041</c:v>
                </c:pt>
                <c:pt idx="74">
                  <c:v>19.119571322090206</c:v>
                </c:pt>
                <c:pt idx="75">
                  <c:v>19.426911433245074</c:v>
                </c:pt>
                <c:pt idx="76">
                  <c:v>19.737929318057201</c:v>
                </c:pt>
                <c:pt idx="77">
                  <c:v>20.052654976276475</c:v>
                </c:pt>
                <c:pt idx="78">
                  <c:v>20.371118648517893</c:v>
                </c:pt>
                <c:pt idx="79">
                  <c:v>20.693350823792674</c:v>
                </c:pt>
                <c:pt idx="80">
                  <c:v>21.019382247337123</c:v>
                </c:pt>
                <c:pt idx="81">
                  <c:v>21.349243928996074</c:v>
                </c:pt>
                <c:pt idx="82">
                  <c:v>21.682967151690651</c:v>
                </c:pt>
                <c:pt idx="83">
                  <c:v>22.020583480496693</c:v>
                </c:pt>
                <c:pt idx="84">
                  <c:v>22.362124772082222</c:v>
                </c:pt>
                <c:pt idx="85">
                  <c:v>22.707623184526081</c:v>
                </c:pt>
                <c:pt idx="86">
                  <c:v>23.057111187672984</c:v>
                </c:pt>
                <c:pt idx="87">
                  <c:v>23.410621573866361</c:v>
                </c:pt>
                <c:pt idx="88">
                  <c:v>23.768187469338002</c:v>
                </c:pt>
                <c:pt idx="89">
                  <c:v>24.12984234599627</c:v>
                </c:pt>
                <c:pt idx="90">
                  <c:v>24.495620033870402</c:v>
                </c:pt>
                <c:pt idx="91">
                  <c:v>24.865534504483001</c:v>
                </c:pt>
                <c:pt idx="92">
                  <c:v>25.239681032717183</c:v>
                </c:pt>
                <c:pt idx="93">
                  <c:v>25.618033914754317</c:v>
                </c:pt>
                <c:pt idx="94">
                  <c:v>26.000648779532593</c:v>
                </c:pt>
                <c:pt idx="95">
                  <c:v>26.387561456360864</c:v>
                </c:pt>
                <c:pt idx="96">
                  <c:v>26.77880822122118</c:v>
                </c:pt>
                <c:pt idx="97">
                  <c:v>27.174425814219134</c:v>
                </c:pt>
                <c:pt idx="98">
                  <c:v>27.574451458074829</c:v>
                </c:pt>
                <c:pt idx="99">
                  <c:v>27.978922877476542</c:v>
                </c:pt>
                <c:pt idx="100">
                  <c:v>28.387878319565097</c:v>
                </c:pt>
                <c:pt idx="101">
                  <c:v>28.801356575535983</c:v>
                </c:pt>
                <c:pt idx="102">
                  <c:v>29.21966600247509</c:v>
                </c:pt>
                <c:pt idx="103">
                  <c:v>29.644089510561468</c:v>
                </c:pt>
                <c:pt idx="104">
                  <c:v>30.069598596144392</c:v>
                </c:pt>
                <c:pt idx="105">
                  <c:v>30.503380530925153</c:v>
                </c:pt>
                <c:pt idx="106">
                  <c:v>30.937988822707315</c:v>
                </c:pt>
                <c:pt idx="107">
                  <c:v>31.379452087235325</c:v>
                </c:pt>
                <c:pt idx="108">
                  <c:v>31.82572702823888</c:v>
                </c:pt>
                <c:pt idx="109">
                  <c:v>32.276857732169212</c:v>
                </c:pt>
                <c:pt idx="110">
                  <c:v>32.732889090722054</c:v>
                </c:pt>
                <c:pt idx="111">
                  <c:v>33.193866839690045</c:v>
                </c:pt>
                <c:pt idx="112">
                  <c:v>33.659837600410995</c:v>
                </c:pt>
                <c:pt idx="113">
                  <c:v>34.130848923988133</c:v>
                </c:pt>
                <c:pt idx="114">
                  <c:v>34.606949338621241</c:v>
                </c:pt>
                <c:pt idx="115">
                  <c:v>35.088188400233264</c:v>
                </c:pt>
                <c:pt idx="116">
                  <c:v>35.574616746776918</c:v>
                </c:pt>
                <c:pt idx="117">
                  <c:v>36.066286156425733</c:v>
                </c:pt>
                <c:pt idx="118">
                  <c:v>36.563249610200728</c:v>
                </c:pt>
                <c:pt idx="119">
                  <c:v>37.065561359218584</c:v>
                </c:pt>
                <c:pt idx="120">
                  <c:v>37.573276997210179</c:v>
                </c:pt>
                <c:pt idx="121">
                  <c:v>38.086453538633471</c:v>
                </c:pt>
                <c:pt idx="122">
                  <c:v>38.60514950304249</c:v>
                </c:pt>
                <c:pt idx="123">
                  <c:v>39.129425006292543</c:v>
                </c:pt>
                <c:pt idx="124">
                  <c:v>39.659341859162808</c:v>
                </c:pt>
                <c:pt idx="125">
                  <c:v>40.19496367434504</c:v>
                </c:pt>
                <c:pt idx="126">
                  <c:v>40.736355982418857</c:v>
                </c:pt>
                <c:pt idx="127">
                  <c:v>41.283586357901441</c:v>
                </c:pt>
                <c:pt idx="128">
                  <c:v>41.836420633447588</c:v>
                </c:pt>
                <c:pt idx="129">
                  <c:v>42.3958426640854</c:v>
                </c:pt>
                <c:pt idx="130">
                  <c:v>42.961015260630354</c:v>
                </c:pt>
                <c:pt idx="131">
                  <c:v>43.532319597590259</c:v>
                </c:pt>
                <c:pt idx="132">
                  <c:v>44.109835793581581</c:v>
                </c:pt>
                <c:pt idx="133">
                  <c:v>44.693647048409758</c:v>
                </c:pt>
                <c:pt idx="134">
                  <c:v>45.283839878592119</c:v>
                </c:pt>
                <c:pt idx="135">
                  <c:v>45.880504376789766</c:v>
                </c:pt>
                <c:pt idx="136">
                  <c:v>46.483734498420105</c:v>
                </c:pt>
                <c:pt idx="137">
                  <c:v>47.093628379086717</c:v>
                </c:pt>
                <c:pt idx="138">
                  <c:v>47.710288687124077</c:v>
                </c:pt>
                <c:pt idx="139">
                  <c:v>48.333823016385388</c:v>
                </c:pt>
                <c:pt idx="140">
                  <c:v>48.964344325289865</c:v>
                </c:pt>
                <c:pt idx="141">
                  <c:v>49.601909301745991</c:v>
                </c:pt>
                <c:pt idx="142">
                  <c:v>50.246829555681302</c:v>
                </c:pt>
                <c:pt idx="143">
                  <c:v>50.899050970206332</c:v>
                </c:pt>
                <c:pt idx="144">
                  <c:v>51.558775689360345</c:v>
                </c:pt>
                <c:pt idx="145">
                  <c:v>52.226152292085246</c:v>
                </c:pt>
                <c:pt idx="146">
                  <c:v>52.901338850141386</c:v>
                </c:pt>
                <c:pt idx="147">
                  <c:v>53.584503999302882</c:v>
                </c:pt>
                <c:pt idx="148">
                  <c:v>54.275828179093409</c:v>
                </c:pt>
                <c:pt idx="149">
                  <c:v>54.975505075157592</c:v>
                </c:pt>
                <c:pt idx="150">
                  <c:v>55.683743306690538</c:v>
                </c:pt>
                <c:pt idx="151">
                  <c:v>56.400768411846606</c:v>
                </c:pt>
                <c:pt idx="152">
                  <c:v>57.126825197876414</c:v>
                </c:pt>
                <c:pt idx="153">
                  <c:v>57.862180540579779</c:v>
                </c:pt>
                <c:pt idx="154">
                  <c:v>58.607126741337744</c:v>
                </c:pt>
                <c:pt idx="155">
                  <c:v>59.361985581713512</c:v>
                </c:pt>
                <c:pt idx="156">
                  <c:v>60.131197783688393</c:v>
                </c:pt>
                <c:pt idx="157">
                  <c:v>60.94092026147699</c:v>
                </c:pt>
                <c:pt idx="158">
                  <c:v>61.750642739265587</c:v>
                </c:pt>
                <c:pt idx="159">
                  <c:v>62.560365217054184</c:v>
                </c:pt>
                <c:pt idx="160">
                  <c:v>63.37008769484278</c:v>
                </c:pt>
                <c:pt idx="161">
                  <c:v>64.179810172631377</c:v>
                </c:pt>
                <c:pt idx="162">
                  <c:v>64.989532650419974</c:v>
                </c:pt>
                <c:pt idx="163">
                  <c:v>65.817354559425965</c:v>
                </c:pt>
                <c:pt idx="164">
                  <c:v>66.703568505223032</c:v>
                </c:pt>
                <c:pt idx="165">
                  <c:v>67.589782451020099</c:v>
                </c:pt>
                <c:pt idx="166">
                  <c:v>68.475996396817166</c:v>
                </c:pt>
                <c:pt idx="167">
                  <c:v>69.40522495773665</c:v>
                </c:pt>
                <c:pt idx="168">
                  <c:v>70.363800093024707</c:v>
                </c:pt>
                <c:pt idx="169">
                  <c:v>71.322375228312765</c:v>
                </c:pt>
                <c:pt idx="170">
                  <c:v>72.325229642539654</c:v>
                </c:pt>
                <c:pt idx="171">
                  <c:v>73.38015838022605</c:v>
                </c:pt>
                <c:pt idx="172">
                  <c:v>74.43508711791246</c:v>
                </c:pt>
                <c:pt idx="173">
                  <c:v>75.61815476681673</c:v>
                </c:pt>
                <c:pt idx="174">
                  <c:v>76.817922880286346</c:v>
                </c:pt>
                <c:pt idx="175">
                  <c:v>78.254414833855236</c:v>
                </c:pt>
                <c:pt idx="176">
                  <c:v>81.455055721913254</c:v>
                </c:pt>
                <c:pt idx="177">
                  <c:v>81.455055721913254</c:v>
                </c:pt>
                <c:pt idx="178">
                  <c:v>81.455055721913254</c:v>
                </c:pt>
                <c:pt idx="179">
                  <c:v>81.455055721913254</c:v>
                </c:pt>
                <c:pt idx="180">
                  <c:v>81.455055721913254</c:v>
                </c:pt>
                <c:pt idx="181">
                  <c:v>81.455055721913254</c:v>
                </c:pt>
                <c:pt idx="182">
                  <c:v>81.455055721913254</c:v>
                </c:pt>
                <c:pt idx="183">
                  <c:v>81.455055721913254</c:v>
                </c:pt>
                <c:pt idx="184">
                  <c:v>81.455055721913254</c:v>
                </c:pt>
                <c:pt idx="185">
                  <c:v>81.455055721913254</c:v>
                </c:pt>
                <c:pt idx="186">
                  <c:v>81.455055721913254</c:v>
                </c:pt>
                <c:pt idx="187">
                  <c:v>81.455055721913254</c:v>
                </c:pt>
                <c:pt idx="188">
                  <c:v>81.455055721913254</c:v>
                </c:pt>
                <c:pt idx="189">
                  <c:v>81.455055721913254</c:v>
                </c:pt>
                <c:pt idx="190">
                  <c:v>81.455055721913254</c:v>
                </c:pt>
                <c:pt idx="191">
                  <c:v>81.455055721913254</c:v>
                </c:pt>
                <c:pt idx="192">
                  <c:v>81.455055721913254</c:v>
                </c:pt>
                <c:pt idx="193">
                  <c:v>81.455055721913254</c:v>
                </c:pt>
                <c:pt idx="194">
                  <c:v>81.455055721913254</c:v>
                </c:pt>
                <c:pt idx="195">
                  <c:v>81.455055721913254</c:v>
                </c:pt>
                <c:pt idx="196">
                  <c:v>81.455055721913254</c:v>
                </c:pt>
                <c:pt idx="197">
                  <c:v>81.455055721913254</c:v>
                </c:pt>
                <c:pt idx="198">
                  <c:v>81.455055721913254</c:v>
                </c:pt>
                <c:pt idx="199">
                  <c:v>81.455055721913254</c:v>
                </c:pt>
                <c:pt idx="200">
                  <c:v>81.455055721913254</c:v>
                </c:pt>
                <c:pt idx="201">
                  <c:v>81.455055721913254</c:v>
                </c:pt>
                <c:pt idx="202">
                  <c:v>81.455055721913254</c:v>
                </c:pt>
                <c:pt idx="203">
                  <c:v>81.455055721913254</c:v>
                </c:pt>
                <c:pt idx="204">
                  <c:v>81.455055721913254</c:v>
                </c:pt>
                <c:pt idx="205">
                  <c:v>81.455055721913254</c:v>
                </c:pt>
                <c:pt idx="206">
                  <c:v>81.455055721913254</c:v>
                </c:pt>
                <c:pt idx="207">
                  <c:v>81.455055721913254</c:v>
                </c:pt>
                <c:pt idx="208">
                  <c:v>81.455055721913254</c:v>
                </c:pt>
                <c:pt idx="209">
                  <c:v>81.455055721913254</c:v>
                </c:pt>
                <c:pt idx="210">
                  <c:v>81.455055721913254</c:v>
                </c:pt>
                <c:pt idx="211">
                  <c:v>81.455055721913254</c:v>
                </c:pt>
                <c:pt idx="212">
                  <c:v>81.455055721913254</c:v>
                </c:pt>
                <c:pt idx="213">
                  <c:v>81.455055721913254</c:v>
                </c:pt>
                <c:pt idx="214">
                  <c:v>81.455055721913254</c:v>
                </c:pt>
                <c:pt idx="215">
                  <c:v>81.455055721913254</c:v>
                </c:pt>
                <c:pt idx="216">
                  <c:v>81.455055721913254</c:v>
                </c:pt>
                <c:pt idx="217">
                  <c:v>81.455055721913254</c:v>
                </c:pt>
                <c:pt idx="218">
                  <c:v>81.455055721913254</c:v>
                </c:pt>
                <c:pt idx="219">
                  <c:v>81.455055721913254</c:v>
                </c:pt>
                <c:pt idx="220">
                  <c:v>81.455055721913254</c:v>
                </c:pt>
                <c:pt idx="221">
                  <c:v>81.455055721913254</c:v>
                </c:pt>
                <c:pt idx="222">
                  <c:v>81.455055721913254</c:v>
                </c:pt>
                <c:pt idx="223">
                  <c:v>81.455055721913254</c:v>
                </c:pt>
                <c:pt idx="224">
                  <c:v>81.455055721913254</c:v>
                </c:pt>
                <c:pt idx="225">
                  <c:v>81.455055721913254</c:v>
                </c:pt>
                <c:pt idx="226">
                  <c:v>81.455055721913254</c:v>
                </c:pt>
                <c:pt idx="227">
                  <c:v>81.455055721913254</c:v>
                </c:pt>
                <c:pt idx="228">
                  <c:v>81.455055721913254</c:v>
                </c:pt>
                <c:pt idx="229">
                  <c:v>81.455055721913254</c:v>
                </c:pt>
                <c:pt idx="230">
                  <c:v>81.455055721913254</c:v>
                </c:pt>
                <c:pt idx="231">
                  <c:v>81.455055721913254</c:v>
                </c:pt>
                <c:pt idx="232">
                  <c:v>81.455055721913254</c:v>
                </c:pt>
                <c:pt idx="233">
                  <c:v>81.455055721913254</c:v>
                </c:pt>
                <c:pt idx="234">
                  <c:v>81.455055721913254</c:v>
                </c:pt>
                <c:pt idx="235">
                  <c:v>81.455055721913254</c:v>
                </c:pt>
                <c:pt idx="236">
                  <c:v>81.455055721913254</c:v>
                </c:pt>
                <c:pt idx="237">
                  <c:v>81.455055721913254</c:v>
                </c:pt>
                <c:pt idx="238">
                  <c:v>81.455055721913254</c:v>
                </c:pt>
                <c:pt idx="239">
                  <c:v>81.455055721913254</c:v>
                </c:pt>
                <c:pt idx="240">
                  <c:v>81.455055721913254</c:v>
                </c:pt>
                <c:pt idx="241">
                  <c:v>81.455055721913254</c:v>
                </c:pt>
                <c:pt idx="242">
                  <c:v>81.455055721913254</c:v>
                </c:pt>
                <c:pt idx="243">
                  <c:v>81.455055721913254</c:v>
                </c:pt>
                <c:pt idx="244">
                  <c:v>81.455055721913254</c:v>
                </c:pt>
                <c:pt idx="245">
                  <c:v>81.455055721913254</c:v>
                </c:pt>
                <c:pt idx="246">
                  <c:v>81.455055721913254</c:v>
                </c:pt>
                <c:pt idx="247">
                  <c:v>81.455055721913254</c:v>
                </c:pt>
                <c:pt idx="248">
                  <c:v>81.455055721913254</c:v>
                </c:pt>
                <c:pt idx="249">
                  <c:v>81.455055721913254</c:v>
                </c:pt>
                <c:pt idx="250">
                  <c:v>81.455055721913254</c:v>
                </c:pt>
                <c:pt idx="251">
                  <c:v>81.455055721913254</c:v>
                </c:pt>
                <c:pt idx="252">
                  <c:v>81.455055721913254</c:v>
                </c:pt>
                <c:pt idx="253">
                  <c:v>81.455055721913254</c:v>
                </c:pt>
                <c:pt idx="254">
                  <c:v>81.455055721913254</c:v>
                </c:pt>
                <c:pt idx="255">
                  <c:v>81.455055721913254</c:v>
                </c:pt>
                <c:pt idx="256">
                  <c:v>81.455055721913254</c:v>
                </c:pt>
                <c:pt idx="257">
                  <c:v>81.455055721913254</c:v>
                </c:pt>
                <c:pt idx="258">
                  <c:v>81.455055721913254</c:v>
                </c:pt>
                <c:pt idx="259">
                  <c:v>81.455055721913254</c:v>
                </c:pt>
                <c:pt idx="260">
                  <c:v>81.455055721913254</c:v>
                </c:pt>
                <c:pt idx="261">
                  <c:v>81.455055721913254</c:v>
                </c:pt>
                <c:pt idx="262">
                  <c:v>81.455055721913254</c:v>
                </c:pt>
                <c:pt idx="263">
                  <c:v>81.455055721913254</c:v>
                </c:pt>
                <c:pt idx="264">
                  <c:v>81.455055721913254</c:v>
                </c:pt>
                <c:pt idx="265">
                  <c:v>81.455055721913254</c:v>
                </c:pt>
                <c:pt idx="266">
                  <c:v>81.455055721913254</c:v>
                </c:pt>
                <c:pt idx="267">
                  <c:v>81.455055721913254</c:v>
                </c:pt>
                <c:pt idx="268">
                  <c:v>81.455055721913254</c:v>
                </c:pt>
                <c:pt idx="269">
                  <c:v>81.455055721913254</c:v>
                </c:pt>
                <c:pt idx="270">
                  <c:v>81.455055721913254</c:v>
                </c:pt>
                <c:pt idx="271">
                  <c:v>81.455055721913254</c:v>
                </c:pt>
                <c:pt idx="272">
                  <c:v>81.455055721913254</c:v>
                </c:pt>
                <c:pt idx="273">
                  <c:v>81.455055721913254</c:v>
                </c:pt>
                <c:pt idx="274">
                  <c:v>81.455055721913254</c:v>
                </c:pt>
                <c:pt idx="275">
                  <c:v>81.455055721913254</c:v>
                </c:pt>
                <c:pt idx="276">
                  <c:v>81.455055721913254</c:v>
                </c:pt>
                <c:pt idx="277">
                  <c:v>81.455055721913254</c:v>
                </c:pt>
                <c:pt idx="278">
                  <c:v>81.455055721913254</c:v>
                </c:pt>
                <c:pt idx="279">
                  <c:v>81.455055721913254</c:v>
                </c:pt>
                <c:pt idx="280">
                  <c:v>81.455055721913254</c:v>
                </c:pt>
                <c:pt idx="281">
                  <c:v>81.455055721913254</c:v>
                </c:pt>
                <c:pt idx="282">
                  <c:v>81.455055721913254</c:v>
                </c:pt>
                <c:pt idx="283">
                  <c:v>81.455055721913254</c:v>
                </c:pt>
                <c:pt idx="284">
                  <c:v>81.455055721913254</c:v>
                </c:pt>
                <c:pt idx="285">
                  <c:v>81.455055721913254</c:v>
                </c:pt>
                <c:pt idx="286">
                  <c:v>81.455055721913254</c:v>
                </c:pt>
                <c:pt idx="287">
                  <c:v>81.455055721913254</c:v>
                </c:pt>
                <c:pt idx="288">
                  <c:v>81.455055721913254</c:v>
                </c:pt>
                <c:pt idx="289">
                  <c:v>81.455055721913254</c:v>
                </c:pt>
                <c:pt idx="290">
                  <c:v>81.455055721913254</c:v>
                </c:pt>
                <c:pt idx="291">
                  <c:v>81.455055721913254</c:v>
                </c:pt>
                <c:pt idx="292">
                  <c:v>81.455055721913254</c:v>
                </c:pt>
                <c:pt idx="293">
                  <c:v>81.455055721913254</c:v>
                </c:pt>
                <c:pt idx="294">
                  <c:v>81.455055721913254</c:v>
                </c:pt>
                <c:pt idx="295">
                  <c:v>81.455055721913254</c:v>
                </c:pt>
                <c:pt idx="296">
                  <c:v>81.455055721913254</c:v>
                </c:pt>
                <c:pt idx="297">
                  <c:v>81.455055721913254</c:v>
                </c:pt>
                <c:pt idx="298">
                  <c:v>81.455055721913254</c:v>
                </c:pt>
                <c:pt idx="299">
                  <c:v>81.455055721913254</c:v>
                </c:pt>
                <c:pt idx="300">
                  <c:v>81.455055721913254</c:v>
                </c:pt>
                <c:pt idx="301">
                  <c:v>81.455055721913254</c:v>
                </c:pt>
                <c:pt idx="302">
                  <c:v>81.455055721913254</c:v>
                </c:pt>
                <c:pt idx="303">
                  <c:v>81.455055721913254</c:v>
                </c:pt>
                <c:pt idx="304">
                  <c:v>81.455055721913254</c:v>
                </c:pt>
                <c:pt idx="305">
                  <c:v>81.455055721913254</c:v>
                </c:pt>
                <c:pt idx="306">
                  <c:v>81.455055721913254</c:v>
                </c:pt>
                <c:pt idx="307">
                  <c:v>81.455055721913254</c:v>
                </c:pt>
                <c:pt idx="308">
                  <c:v>81.455055721913254</c:v>
                </c:pt>
                <c:pt idx="309">
                  <c:v>81.455055721913254</c:v>
                </c:pt>
                <c:pt idx="310">
                  <c:v>81.455055721913254</c:v>
                </c:pt>
                <c:pt idx="311">
                  <c:v>81.455055721913254</c:v>
                </c:pt>
                <c:pt idx="312">
                  <c:v>81.455055721913254</c:v>
                </c:pt>
                <c:pt idx="313">
                  <c:v>81.455055721913254</c:v>
                </c:pt>
                <c:pt idx="314">
                  <c:v>81.455055721913254</c:v>
                </c:pt>
                <c:pt idx="315">
                  <c:v>81.455055721913254</c:v>
                </c:pt>
                <c:pt idx="316">
                  <c:v>81.455055721913254</c:v>
                </c:pt>
                <c:pt idx="317">
                  <c:v>81.455055721913254</c:v>
                </c:pt>
                <c:pt idx="318">
                  <c:v>81.455055721913254</c:v>
                </c:pt>
                <c:pt idx="319">
                  <c:v>81.455055721913254</c:v>
                </c:pt>
                <c:pt idx="320">
                  <c:v>81.455055721913254</c:v>
                </c:pt>
                <c:pt idx="321">
                  <c:v>81.455055721913254</c:v>
                </c:pt>
                <c:pt idx="322">
                  <c:v>81.455055721913254</c:v>
                </c:pt>
                <c:pt idx="323">
                  <c:v>81.455055721913254</c:v>
                </c:pt>
                <c:pt idx="324">
                  <c:v>81.455055721913254</c:v>
                </c:pt>
                <c:pt idx="325">
                  <c:v>81.455055721913254</c:v>
                </c:pt>
                <c:pt idx="326">
                  <c:v>81.455055721913254</c:v>
                </c:pt>
                <c:pt idx="327">
                  <c:v>81.455055721913254</c:v>
                </c:pt>
                <c:pt idx="328">
                  <c:v>81.455055721913254</c:v>
                </c:pt>
                <c:pt idx="329">
                  <c:v>81.455055721913254</c:v>
                </c:pt>
                <c:pt idx="330">
                  <c:v>81.455055721913254</c:v>
                </c:pt>
                <c:pt idx="331">
                  <c:v>81.455055721913254</c:v>
                </c:pt>
                <c:pt idx="332">
                  <c:v>81.455055721913254</c:v>
                </c:pt>
                <c:pt idx="333">
                  <c:v>81.455055721913254</c:v>
                </c:pt>
                <c:pt idx="334">
                  <c:v>81.455055721913254</c:v>
                </c:pt>
                <c:pt idx="335">
                  <c:v>81.455055721913254</c:v>
                </c:pt>
                <c:pt idx="336">
                  <c:v>81.455055721913254</c:v>
                </c:pt>
                <c:pt idx="337">
                  <c:v>81.455055721913254</c:v>
                </c:pt>
                <c:pt idx="338">
                  <c:v>81.455055721913254</c:v>
                </c:pt>
                <c:pt idx="339">
                  <c:v>81.455055721913254</c:v>
                </c:pt>
                <c:pt idx="340">
                  <c:v>81.455055721913254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DA-4469-B13C-D32A0CB217DF}"/>
            </c:ext>
          </c:extLst>
        </c:ser>
        <c:ser>
          <c:idx val="1"/>
          <c:order val="1"/>
          <c:tx>
            <c:strRef>
              <c:f>Diagrammdaten!$H$7</c:f>
              <c:strCache>
                <c:ptCount val="1"/>
                <c:pt idx="0">
                  <c:v>zweiphasig [bar]</c:v>
                </c:pt>
              </c:strCache>
            </c:strRef>
          </c:tx>
          <c:spPr>
            <a:solidFill>
              <a:srgbClr val="F4B6B0"/>
            </a:solidFill>
            <a:ln>
              <a:noFill/>
            </a:ln>
          </c:spPr>
          <c:cat>
            <c:strRef>
              <c:f>Diagrammdaten!$C$48:$C$388</c:f>
              <c:strCache>
                <c:ptCount val="321"/>
                <c:pt idx="0">
                  <c:v>-60</c:v>
                </c:pt>
                <c:pt idx="40">
                  <c:v>-40</c:v>
                </c:pt>
                <c:pt idx="80">
                  <c:v>-20</c:v>
                </c:pt>
                <c:pt idx="120">
                  <c:v>0</c:v>
                </c:pt>
                <c:pt idx="160">
                  <c:v>20</c:v>
                </c:pt>
                <c:pt idx="200">
                  <c:v>40</c:v>
                </c:pt>
                <c:pt idx="240">
                  <c:v>60</c:v>
                </c:pt>
                <c:pt idx="280">
                  <c:v>80</c:v>
                </c:pt>
                <c:pt idx="320">
                  <c:v>100</c:v>
                </c:pt>
              </c:strCache>
            </c:strRef>
          </c:cat>
          <c:val>
            <c:numRef>
              <c:f>Diagrammdaten!$H$48:$H$388</c:f>
              <c:numCache>
                <c:formatCode>General</c:formatCode>
                <c:ptCount val="3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45.722748286743055</c:v>
                </c:pt>
                <c:pt idx="8">
                  <c:v>45.306270291151449</c:v>
                </c:pt>
                <c:pt idx="9">
                  <c:v>44.898235173784293</c:v>
                </c:pt>
                <c:pt idx="10">
                  <c:v>44.498393260020549</c:v>
                </c:pt>
                <c:pt idx="11">
                  <c:v>44.106503675875182</c:v>
                </c:pt>
                <c:pt idx="12">
                  <c:v>43.722333963520306</c:v>
                </c:pt>
                <c:pt idx="13">
                  <c:v>43.345659478670214</c:v>
                </c:pt>
                <c:pt idx="14">
                  <c:v>42.976262222351501</c:v>
                </c:pt>
                <c:pt idx="15">
                  <c:v>42.6139365062973</c:v>
                </c:pt>
                <c:pt idx="16">
                  <c:v>42.25847791084562</c:v>
                </c:pt>
                <c:pt idx="17">
                  <c:v>41.909690947254987</c:v>
                </c:pt>
                <c:pt idx="18">
                  <c:v>41.567386607581334</c:v>
                </c:pt>
                <c:pt idx="19">
                  <c:v>41.231141055279281</c:v>
                </c:pt>
                <c:pt idx="20">
                  <c:v>40.901500569575866</c:v>
                </c:pt>
                <c:pt idx="21">
                  <c:v>40.577570899131587</c:v>
                </c:pt>
                <c:pt idx="22">
                  <c:v>40.25942743081113</c:v>
                </c:pt>
                <c:pt idx="23">
                  <c:v>39.946909766333974</c:v>
                </c:pt>
                <c:pt idx="24">
                  <c:v>39.639942244418144</c:v>
                </c:pt>
                <c:pt idx="25">
                  <c:v>39.33813526683506</c:v>
                </c:pt>
                <c:pt idx="26">
                  <c:v>39.04158204727181</c:v>
                </c:pt>
                <c:pt idx="27">
                  <c:v>38.750061483626425</c:v>
                </c:pt>
                <c:pt idx="28">
                  <c:v>38.463436452320316</c:v>
                </c:pt>
                <c:pt idx="29">
                  <c:v>38.181573944657551</c:v>
                </c:pt>
                <c:pt idx="30">
                  <c:v>37.904344904643793</c:v>
                </c:pt>
                <c:pt idx="31">
                  <c:v>37.631624073852237</c:v>
                </c:pt>
                <c:pt idx="32">
                  <c:v>37.36328984263298</c:v>
                </c:pt>
                <c:pt idx="33">
                  <c:v>37.099224107551983</c:v>
                </c:pt>
                <c:pt idx="34">
                  <c:v>36.839312134809603</c:v>
                </c:pt>
                <c:pt idx="35">
                  <c:v>36.583442429088898</c:v>
                </c:pt>
                <c:pt idx="36">
                  <c:v>36.331506607769825</c:v>
                </c:pt>
                <c:pt idx="37">
                  <c:v>36.083399280192502</c:v>
                </c:pt>
                <c:pt idx="38">
                  <c:v>35.839017931772077</c:v>
                </c:pt>
                <c:pt idx="39">
                  <c:v>35.598262812509311</c:v>
                </c:pt>
                <c:pt idx="40">
                  <c:v>35.361036830034898</c:v>
                </c:pt>
                <c:pt idx="41">
                  <c:v>35.127245446821036</c:v>
                </c:pt>
                <c:pt idx="42">
                  <c:v>34.896796581102883</c:v>
                </c:pt>
                <c:pt idx="43">
                  <c:v>34.669600511912378</c:v>
                </c:pt>
                <c:pt idx="44">
                  <c:v>34.445569787533124</c:v>
                </c:pt>
                <c:pt idx="45">
                  <c:v>34.224619137410848</c:v>
                </c:pt>
                <c:pt idx="46">
                  <c:v>34.006665387376245</c:v>
                </c:pt>
                <c:pt idx="47">
                  <c:v>33.791627378081984</c:v>
                </c:pt>
                <c:pt idx="48">
                  <c:v>33.579425886285762</c:v>
                </c:pt>
                <c:pt idx="49">
                  <c:v>33.369983549139207</c:v>
                </c:pt>
                <c:pt idx="50">
                  <c:v>33.163224791116974</c:v>
                </c:pt>
                <c:pt idx="51">
                  <c:v>32.959075753560001</c:v>
                </c:pt>
                <c:pt idx="52">
                  <c:v>32.757464226709367</c:v>
                </c:pt>
                <c:pt idx="53">
                  <c:v>32.558319584086718</c:v>
                </c:pt>
                <c:pt idx="54">
                  <c:v>32.361572719033006</c:v>
                </c:pt>
                <c:pt idx="55">
                  <c:v>32.167155983437041</c:v>
                </c:pt>
                <c:pt idx="56">
                  <c:v>31.975072060162574</c:v>
                </c:pt>
                <c:pt idx="57">
                  <c:v>31.785049246815383</c:v>
                </c:pt>
                <c:pt idx="58">
                  <c:v>31.597230717687562</c:v>
                </c:pt>
                <c:pt idx="59">
                  <c:v>31.411485152131501</c:v>
                </c:pt>
                <c:pt idx="60">
                  <c:v>31.22775134086918</c:v>
                </c:pt>
                <c:pt idx="61">
                  <c:v>31.045969203280194</c:v>
                </c:pt>
                <c:pt idx="62">
                  <c:v>30.866079737680554</c:v>
                </c:pt>
                <c:pt idx="63">
                  <c:v>30.688024973069787</c:v>
                </c:pt>
                <c:pt idx="64">
                  <c:v>30.511747837508988</c:v>
                </c:pt>
                <c:pt idx="65">
                  <c:v>30.337191814848332</c:v>
                </c:pt>
                <c:pt idx="66">
                  <c:v>30.164302996482316</c:v>
                </c:pt>
                <c:pt idx="67">
                  <c:v>29.993024995588339</c:v>
                </c:pt>
                <c:pt idx="68">
                  <c:v>29.823308954804144</c:v>
                </c:pt>
                <c:pt idx="69">
                  <c:v>29.65509689830397</c:v>
                </c:pt>
                <c:pt idx="70">
                  <c:v>29.488338763241014</c:v>
                </c:pt>
                <c:pt idx="71">
                  <c:v>29.322983206880078</c:v>
                </c:pt>
                <c:pt idx="72">
                  <c:v>29.158979519316084</c:v>
                </c:pt>
                <c:pt idx="73">
                  <c:v>28.996277459847995</c:v>
                </c:pt>
                <c:pt idx="74">
                  <c:v>28.834826720754894</c:v>
                </c:pt>
                <c:pt idx="75">
                  <c:v>28.674580252176824</c:v>
                </c:pt>
                <c:pt idx="76">
                  <c:v>28.515488540561048</c:v>
                </c:pt>
                <c:pt idx="77">
                  <c:v>28.357504110865033</c:v>
                </c:pt>
                <c:pt idx="78">
                  <c:v>28.20057764630419</c:v>
                </c:pt>
                <c:pt idx="79">
                  <c:v>28.044662753537356</c:v>
                </c:pt>
                <c:pt idx="80">
                  <c:v>27.889712345938602</c:v>
                </c:pt>
                <c:pt idx="81">
                  <c:v>27.7356797829489</c:v>
                </c:pt>
                <c:pt idx="82">
                  <c:v>27.582518633945266</c:v>
                </c:pt>
                <c:pt idx="83">
                  <c:v>27.430182685894895</c:v>
                </c:pt>
                <c:pt idx="84">
                  <c:v>27.278625924175163</c:v>
                </c:pt>
                <c:pt idx="85">
                  <c:v>27.127802485424557</c:v>
                </c:pt>
                <c:pt idx="86">
                  <c:v>26.977666626624814</c:v>
                </c:pt>
                <c:pt idx="87">
                  <c:v>26.828172689814085</c:v>
                </c:pt>
                <c:pt idx="88">
                  <c:v>26.679275067686859</c:v>
                </c:pt>
                <c:pt idx="89">
                  <c:v>26.530928169258171</c:v>
                </c:pt>
                <c:pt idx="90">
                  <c:v>26.383086385531215</c:v>
                </c:pt>
                <c:pt idx="91">
                  <c:v>26.235724284797229</c:v>
                </c:pt>
                <c:pt idx="92">
                  <c:v>26.088735429977124</c:v>
                </c:pt>
                <c:pt idx="93">
                  <c:v>25.942134640404841</c:v>
                </c:pt>
                <c:pt idx="94">
                  <c:v>25.795855660508817</c:v>
                </c:pt>
                <c:pt idx="95">
                  <c:v>25.649852272701452</c:v>
                </c:pt>
                <c:pt idx="96">
                  <c:v>25.504078031716734</c:v>
                </c:pt>
                <c:pt idx="97">
                  <c:v>25.358486228024951</c:v>
                </c:pt>
                <c:pt idx="98">
                  <c:v>25.213029850092948</c:v>
                </c:pt>
                <c:pt idx="99">
                  <c:v>25.067661545601041</c:v>
                </c:pt>
                <c:pt idx="100">
                  <c:v>24.922333581097384</c:v>
                </c:pt>
                <c:pt idx="101">
                  <c:v>24.776997799896648</c:v>
                </c:pt>
                <c:pt idx="102">
                  <c:v>24.631336578838134</c:v>
                </c:pt>
                <c:pt idx="103">
                  <c:v>24.484057818450818</c:v>
                </c:pt>
                <c:pt idx="104">
                  <c:v>24.339976664075426</c:v>
                </c:pt>
                <c:pt idx="105">
                  <c:v>24.192509398302992</c:v>
                </c:pt>
                <c:pt idx="106">
                  <c:v>24.048480736166471</c:v>
                </c:pt>
                <c:pt idx="107">
                  <c:v>23.902057137392948</c:v>
                </c:pt>
                <c:pt idx="108">
                  <c:v>23.755272683840936</c:v>
                </c:pt>
                <c:pt idx="109">
                  <c:v>23.608073967583614</c:v>
                </c:pt>
                <c:pt idx="110">
                  <c:v>23.460406625214745</c:v>
                </c:pt>
                <c:pt idx="111">
                  <c:v>23.312215250677021</c:v>
                </c:pt>
                <c:pt idx="112">
                  <c:v>23.163443299727874</c:v>
                </c:pt>
                <c:pt idx="113">
                  <c:v>23.014032985302606</c:v>
                </c:pt>
                <c:pt idx="114">
                  <c:v>22.86392516272636</c:v>
                </c:pt>
                <c:pt idx="115">
                  <c:v>22.713059204025228</c:v>
                </c:pt>
                <c:pt idx="116">
                  <c:v>22.561372860469525</c:v>
                </c:pt>
                <c:pt idx="117">
                  <c:v>22.408802112505327</c:v>
                </c:pt>
                <c:pt idx="118">
                  <c:v>22.255281006314725</c:v>
                </c:pt>
                <c:pt idx="119">
                  <c:v>22.100741476466304</c:v>
                </c:pt>
                <c:pt idx="120">
                  <c:v>21.945113153903144</c:v>
                </c:pt>
                <c:pt idx="121">
                  <c:v>21.788323159090801</c:v>
                </c:pt>
                <c:pt idx="122">
                  <c:v>21.630295879975947</c:v>
                </c:pt>
                <c:pt idx="123">
                  <c:v>21.470952734567852</c:v>
                </c:pt>
                <c:pt idx="124">
                  <c:v>21.310211918655718</c:v>
                </c:pt>
                <c:pt idx="125">
                  <c:v>21.147988138551462</c:v>
                </c:pt>
                <c:pt idx="126">
                  <c:v>20.984192329795583</c:v>
                </c:pt>
                <c:pt idx="127">
                  <c:v>20.818731362358008</c:v>
                </c:pt>
                <c:pt idx="128">
                  <c:v>20.651811656141327</c:v>
                </c:pt>
                <c:pt idx="129">
                  <c:v>20.482419247103287</c:v>
                </c:pt>
                <c:pt idx="130">
                  <c:v>20.311161067758604</c:v>
                </c:pt>
                <c:pt idx="131">
                  <c:v>20.138213473714643</c:v>
                </c:pt>
                <c:pt idx="132">
                  <c:v>19.962865316287264</c:v>
                </c:pt>
                <c:pt idx="133">
                  <c:v>19.785189851884226</c:v>
                </c:pt>
                <c:pt idx="134">
                  <c:v>19.605056274126355</c:v>
                </c:pt>
                <c:pt idx="135">
                  <c:v>19.422326947044688</c:v>
                </c:pt>
                <c:pt idx="136">
                  <c:v>19.236856999637254</c:v>
                </c:pt>
                <c:pt idx="137">
                  <c:v>19.048493893594831</c:v>
                </c:pt>
                <c:pt idx="138">
                  <c:v>18.857076953167322</c:v>
                </c:pt>
                <c:pt idx="139">
                  <c:v>18.662436841669852</c:v>
                </c:pt>
                <c:pt idx="140">
                  <c:v>18.464394963440107</c:v>
                </c:pt>
                <c:pt idx="141">
                  <c:v>18.262824890968815</c:v>
                </c:pt>
                <c:pt idx="142">
                  <c:v>18.057340887726184</c:v>
                </c:pt>
                <c:pt idx="143">
                  <c:v>17.847918159776697</c:v>
                </c:pt>
                <c:pt idx="144">
                  <c:v>17.634270313168798</c:v>
                </c:pt>
                <c:pt idx="145">
                  <c:v>17.416158411818969</c:v>
                </c:pt>
                <c:pt idx="146">
                  <c:v>17.193326871870781</c:v>
                </c:pt>
                <c:pt idx="147">
                  <c:v>16.965496087201018</c:v>
                </c:pt>
                <c:pt idx="148">
                  <c:v>16.732383826169155</c:v>
                </c:pt>
                <c:pt idx="149">
                  <c:v>16.493652415254395</c:v>
                </c:pt>
                <c:pt idx="150">
                  <c:v>16.248952980994012</c:v>
                </c:pt>
                <c:pt idx="151">
                  <c:v>15.997895168462172</c:v>
                </c:pt>
                <c:pt idx="152">
                  <c:v>15.740045012259728</c:v>
                </c:pt>
                <c:pt idx="153">
                  <c:v>15.474916485412827</c:v>
                </c:pt>
                <c:pt idx="154">
                  <c:v>15.202028549938014</c:v>
                </c:pt>
                <c:pt idx="155">
                  <c:v>14.921069231022145</c:v>
                </c:pt>
                <c:pt idx="156">
                  <c:v>14.62589851865242</c:v>
                </c:pt>
                <c:pt idx="157">
                  <c:v>14.291299425644738</c:v>
                </c:pt>
                <c:pt idx="158">
                  <c:v>13.956700332637055</c:v>
                </c:pt>
                <c:pt idx="159">
                  <c:v>13.622101239629387</c:v>
                </c:pt>
                <c:pt idx="160">
                  <c:v>13.280763404159487</c:v>
                </c:pt>
                <c:pt idx="161">
                  <c:v>12.928686063309783</c:v>
                </c:pt>
                <c:pt idx="162">
                  <c:v>12.576608722460065</c:v>
                </c:pt>
                <c:pt idx="163">
                  <c:v>12.206431950392968</c:v>
                </c:pt>
                <c:pt idx="164">
                  <c:v>11.777863141534795</c:v>
                </c:pt>
                <c:pt idx="165">
                  <c:v>11.349294332676607</c:v>
                </c:pt>
                <c:pt idx="166">
                  <c:v>10.920725523818433</c:v>
                </c:pt>
                <c:pt idx="167">
                  <c:v>10.449142099837843</c:v>
                </c:pt>
                <c:pt idx="168">
                  <c:v>9.8918304676368791</c:v>
                </c:pt>
                <c:pt idx="169">
                  <c:v>9.3330379831599544</c:v>
                </c:pt>
                <c:pt idx="170">
                  <c:v>8.7299662197441847</c:v>
                </c:pt>
                <c:pt idx="171">
                  <c:v>8.0059258842833714</c:v>
                </c:pt>
                <c:pt idx="172">
                  <c:v>7.2811354116850566</c:v>
                </c:pt>
                <c:pt idx="173">
                  <c:v>6.3423787961515785</c:v>
                </c:pt>
                <c:pt idx="174">
                  <c:v>5.334659025849902</c:v>
                </c:pt>
                <c:pt idx="175">
                  <c:v>3.8451784074934778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DA-4469-B13C-D32A0CB217DF}"/>
            </c:ext>
          </c:extLst>
        </c:ser>
        <c:ser>
          <c:idx val="2"/>
          <c:order val="2"/>
          <c:tx>
            <c:strRef>
              <c:f>Diagrammdaten!$E$7</c:f>
              <c:strCache>
                <c:ptCount val="1"/>
                <c:pt idx="0">
                  <c:v>flüssig [bar]</c:v>
                </c:pt>
              </c:strCache>
            </c:strRef>
          </c:tx>
          <c:spPr>
            <a:solidFill>
              <a:srgbClr val="D9EAD3"/>
            </a:solidFill>
            <a:ln>
              <a:noFill/>
            </a:ln>
          </c:spPr>
          <c:cat>
            <c:strRef>
              <c:f>Diagrammdaten!$C$48:$C$388</c:f>
              <c:strCache>
                <c:ptCount val="321"/>
                <c:pt idx="0">
                  <c:v>-60</c:v>
                </c:pt>
                <c:pt idx="40">
                  <c:v>-40</c:v>
                </c:pt>
                <c:pt idx="80">
                  <c:v>-20</c:v>
                </c:pt>
                <c:pt idx="120">
                  <c:v>0</c:v>
                </c:pt>
                <c:pt idx="160">
                  <c:v>20</c:v>
                </c:pt>
                <c:pt idx="200">
                  <c:v>40</c:v>
                </c:pt>
                <c:pt idx="240">
                  <c:v>60</c:v>
                </c:pt>
                <c:pt idx="280">
                  <c:v>80</c:v>
                </c:pt>
                <c:pt idx="320">
                  <c:v>100</c:v>
                </c:pt>
              </c:strCache>
            </c:strRef>
          </c:cat>
          <c:val>
            <c:numRef>
              <c:f>Diagrammdaten!$E$48:$E$388</c:f>
              <c:numCache>
                <c:formatCode>General</c:formatCode>
                <c:ptCount val="3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-43.321938775399936</c:v>
                </c:pt>
                <c:pt idx="8">
                  <c:v>-19.573657769234739</c:v>
                </c:pt>
                <c:pt idx="9">
                  <c:v>4.2776478480946309</c:v>
                </c:pt>
                <c:pt idx="10">
                  <c:v>28.232206246358245</c:v>
                </c:pt>
                <c:pt idx="11">
                  <c:v>52.290236706728436</c:v>
                </c:pt>
                <c:pt idx="12">
                  <c:v>76.451950006248808</c:v>
                </c:pt>
                <c:pt idx="13">
                  <c:v>100.71754902042227</c:v>
                </c:pt>
                <c:pt idx="14">
                  <c:v>125.08722989143178</c:v>
                </c:pt>
                <c:pt idx="15">
                  <c:v>149.56117636254928</c:v>
                </c:pt>
                <c:pt idx="16">
                  <c:v>174.13957082020011</c:v>
                </c:pt>
                <c:pt idx="17">
                  <c:v>198.82258663142241</c:v>
                </c:pt>
                <c:pt idx="18">
                  <c:v>201.49839048002895</c:v>
                </c:pt>
                <c:pt idx="19">
                  <c:v>201.69061626761874</c:v>
                </c:pt>
                <c:pt idx="20">
                  <c:v>201.87398971257522</c:v>
                </c:pt>
                <c:pt idx="21">
                  <c:v>202.04938258815807</c:v>
                </c:pt>
                <c:pt idx="22">
                  <c:v>202.21669693946419</c:v>
                </c:pt>
                <c:pt idx="23">
                  <c:v>202.37607050637166</c:v>
                </c:pt>
                <c:pt idx="24">
                  <c:v>202.52763589515823</c:v>
                </c:pt>
                <c:pt idx="25">
                  <c:v>202.67152078069856</c:v>
                </c:pt>
                <c:pt idx="26">
                  <c:v>202.80784809955981</c:v>
                </c:pt>
                <c:pt idx="27">
                  <c:v>202.93673623452793</c:v>
                </c:pt>
                <c:pt idx="28">
                  <c:v>203.05829919095555</c:v>
                </c:pt>
                <c:pt idx="29">
                  <c:v>203.17264676543894</c:v>
                </c:pt>
                <c:pt idx="30">
                  <c:v>203.27988470717835</c:v>
                </c:pt>
                <c:pt idx="31">
                  <c:v>203.38011487239996</c:v>
                </c:pt>
                <c:pt idx="32">
                  <c:v>203.4734353722308</c:v>
                </c:pt>
                <c:pt idx="33">
                  <c:v>203.55994071433321</c:v>
                </c:pt>
                <c:pt idx="34">
                  <c:v>203.63972193860764</c:v>
                </c:pt>
                <c:pt idx="35">
                  <c:v>203.71286674726446</c:v>
                </c:pt>
                <c:pt idx="36">
                  <c:v>203.77945962955687</c:v>
                </c:pt>
                <c:pt idx="37">
                  <c:v>203.83958198140675</c:v>
                </c:pt>
                <c:pt idx="38">
                  <c:v>203.89331222017265</c:v>
                </c:pt>
                <c:pt idx="39">
                  <c:v>203.94072589478492</c:v>
                </c:pt>
                <c:pt idx="40">
                  <c:v>203.98189579147686</c:v>
                </c:pt>
                <c:pt idx="41">
                  <c:v>204.01689203529736</c:v>
                </c:pt>
                <c:pt idx="42">
                  <c:v>204.04578218759835</c:v>
                </c:pt>
                <c:pt idx="43">
                  <c:v>204.068631339663</c:v>
                </c:pt>
                <c:pt idx="44">
                  <c:v>204.08550220266577</c:v>
                </c:pt>
                <c:pt idx="45">
                  <c:v>204.0964551941201</c:v>
                </c:pt>
                <c:pt idx="46">
                  <c:v>204.10154852094416</c:v>
                </c:pt>
                <c:pt idx="47">
                  <c:v>204.10083825931736</c:v>
                </c:pt>
                <c:pt idx="48">
                  <c:v>204.09437843144002</c:v>
                </c:pt>
                <c:pt idx="49">
                  <c:v>204.08222107936075</c:v>
                </c:pt>
                <c:pt idx="50">
                  <c:v>204.06441633599323</c:v>
                </c:pt>
                <c:pt idx="51">
                  <c:v>204.04101249339703</c:v>
                </c:pt>
                <c:pt idx="52">
                  <c:v>204.0120560685381</c:v>
                </c:pt>
                <c:pt idx="53">
                  <c:v>203.97759186657498</c:v>
                </c:pt>
                <c:pt idx="54">
                  <c:v>203.93766304177774</c:v>
                </c:pt>
                <c:pt idx="55">
                  <c:v>203.8923111562753</c:v>
                </c:pt>
                <c:pt idx="56">
                  <c:v>203.84157623665229</c:v>
                </c:pt>
                <c:pt idx="57">
                  <c:v>203.78549682852511</c:v>
                </c:pt>
                <c:pt idx="58">
                  <c:v>203.7241100492744</c:v>
                </c:pt>
                <c:pt idx="59">
                  <c:v>203.65745163889017</c:v>
                </c:pt>
                <c:pt idx="60">
                  <c:v>203.5855560091868</c:v>
                </c:pt>
                <c:pt idx="61">
                  <c:v>203.50845629137879</c:v>
                </c:pt>
                <c:pt idx="62">
                  <c:v>203.4261843821331</c:v>
                </c:pt>
                <c:pt idx="63">
                  <c:v>203.33877098820264</c:v>
                </c:pt>
                <c:pt idx="64">
                  <c:v>203.24624575395379</c:v>
                </c:pt>
                <c:pt idx="65">
                  <c:v>203.14863760064185</c:v>
                </c:pt>
                <c:pt idx="66">
                  <c:v>203.04597267031991</c:v>
                </c:pt>
                <c:pt idx="67">
                  <c:v>202.93827940711759</c:v>
                </c:pt>
                <c:pt idx="68">
                  <c:v>202.82557854484836</c:v>
                </c:pt>
                <c:pt idx="69">
                  <c:v>202.70789975007659</c:v>
                </c:pt>
                <c:pt idx="70">
                  <c:v>202.58526458550972</c:v>
                </c:pt>
                <c:pt idx="71">
                  <c:v>202.45769569754702</c:v>
                </c:pt>
                <c:pt idx="72">
                  <c:v>202.32521489797176</c:v>
                </c:pt>
                <c:pt idx="73">
                  <c:v>202.18784332174496</c:v>
                </c:pt>
                <c:pt idx="74">
                  <c:v>202.0456019571549</c:v>
                </c:pt>
                <c:pt idx="75">
                  <c:v>201.89850831457809</c:v>
                </c:pt>
                <c:pt idx="76">
                  <c:v>201.74658214138174</c:v>
                </c:pt>
                <c:pt idx="77">
                  <c:v>201.58984091285851</c:v>
                </c:pt>
                <c:pt idx="78">
                  <c:v>201.42830370517791</c:v>
                </c:pt>
                <c:pt idx="79">
                  <c:v>201.26198642266996</c:v>
                </c:pt>
                <c:pt idx="80">
                  <c:v>201.09090540672429</c:v>
                </c:pt>
                <c:pt idx="81">
                  <c:v>200.91507628805502</c:v>
                </c:pt>
                <c:pt idx="82">
                  <c:v>200.73451421436408</c:v>
                </c:pt>
                <c:pt idx="83">
                  <c:v>200.54923383360841</c:v>
                </c:pt>
                <c:pt idx="84">
                  <c:v>200.35924930374262</c:v>
                </c:pt>
                <c:pt idx="85">
                  <c:v>200.16457433004936</c:v>
                </c:pt>
                <c:pt idx="86">
                  <c:v>199.9652221857022</c:v>
                </c:pt>
                <c:pt idx="87">
                  <c:v>199.76120573631954</c:v>
                </c:pt>
                <c:pt idx="88">
                  <c:v>199.55253746297512</c:v>
                </c:pt>
                <c:pt idx="89">
                  <c:v>199.33922948474554</c:v>
                </c:pt>
                <c:pt idx="90">
                  <c:v>199.12129358059838</c:v>
                </c:pt>
                <c:pt idx="91">
                  <c:v>198.89874121071978</c:v>
                </c:pt>
                <c:pt idx="92">
                  <c:v>198.67158353730571</c:v>
                </c:pt>
                <c:pt idx="93">
                  <c:v>198.43983144484085</c:v>
                </c:pt>
                <c:pt idx="94">
                  <c:v>198.20349555995858</c:v>
                </c:pt>
                <c:pt idx="95">
                  <c:v>197.96258627093769</c:v>
                </c:pt>
                <c:pt idx="96">
                  <c:v>197.71711374706209</c:v>
                </c:pt>
                <c:pt idx="97">
                  <c:v>197.46708795775592</c:v>
                </c:pt>
                <c:pt idx="98">
                  <c:v>197.21251869183223</c:v>
                </c:pt>
                <c:pt idx="99">
                  <c:v>196.95341557692242</c:v>
                </c:pt>
                <c:pt idx="100">
                  <c:v>196.68978809933753</c:v>
                </c:pt>
                <c:pt idx="101">
                  <c:v>196.42164562456736</c:v>
                </c:pt>
                <c:pt idx="102">
                  <c:v>196.14899741868678</c:v>
                </c:pt>
                <c:pt idx="103">
                  <c:v>195.87185267098772</c:v>
                </c:pt>
                <c:pt idx="104">
                  <c:v>195.59042473978019</c:v>
                </c:pt>
                <c:pt idx="105">
                  <c:v>195.30411007077186</c:v>
                </c:pt>
                <c:pt idx="106">
                  <c:v>195.01353044112622</c:v>
                </c:pt>
                <c:pt idx="107">
                  <c:v>194.71849077537172</c:v>
                </c:pt>
                <c:pt idx="108">
                  <c:v>194.4190002879202</c:v>
                </c:pt>
                <c:pt idx="109">
                  <c:v>194.11506830024717</c:v>
                </c:pt>
                <c:pt idx="110">
                  <c:v>193.80670428406319</c:v>
                </c:pt>
                <c:pt idx="111">
                  <c:v>193.49391790963293</c:v>
                </c:pt>
                <c:pt idx="112">
                  <c:v>193.17671909986115</c:v>
                </c:pt>
                <c:pt idx="113">
                  <c:v>192.85511809070925</c:v>
                </c:pt>
                <c:pt idx="114">
                  <c:v>192.52912549865241</c:v>
                </c:pt>
                <c:pt idx="115">
                  <c:v>192.19875239574151</c:v>
                </c:pt>
                <c:pt idx="116">
                  <c:v>191.86401039275356</c:v>
                </c:pt>
                <c:pt idx="117">
                  <c:v>191.52491173106893</c:v>
                </c:pt>
                <c:pt idx="118">
                  <c:v>191.18146938348454</c:v>
                </c:pt>
                <c:pt idx="119">
                  <c:v>190.83369716431511</c:v>
                </c:pt>
                <c:pt idx="120">
                  <c:v>190.48160984888668</c:v>
                </c:pt>
                <c:pt idx="121">
                  <c:v>190.12522330227574</c:v>
                </c:pt>
                <c:pt idx="122">
                  <c:v>189.76455461698157</c:v>
                </c:pt>
                <c:pt idx="123">
                  <c:v>189.39962225913962</c:v>
                </c:pt>
                <c:pt idx="124">
                  <c:v>189.03044622218147</c:v>
                </c:pt>
                <c:pt idx="125">
                  <c:v>188.6570481871035</c:v>
                </c:pt>
                <c:pt idx="126">
                  <c:v>188.27945168778555</c:v>
                </c:pt>
                <c:pt idx="127">
                  <c:v>187.89768227974054</c:v>
                </c:pt>
                <c:pt idx="128">
                  <c:v>187.51176771041108</c:v>
                </c:pt>
                <c:pt idx="129">
                  <c:v>187.1217380888113</c:v>
                </c:pt>
                <c:pt idx="130">
                  <c:v>186.72782367161105</c:v>
                </c:pt>
                <c:pt idx="131">
                  <c:v>186.3294669286951</c:v>
                </c:pt>
                <c:pt idx="132">
                  <c:v>185.92729889013117</c:v>
                </c:pt>
                <c:pt idx="133">
                  <c:v>185.52116309970603</c:v>
                </c:pt>
                <c:pt idx="134">
                  <c:v>185.11110384728153</c:v>
                </c:pt>
                <c:pt idx="135">
                  <c:v>184.69716867616555</c:v>
                </c:pt>
                <c:pt idx="136">
                  <c:v>184.27940850194264</c:v>
                </c:pt>
                <c:pt idx="137">
                  <c:v>183.85787772731845</c:v>
                </c:pt>
                <c:pt idx="138">
                  <c:v>183.4326343597086</c:v>
                </c:pt>
                <c:pt idx="139">
                  <c:v>183.00374014194477</c:v>
                </c:pt>
                <c:pt idx="140">
                  <c:v>182.57126071127004</c:v>
                </c:pt>
                <c:pt idx="141">
                  <c:v>182.13526580728518</c:v>
                </c:pt>
                <c:pt idx="142">
                  <c:v>181.69582955659251</c:v>
                </c:pt>
                <c:pt idx="143">
                  <c:v>181.25303087001697</c:v>
                </c:pt>
                <c:pt idx="144">
                  <c:v>180.80695399747086</c:v>
                </c:pt>
                <c:pt idx="145">
                  <c:v>180.35768929609577</c:v>
                </c:pt>
                <c:pt idx="146">
                  <c:v>179.90533427798783</c:v>
                </c:pt>
                <c:pt idx="147">
                  <c:v>179.4499999134961</c:v>
                </c:pt>
                <c:pt idx="148">
                  <c:v>178.99178799473742</c:v>
                </c:pt>
                <c:pt idx="149">
                  <c:v>178.53084250958801</c:v>
                </c:pt>
                <c:pt idx="150">
                  <c:v>178.06730371231544</c:v>
                </c:pt>
                <c:pt idx="151">
                  <c:v>177.60133641969122</c:v>
                </c:pt>
                <c:pt idx="152">
                  <c:v>177.13312978986386</c:v>
                </c:pt>
                <c:pt idx="153">
                  <c:v>176.66290297400741</c:v>
                </c:pt>
                <c:pt idx="154">
                  <c:v>176.19084470872423</c:v>
                </c:pt>
                <c:pt idx="155">
                  <c:v>175.71694518726434</c:v>
                </c:pt>
                <c:pt idx="156">
                  <c:v>175.24290369765919</c:v>
                </c:pt>
                <c:pt idx="157">
                  <c:v>174.76778031287827</c:v>
                </c:pt>
                <c:pt idx="158">
                  <c:v>174.29265692809736</c:v>
                </c:pt>
                <c:pt idx="159">
                  <c:v>173.81753354331642</c:v>
                </c:pt>
                <c:pt idx="160">
                  <c:v>173.34914890099773</c:v>
                </c:pt>
                <c:pt idx="161">
                  <c:v>172.89150376405883</c:v>
                </c:pt>
                <c:pt idx="162">
                  <c:v>172.43385862711995</c:v>
                </c:pt>
                <c:pt idx="163">
                  <c:v>171.97621349018107</c:v>
                </c:pt>
                <c:pt idx="164">
                  <c:v>171.51856835324219</c:v>
                </c:pt>
                <c:pt idx="165">
                  <c:v>171.06092321630331</c:v>
                </c:pt>
                <c:pt idx="166">
                  <c:v>170.6032780793644</c:v>
                </c:pt>
                <c:pt idx="167">
                  <c:v>170.14563294242549</c:v>
                </c:pt>
                <c:pt idx="168">
                  <c:v>169.74436943933841</c:v>
                </c:pt>
                <c:pt idx="169">
                  <c:v>169.34458678852729</c:v>
                </c:pt>
                <c:pt idx="170">
                  <c:v>168.94480413771618</c:v>
                </c:pt>
                <c:pt idx="171">
                  <c:v>168.61391573549059</c:v>
                </c:pt>
                <c:pt idx="172">
                  <c:v>168.28377747040247</c:v>
                </c:pt>
                <c:pt idx="173">
                  <c:v>168.03946643703171</c:v>
                </c:pt>
                <c:pt idx="174">
                  <c:v>167.84741809386375</c:v>
                </c:pt>
                <c:pt idx="175">
                  <c:v>167.90040675865129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DA-4469-B13C-D32A0CB217DF}"/>
            </c:ext>
          </c:extLst>
        </c:ser>
        <c:ser>
          <c:idx val="3"/>
          <c:order val="3"/>
          <c:tx>
            <c:strRef>
              <c:f>Diagrammdaten!$F$7</c:f>
              <c:strCache>
                <c:ptCount val="1"/>
                <c:pt idx="0">
                  <c:v>überkritisch [bar]</c:v>
                </c:pt>
              </c:strCache>
            </c:strRef>
          </c:tx>
          <c:spPr>
            <a:solidFill>
              <a:srgbClr val="FCE5CD"/>
            </a:solidFill>
            <a:ln>
              <a:noFill/>
            </a:ln>
          </c:spPr>
          <c:cat>
            <c:strRef>
              <c:f>Diagrammdaten!$C$48:$C$388</c:f>
              <c:strCache>
                <c:ptCount val="321"/>
                <c:pt idx="0">
                  <c:v>-60</c:v>
                </c:pt>
                <c:pt idx="40">
                  <c:v>-40</c:v>
                </c:pt>
                <c:pt idx="80">
                  <c:v>-20</c:v>
                </c:pt>
                <c:pt idx="120">
                  <c:v>0</c:v>
                </c:pt>
                <c:pt idx="160">
                  <c:v>20</c:v>
                </c:pt>
                <c:pt idx="200">
                  <c:v>40</c:v>
                </c:pt>
                <c:pt idx="240">
                  <c:v>60</c:v>
                </c:pt>
                <c:pt idx="280">
                  <c:v>80</c:v>
                </c:pt>
                <c:pt idx="320">
                  <c:v>100</c:v>
                </c:pt>
              </c:strCache>
            </c:strRef>
          </c:cat>
          <c:val>
            <c:numRef>
              <c:f>Diagrammdaten!$F$48:$F$388</c:f>
              <c:numCache>
                <c:formatCode>General</c:formatCode>
                <c:ptCount val="3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168.54494427808675</c:v>
                </c:pt>
                <c:pt idx="177">
                  <c:v>168.54494427808675</c:v>
                </c:pt>
                <c:pt idx="178">
                  <c:v>168.54494427808675</c:v>
                </c:pt>
                <c:pt idx="179">
                  <c:v>168.54494427808675</c:v>
                </c:pt>
                <c:pt idx="180">
                  <c:v>168.54494427808675</c:v>
                </c:pt>
                <c:pt idx="181">
                  <c:v>168.54494427808675</c:v>
                </c:pt>
                <c:pt idx="182">
                  <c:v>168.54494427808675</c:v>
                </c:pt>
                <c:pt idx="183">
                  <c:v>168.54494427808675</c:v>
                </c:pt>
                <c:pt idx="184">
                  <c:v>168.54494427808675</c:v>
                </c:pt>
                <c:pt idx="185">
                  <c:v>168.54494427808675</c:v>
                </c:pt>
                <c:pt idx="186">
                  <c:v>168.54494427808675</c:v>
                </c:pt>
                <c:pt idx="187">
                  <c:v>168.54494427808675</c:v>
                </c:pt>
                <c:pt idx="188">
                  <c:v>168.54494427808675</c:v>
                </c:pt>
                <c:pt idx="189">
                  <c:v>168.54494427808675</c:v>
                </c:pt>
                <c:pt idx="190">
                  <c:v>168.54494427808675</c:v>
                </c:pt>
                <c:pt idx="191">
                  <c:v>168.54494427808675</c:v>
                </c:pt>
                <c:pt idx="192">
                  <c:v>168.54494427808675</c:v>
                </c:pt>
                <c:pt idx="193">
                  <c:v>168.54494427808675</c:v>
                </c:pt>
                <c:pt idx="194">
                  <c:v>168.54494427808675</c:v>
                </c:pt>
                <c:pt idx="195">
                  <c:v>168.54494427808675</c:v>
                </c:pt>
                <c:pt idx="196">
                  <c:v>168.54494427808675</c:v>
                </c:pt>
                <c:pt idx="197">
                  <c:v>168.54494427808675</c:v>
                </c:pt>
                <c:pt idx="198">
                  <c:v>168.54494427808675</c:v>
                </c:pt>
                <c:pt idx="199">
                  <c:v>168.54494427808675</c:v>
                </c:pt>
                <c:pt idx="200">
                  <c:v>168.54494427808675</c:v>
                </c:pt>
                <c:pt idx="201">
                  <c:v>168.54494427808675</c:v>
                </c:pt>
                <c:pt idx="202">
                  <c:v>168.54494427808675</c:v>
                </c:pt>
                <c:pt idx="203">
                  <c:v>168.54494427808675</c:v>
                </c:pt>
                <c:pt idx="204">
                  <c:v>168.54494427808675</c:v>
                </c:pt>
                <c:pt idx="205">
                  <c:v>168.54494427808675</c:v>
                </c:pt>
                <c:pt idx="206">
                  <c:v>168.54494427808675</c:v>
                </c:pt>
                <c:pt idx="207">
                  <c:v>168.54494427808675</c:v>
                </c:pt>
                <c:pt idx="208">
                  <c:v>168.54494427808675</c:v>
                </c:pt>
                <c:pt idx="209">
                  <c:v>168.54494427808675</c:v>
                </c:pt>
                <c:pt idx="210">
                  <c:v>168.54494427808675</c:v>
                </c:pt>
                <c:pt idx="211">
                  <c:v>168.54494427808675</c:v>
                </c:pt>
                <c:pt idx="212">
                  <c:v>168.54494427808675</c:v>
                </c:pt>
                <c:pt idx="213">
                  <c:v>168.54494427808675</c:v>
                </c:pt>
                <c:pt idx="214">
                  <c:v>168.54494427808675</c:v>
                </c:pt>
                <c:pt idx="215">
                  <c:v>168.54494427808675</c:v>
                </c:pt>
                <c:pt idx="216">
                  <c:v>168.54494427808675</c:v>
                </c:pt>
                <c:pt idx="217">
                  <c:v>168.54494427808675</c:v>
                </c:pt>
                <c:pt idx="218">
                  <c:v>168.54494427808675</c:v>
                </c:pt>
                <c:pt idx="219">
                  <c:v>168.54494427808675</c:v>
                </c:pt>
                <c:pt idx="220">
                  <c:v>168.54494427808675</c:v>
                </c:pt>
                <c:pt idx="221">
                  <c:v>168.54494427808675</c:v>
                </c:pt>
                <c:pt idx="222">
                  <c:v>168.54494427808675</c:v>
                </c:pt>
                <c:pt idx="223">
                  <c:v>168.54494427808675</c:v>
                </c:pt>
                <c:pt idx="224">
                  <c:v>168.54494427808675</c:v>
                </c:pt>
                <c:pt idx="225">
                  <c:v>168.54494427808675</c:v>
                </c:pt>
                <c:pt idx="226">
                  <c:v>168.54494427808675</c:v>
                </c:pt>
                <c:pt idx="227">
                  <c:v>168.54494427808675</c:v>
                </c:pt>
                <c:pt idx="228">
                  <c:v>168.54494427808675</c:v>
                </c:pt>
                <c:pt idx="229">
                  <c:v>168.54494427808675</c:v>
                </c:pt>
                <c:pt idx="230">
                  <c:v>168.54494427808675</c:v>
                </c:pt>
                <c:pt idx="231">
                  <c:v>168.54494427808675</c:v>
                </c:pt>
                <c:pt idx="232">
                  <c:v>168.54494427808675</c:v>
                </c:pt>
                <c:pt idx="233">
                  <c:v>168.54494427808675</c:v>
                </c:pt>
                <c:pt idx="234">
                  <c:v>168.54494427808675</c:v>
                </c:pt>
                <c:pt idx="235">
                  <c:v>168.54494427808675</c:v>
                </c:pt>
                <c:pt idx="236">
                  <c:v>168.54494427808675</c:v>
                </c:pt>
                <c:pt idx="237">
                  <c:v>168.54494427808675</c:v>
                </c:pt>
                <c:pt idx="238">
                  <c:v>168.54494427808675</c:v>
                </c:pt>
                <c:pt idx="239">
                  <c:v>168.54494427808675</c:v>
                </c:pt>
                <c:pt idx="240">
                  <c:v>168.54494427808675</c:v>
                </c:pt>
                <c:pt idx="241">
                  <c:v>168.54494427808675</c:v>
                </c:pt>
                <c:pt idx="242">
                  <c:v>168.54494427808675</c:v>
                </c:pt>
                <c:pt idx="243">
                  <c:v>168.54494427808675</c:v>
                </c:pt>
                <c:pt idx="244">
                  <c:v>168.54494427808675</c:v>
                </c:pt>
                <c:pt idx="245">
                  <c:v>168.54494427808675</c:v>
                </c:pt>
                <c:pt idx="246">
                  <c:v>168.54494427808675</c:v>
                </c:pt>
                <c:pt idx="247">
                  <c:v>168.54494427808675</c:v>
                </c:pt>
                <c:pt idx="248">
                  <c:v>168.54494427808675</c:v>
                </c:pt>
                <c:pt idx="249">
                  <c:v>168.54494427808675</c:v>
                </c:pt>
                <c:pt idx="250">
                  <c:v>168.54494427808675</c:v>
                </c:pt>
                <c:pt idx="251">
                  <c:v>168.54494427808675</c:v>
                </c:pt>
                <c:pt idx="252">
                  <c:v>168.54494427808675</c:v>
                </c:pt>
                <c:pt idx="253">
                  <c:v>168.54494427808675</c:v>
                </c:pt>
                <c:pt idx="254">
                  <c:v>168.54494427808675</c:v>
                </c:pt>
                <c:pt idx="255">
                  <c:v>168.54494427808675</c:v>
                </c:pt>
                <c:pt idx="256">
                  <c:v>168.54494427808675</c:v>
                </c:pt>
                <c:pt idx="257">
                  <c:v>168.54494427808675</c:v>
                </c:pt>
                <c:pt idx="258">
                  <c:v>168.54494427808675</c:v>
                </c:pt>
                <c:pt idx="259">
                  <c:v>168.54494427808675</c:v>
                </c:pt>
                <c:pt idx="260">
                  <c:v>168.54494427808675</c:v>
                </c:pt>
                <c:pt idx="261">
                  <c:v>168.54494427808675</c:v>
                </c:pt>
                <c:pt idx="262">
                  <c:v>168.54494427808675</c:v>
                </c:pt>
                <c:pt idx="263">
                  <c:v>168.54494427808675</c:v>
                </c:pt>
                <c:pt idx="264">
                  <c:v>168.54494427808675</c:v>
                </c:pt>
                <c:pt idx="265">
                  <c:v>168.54494427808675</c:v>
                </c:pt>
                <c:pt idx="266">
                  <c:v>168.54494427808675</c:v>
                </c:pt>
                <c:pt idx="267">
                  <c:v>168.54494427808675</c:v>
                </c:pt>
                <c:pt idx="268">
                  <c:v>168.54494427808675</c:v>
                </c:pt>
                <c:pt idx="269">
                  <c:v>168.54494427808675</c:v>
                </c:pt>
                <c:pt idx="270">
                  <c:v>168.54494427808675</c:v>
                </c:pt>
                <c:pt idx="271">
                  <c:v>168.54494427808675</c:v>
                </c:pt>
                <c:pt idx="272">
                  <c:v>168.54494427808675</c:v>
                </c:pt>
                <c:pt idx="273">
                  <c:v>168.54494427808675</c:v>
                </c:pt>
                <c:pt idx="274">
                  <c:v>168.54494427808675</c:v>
                </c:pt>
                <c:pt idx="275">
                  <c:v>168.54494427808675</c:v>
                </c:pt>
                <c:pt idx="276">
                  <c:v>168.54494427808675</c:v>
                </c:pt>
                <c:pt idx="277">
                  <c:v>168.54494427808675</c:v>
                </c:pt>
                <c:pt idx="278">
                  <c:v>168.54494427808675</c:v>
                </c:pt>
                <c:pt idx="279">
                  <c:v>168.54494427808675</c:v>
                </c:pt>
                <c:pt idx="280">
                  <c:v>168.54494427808675</c:v>
                </c:pt>
                <c:pt idx="281">
                  <c:v>168.54494427808675</c:v>
                </c:pt>
                <c:pt idx="282">
                  <c:v>168.54494427808675</c:v>
                </c:pt>
                <c:pt idx="283">
                  <c:v>168.54494427808675</c:v>
                </c:pt>
                <c:pt idx="284">
                  <c:v>168.54494427808675</c:v>
                </c:pt>
                <c:pt idx="285">
                  <c:v>168.54494427808675</c:v>
                </c:pt>
                <c:pt idx="286">
                  <c:v>168.54494427808675</c:v>
                </c:pt>
                <c:pt idx="287">
                  <c:v>168.54494427808675</c:v>
                </c:pt>
                <c:pt idx="288">
                  <c:v>168.54494427808675</c:v>
                </c:pt>
                <c:pt idx="289">
                  <c:v>168.54494427808675</c:v>
                </c:pt>
                <c:pt idx="290">
                  <c:v>168.54494427808675</c:v>
                </c:pt>
                <c:pt idx="291">
                  <c:v>168.54494427808675</c:v>
                </c:pt>
                <c:pt idx="292">
                  <c:v>168.54494427808675</c:v>
                </c:pt>
                <c:pt idx="293">
                  <c:v>168.54494427808675</c:v>
                </c:pt>
                <c:pt idx="294">
                  <c:v>168.54494427808675</c:v>
                </c:pt>
                <c:pt idx="295">
                  <c:v>168.54494427808675</c:v>
                </c:pt>
                <c:pt idx="296">
                  <c:v>168.54494427808675</c:v>
                </c:pt>
                <c:pt idx="297">
                  <c:v>168.54494427808675</c:v>
                </c:pt>
                <c:pt idx="298">
                  <c:v>168.54494427808675</c:v>
                </c:pt>
                <c:pt idx="299">
                  <c:v>168.54494427808675</c:v>
                </c:pt>
                <c:pt idx="300">
                  <c:v>168.54494427808675</c:v>
                </c:pt>
                <c:pt idx="301">
                  <c:v>168.54494427808675</c:v>
                </c:pt>
                <c:pt idx="302">
                  <c:v>168.54494427808675</c:v>
                </c:pt>
                <c:pt idx="303">
                  <c:v>168.54494427808675</c:v>
                </c:pt>
                <c:pt idx="304">
                  <c:v>168.54494427808675</c:v>
                </c:pt>
                <c:pt idx="305">
                  <c:v>168.54494427808675</c:v>
                </c:pt>
                <c:pt idx="306">
                  <c:v>168.54494427808675</c:v>
                </c:pt>
                <c:pt idx="307">
                  <c:v>168.54494427808675</c:v>
                </c:pt>
                <c:pt idx="308">
                  <c:v>168.54494427808675</c:v>
                </c:pt>
                <c:pt idx="309">
                  <c:v>168.54494427808675</c:v>
                </c:pt>
                <c:pt idx="310">
                  <c:v>168.54494427808675</c:v>
                </c:pt>
                <c:pt idx="311">
                  <c:v>168.54494427808675</c:v>
                </c:pt>
                <c:pt idx="312">
                  <c:v>168.54494427808675</c:v>
                </c:pt>
                <c:pt idx="313">
                  <c:v>168.54494427808675</c:v>
                </c:pt>
                <c:pt idx="314">
                  <c:v>168.54494427808675</c:v>
                </c:pt>
                <c:pt idx="315">
                  <c:v>168.54494427808675</c:v>
                </c:pt>
                <c:pt idx="316">
                  <c:v>168.54494427808675</c:v>
                </c:pt>
                <c:pt idx="317">
                  <c:v>168.54494427808675</c:v>
                </c:pt>
                <c:pt idx="318">
                  <c:v>168.54494427808675</c:v>
                </c:pt>
                <c:pt idx="319">
                  <c:v>168.54494427808675</c:v>
                </c:pt>
                <c:pt idx="320">
                  <c:v>168.54494427808675</c:v>
                </c:pt>
                <c:pt idx="321">
                  <c:v>168.54494427808675</c:v>
                </c:pt>
                <c:pt idx="322">
                  <c:v>168.54494427808675</c:v>
                </c:pt>
                <c:pt idx="323">
                  <c:v>168.54494427808675</c:v>
                </c:pt>
                <c:pt idx="324">
                  <c:v>168.54494427808675</c:v>
                </c:pt>
                <c:pt idx="325">
                  <c:v>168.54494427808675</c:v>
                </c:pt>
                <c:pt idx="326">
                  <c:v>168.54494427808675</c:v>
                </c:pt>
                <c:pt idx="327">
                  <c:v>168.54494427808675</c:v>
                </c:pt>
                <c:pt idx="328">
                  <c:v>168.54494427808675</c:v>
                </c:pt>
                <c:pt idx="329">
                  <c:v>168.54494427808675</c:v>
                </c:pt>
                <c:pt idx="330">
                  <c:v>168.54494427808675</c:v>
                </c:pt>
                <c:pt idx="331">
                  <c:v>168.54494427808675</c:v>
                </c:pt>
                <c:pt idx="332">
                  <c:v>168.54494427808675</c:v>
                </c:pt>
                <c:pt idx="333">
                  <c:v>168.54494427808675</c:v>
                </c:pt>
                <c:pt idx="334">
                  <c:v>168.54494427808675</c:v>
                </c:pt>
                <c:pt idx="335">
                  <c:v>168.54494427808675</c:v>
                </c:pt>
                <c:pt idx="336">
                  <c:v>168.54494427808675</c:v>
                </c:pt>
                <c:pt idx="337">
                  <c:v>168.54494427808675</c:v>
                </c:pt>
                <c:pt idx="338">
                  <c:v>168.54494427808675</c:v>
                </c:pt>
                <c:pt idx="339">
                  <c:v>168.54494427808675</c:v>
                </c:pt>
                <c:pt idx="340">
                  <c:v>168.54494427808675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DDA-4469-B13C-D32A0CB217DF}"/>
            </c:ext>
          </c:extLst>
        </c:ser>
        <c:ser>
          <c:idx val="4"/>
          <c:order val="4"/>
          <c:tx>
            <c:strRef>
              <c:f>Diagrammdaten!$G$7</c:f>
              <c:strCache>
                <c:ptCount val="1"/>
                <c:pt idx="0">
                  <c:v>fest [bar]</c:v>
                </c:pt>
              </c:strCache>
            </c:strRef>
          </c:tx>
          <c:spPr>
            <a:solidFill>
              <a:srgbClr val="D9D2E9"/>
            </a:solidFill>
            <a:ln>
              <a:noFill/>
            </a:ln>
          </c:spPr>
          <c:cat>
            <c:strRef>
              <c:f>Diagrammdaten!$C$48:$C$388</c:f>
              <c:strCache>
                <c:ptCount val="321"/>
                <c:pt idx="0">
                  <c:v>-60</c:v>
                </c:pt>
                <c:pt idx="40">
                  <c:v>-40</c:v>
                </c:pt>
                <c:pt idx="80">
                  <c:v>-20</c:v>
                </c:pt>
                <c:pt idx="120">
                  <c:v>0</c:v>
                </c:pt>
                <c:pt idx="160">
                  <c:v>20</c:v>
                </c:pt>
                <c:pt idx="200">
                  <c:v>40</c:v>
                </c:pt>
                <c:pt idx="240">
                  <c:v>60</c:v>
                </c:pt>
                <c:pt idx="280">
                  <c:v>80</c:v>
                </c:pt>
                <c:pt idx="320">
                  <c:v>100</c:v>
                </c:pt>
              </c:strCache>
            </c:strRef>
          </c:cat>
          <c:val>
            <c:numRef>
              <c:f>Diagrammdaten!$G$48:$G$388</c:f>
              <c:numCache>
                <c:formatCode>General</c:formatCode>
                <c:ptCount val="341"/>
                <c:pt idx="0">
                  <c:v>245.91382545819579</c:v>
                </c:pt>
                <c:pt idx="1">
                  <c:v>245.76903234166346</c:v>
                </c:pt>
                <c:pt idx="2">
                  <c:v>245.61968419570067</c:v>
                </c:pt>
                <c:pt idx="3">
                  <c:v>245.46565076430832</c:v>
                </c:pt>
                <c:pt idx="4">
                  <c:v>245.30679733832375</c:v>
                </c:pt>
                <c:pt idx="5">
                  <c:v>245.14298395103927</c:v>
                </c:pt>
                <c:pt idx="6">
                  <c:v>244.9740635750301</c:v>
                </c:pt>
                <c:pt idx="7">
                  <c:v>242.10720440871191</c:v>
                </c:pt>
                <c:pt idx="8">
                  <c:v>218.65464354090309</c:v>
                </c:pt>
                <c:pt idx="9">
                  <c:v>195.08860930988234</c:v>
                </c:pt>
                <c:pt idx="10">
                  <c:v>171.40910171565417</c:v>
                </c:pt>
                <c:pt idx="11">
                  <c:v>147.61612075821634</c:v>
                </c:pt>
                <c:pt idx="12">
                  <c:v>123.70966643756657</c:v>
                </c:pt>
                <c:pt idx="13">
                  <c:v>99.689738753709378</c:v>
                </c:pt>
                <c:pt idx="14">
                  <c:v>75.556337706640221</c:v>
                </c:pt>
                <c:pt idx="15">
                  <c:v>51.309463296363703</c:v>
                </c:pt>
                <c:pt idx="16">
                  <c:v>26.94911552287752</c:v>
                </c:pt>
                <c:pt idx="17">
                  <c:v>2.4752943861793142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DDA-4469-B13C-D32A0CB217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80001"/>
        <c:axId val="50080002"/>
      </c:areaChart>
      <c:scatterChart>
        <c:scatterStyle val="lineMarker"/>
        <c:varyColors val="0"/>
        <c:ser>
          <c:idx val="5"/>
          <c:order val="5"/>
          <c:tx>
            <c:v>Phasengrenze Gemisch (Tau-/Blasenlinie)</c:v>
          </c:tx>
          <c:spPr>
            <a:ln w="22225">
              <a:solidFill>
                <a:srgbClr val="CA220E"/>
              </a:solidFill>
            </a:ln>
          </c:spPr>
          <c:marker>
            <c:symbol val="none"/>
          </c:marker>
          <c:xVal>
            <c:numRef>
              <c:f>Diagrammdaten!$N$8:$N$77</c:f>
              <c:numCache>
                <c:formatCode>General</c:formatCode>
                <c:ptCount val="70"/>
                <c:pt idx="0">
                  <c:v>7.8840000000000714</c:v>
                </c:pt>
                <c:pt idx="1">
                  <c:v>13.996053427743234</c:v>
                </c:pt>
                <c:pt idx="2">
                  <c:v>20.108106855486398</c:v>
                </c:pt>
                <c:pt idx="3">
                  <c:v>26.220160283229561</c:v>
                </c:pt>
                <c:pt idx="4">
                  <c:v>32.332213710972724</c:v>
                </c:pt>
                <c:pt idx="5">
                  <c:v>38.444267138715887</c:v>
                </c:pt>
                <c:pt idx="6">
                  <c:v>44.55632056645905</c:v>
                </c:pt>
                <c:pt idx="7">
                  <c:v>50.668373994202227</c:v>
                </c:pt>
                <c:pt idx="8">
                  <c:v>56.780427421945376</c:v>
                </c:pt>
                <c:pt idx="9">
                  <c:v>62.892480849688546</c:v>
                </c:pt>
                <c:pt idx="10">
                  <c:v>69.004534277431702</c:v>
                </c:pt>
                <c:pt idx="11">
                  <c:v>75.116587705174879</c:v>
                </c:pt>
                <c:pt idx="12">
                  <c:v>81.228641132918042</c:v>
                </c:pt>
                <c:pt idx="13">
                  <c:v>87.340694560661206</c:v>
                </c:pt>
                <c:pt idx="14">
                  <c:v>93.452747988404369</c:v>
                </c:pt>
                <c:pt idx="15">
                  <c:v>99.564801416147532</c:v>
                </c:pt>
                <c:pt idx="16">
                  <c:v>105.67685484389069</c:v>
                </c:pt>
                <c:pt idx="17">
                  <c:v>111.78890827163386</c:v>
                </c:pt>
                <c:pt idx="18">
                  <c:v>117.90096169937702</c:v>
                </c:pt>
                <c:pt idx="19">
                  <c:v>124.01301512712018</c:v>
                </c:pt>
                <c:pt idx="20">
                  <c:v>130.12506855486333</c:v>
                </c:pt>
                <c:pt idx="21">
                  <c:v>136.23712198260651</c:v>
                </c:pt>
                <c:pt idx="22">
                  <c:v>142.34917541034969</c:v>
                </c:pt>
                <c:pt idx="23">
                  <c:v>148.46122883809284</c:v>
                </c:pt>
                <c:pt idx="24">
                  <c:v>154.57328226583601</c:v>
                </c:pt>
                <c:pt idx="25">
                  <c:v>160.68533569357916</c:v>
                </c:pt>
                <c:pt idx="26">
                  <c:v>166.79738912132234</c:v>
                </c:pt>
                <c:pt idx="27">
                  <c:v>172.90944254906549</c:v>
                </c:pt>
                <c:pt idx="28">
                  <c:v>173.11530334534405</c:v>
                </c:pt>
                <c:pt idx="29">
                  <c:v>175.09671087318316</c:v>
                </c:pt>
                <c:pt idx="30">
                  <c:v>176.46977996825069</c:v>
                </c:pt>
                <c:pt idx="31">
                  <c:v>177.14708372948724</c:v>
                </c:pt>
                <c:pt idx="32">
                  <c:v>177.18664870023304</c:v>
                </c:pt>
                <c:pt idx="33">
                  <c:v>177.11976458358242</c:v>
                </c:pt>
                <c:pt idx="34">
                  <c:v>176.69912051454844</c:v>
                </c:pt>
                <c:pt idx="35">
                  <c:v>176.53333128843872</c:v>
                </c:pt>
                <c:pt idx="36">
                  <c:v>176.09101257175962</c:v>
                </c:pt>
                <c:pt idx="37">
                  <c:v>175.89566713390104</c:v>
                </c:pt>
                <c:pt idx="38">
                  <c:v>175.42623598676914</c:v>
                </c:pt>
                <c:pt idx="39">
                  <c:v>174.8293647044818</c:v>
                </c:pt>
                <c:pt idx="40">
                  <c:v>173.22434190975093</c:v>
                </c:pt>
                <c:pt idx="41">
                  <c:v>172.90944254906549</c:v>
                </c:pt>
                <c:pt idx="42">
                  <c:v>167.01567674374172</c:v>
                </c:pt>
                <c:pt idx="43">
                  <c:v>161.12191093841795</c:v>
                </c:pt>
                <c:pt idx="44">
                  <c:v>155.22814513309419</c:v>
                </c:pt>
                <c:pt idx="45">
                  <c:v>149.33437932777042</c:v>
                </c:pt>
                <c:pt idx="46">
                  <c:v>143.44061352244665</c:v>
                </c:pt>
                <c:pt idx="47">
                  <c:v>137.54684771712289</c:v>
                </c:pt>
                <c:pt idx="48">
                  <c:v>131.65308191179912</c:v>
                </c:pt>
                <c:pt idx="49">
                  <c:v>125.75931610647537</c:v>
                </c:pt>
                <c:pt idx="50">
                  <c:v>119.8655503011516</c:v>
                </c:pt>
                <c:pt idx="51">
                  <c:v>113.97178449582783</c:v>
                </c:pt>
                <c:pt idx="52">
                  <c:v>108.07801869050407</c:v>
                </c:pt>
                <c:pt idx="53">
                  <c:v>102.18425288518031</c:v>
                </c:pt>
                <c:pt idx="54">
                  <c:v>96.290487079856547</c:v>
                </c:pt>
                <c:pt idx="55">
                  <c:v>90.39672127453278</c:v>
                </c:pt>
                <c:pt idx="56">
                  <c:v>84.502955469209013</c:v>
                </c:pt>
                <c:pt idx="57">
                  <c:v>78.609189663885246</c:v>
                </c:pt>
                <c:pt idx="58">
                  <c:v>72.715423858561479</c:v>
                </c:pt>
                <c:pt idx="59">
                  <c:v>66.821658053237712</c:v>
                </c:pt>
                <c:pt idx="60">
                  <c:v>60.927892247913945</c:v>
                </c:pt>
                <c:pt idx="61">
                  <c:v>55.034126442590178</c:v>
                </c:pt>
                <c:pt idx="62">
                  <c:v>49.140360637266426</c:v>
                </c:pt>
                <c:pt idx="63">
                  <c:v>43.246594831942645</c:v>
                </c:pt>
                <c:pt idx="64">
                  <c:v>37.352829026618878</c:v>
                </c:pt>
                <c:pt idx="65">
                  <c:v>31.459063221295139</c:v>
                </c:pt>
                <c:pt idx="66">
                  <c:v>25.565297415971372</c:v>
                </c:pt>
                <c:pt idx="67">
                  <c:v>19.671531610647605</c:v>
                </c:pt>
                <c:pt idx="68">
                  <c:v>13.777765805323838</c:v>
                </c:pt>
                <c:pt idx="69">
                  <c:v>7.8840000000000714</c:v>
                </c:pt>
              </c:numCache>
            </c:numRef>
          </c:xVal>
          <c:yVal>
            <c:numRef>
              <c:f>Diagrammdaten!$K$8:$K$77</c:f>
              <c:numCache>
                <c:formatCode>General</c:formatCode>
                <c:ptCount val="70"/>
                <c:pt idx="0">
                  <c:v>5.4780051259929632</c:v>
                </c:pt>
                <c:pt idx="1">
                  <c:v>6.2465283664309963</c:v>
                </c:pt>
                <c:pt idx="2">
                  <c:v>7.094026716138905</c:v>
                </c:pt>
                <c:pt idx="3">
                  <c:v>8.0255579412624787</c:v>
                </c:pt>
                <c:pt idx="4">
                  <c:v>9.0463049806261271</c:v>
                </c:pt>
                <c:pt idx="5">
                  <c:v>10.161580260227899</c:v>
                </c:pt>
                <c:pt idx="6">
                  <c:v>11.376832494554185</c:v>
                </c:pt>
                <c:pt idx="7">
                  <c:v>12.697656236143098</c:v>
                </c:pt>
                <c:pt idx="8">
                  <c:v>14.129804656079587</c:v>
                </c:pt>
                <c:pt idx="9">
                  <c:v>15.67923451447156</c:v>
                </c:pt>
                <c:pt idx="10">
                  <c:v>17.352406968327372</c:v>
                </c:pt>
                <c:pt idx="11">
                  <c:v>19.155353708527862</c:v>
                </c:pt>
                <c:pt idx="12">
                  <c:v>21.094699875721581</c:v>
                </c:pt>
                <c:pt idx="13">
                  <c:v>23.177390130610402</c:v>
                </c:pt>
                <c:pt idx="14">
                  <c:v>25.410755922853671</c:v>
                </c:pt>
                <c:pt idx="15">
                  <c:v>27.802604003304531</c:v>
                </c:pt>
                <c:pt idx="16">
                  <c:v>30.363205999893026</c:v>
                </c:pt>
                <c:pt idx="17">
                  <c:v>33.096101826227539</c:v>
                </c:pt>
                <c:pt idx="18">
                  <c:v>36.017129110207115</c:v>
                </c:pt>
                <c:pt idx="19">
                  <c:v>39.136313339837116</c:v>
                </c:pt>
                <c:pt idx="20">
                  <c:v>42.466439159222979</c:v>
                </c:pt>
                <c:pt idx="21">
                  <c:v>46.023360530623989</c:v>
                </c:pt>
                <c:pt idx="22">
                  <c:v>49.826593298424697</c:v>
                </c:pt>
                <c:pt idx="23">
                  <c:v>53.902917038676897</c:v>
                </c:pt>
                <c:pt idx="24">
                  <c:v>58.288588500852839</c:v>
                </c:pt>
                <c:pt idx="25">
                  <c:v>63.115296932976065</c:v>
                </c:pt>
                <c:pt idx="26">
                  <c:v>68.296439810562831</c:v>
                </c:pt>
                <c:pt idx="27">
                  <c:v>74.339555460510013</c:v>
                </c:pt>
                <c:pt idx="28">
                  <c:v>74.556723930467271</c:v>
                </c:pt>
                <c:pt idx="29">
                  <c:v>76.933953502157294</c:v>
                </c:pt>
                <c:pt idx="30">
                  <c:v>78.941156502790562</c:v>
                </c:pt>
                <c:pt idx="31">
                  <c:v>80.494760566134005</c:v>
                </c:pt>
                <c:pt idx="32">
                  <c:v>80.896473762668705</c:v>
                </c:pt>
                <c:pt idx="33">
                  <c:v>81.224767037052715</c:v>
                </c:pt>
                <c:pt idx="34">
                  <c:v>81.685344406773822</c:v>
                </c:pt>
                <c:pt idx="35">
                  <c:v>81.838319578037911</c:v>
                </c:pt>
                <c:pt idx="36">
                  <c:v>82.075301596995402</c:v>
                </c:pt>
                <c:pt idx="37">
                  <c:v>82.127440129186695</c:v>
                </c:pt>
                <c:pt idx="38">
                  <c:v>82.17759431791859</c:v>
                </c:pt>
                <c:pt idx="39">
                  <c:v>82.142568673071494</c:v>
                </c:pt>
                <c:pt idx="40">
                  <c:v>81.790286378469247</c:v>
                </c:pt>
                <c:pt idx="41">
                  <c:v>81.686326049855197</c:v>
                </c:pt>
                <c:pt idx="42">
                  <c:v>79.403896306172044</c:v>
                </c:pt>
                <c:pt idx="43">
                  <c:v>76.706643047108898</c:v>
                </c:pt>
                <c:pt idx="44">
                  <c:v>73.917273160672508</c:v>
                </c:pt>
                <c:pt idx="45">
                  <c:v>71.162241328121723</c:v>
                </c:pt>
                <c:pt idx="46">
                  <c:v>68.499105449613097</c:v>
                </c:pt>
                <c:pt idx="47">
                  <c:v>65.950868682966799</c:v>
                </c:pt>
                <c:pt idx="48">
                  <c:v>63.532027644965225</c:v>
                </c:pt>
                <c:pt idx="49">
                  <c:v>61.252710857907914</c:v>
                </c:pt>
                <c:pt idx="50">
                  <c:v>59.119111530194637</c:v>
                </c:pt>
                <c:pt idx="51">
                  <c:v>57.135698205735828</c:v>
                </c:pt>
                <c:pt idx="52">
                  <c:v>55.304834874033894</c:v>
                </c:pt>
                <c:pt idx="53">
                  <c:v>53.628494465250789</c:v>
                </c:pt>
                <c:pt idx="54">
                  <c:v>52.108566858257042</c:v>
                </c:pt>
                <c:pt idx="55">
                  <c:v>50.747017816934239</c:v>
                </c:pt>
                <c:pt idx="56">
                  <c:v>49.546046180813249</c:v>
                </c:pt>
                <c:pt idx="57">
                  <c:v>48.508227960961797</c:v>
                </c:pt>
                <c:pt idx="58">
                  <c:v>47.636678138918917</c:v>
                </c:pt>
                <c:pt idx="59">
                  <c:v>46.935238191457664</c:v>
                </c:pt>
                <c:pt idx="60">
                  <c:v>46.40892779619076</c:v>
                </c:pt>
                <c:pt idx="61">
                  <c:v>46.063863329321116</c:v>
                </c:pt>
                <c:pt idx="62">
                  <c:v>45.907235940758852</c:v>
                </c:pt>
                <c:pt idx="63">
                  <c:v>45.948412119295952</c:v>
                </c:pt>
                <c:pt idx="64">
                  <c:v>46.199065481880361</c:v>
                </c:pt>
                <c:pt idx="65">
                  <c:v>46.673734775122661</c:v>
                </c:pt>
                <c:pt idx="66">
                  <c:v>47.390529862815043</c:v>
                </c:pt>
                <c:pt idx="67">
                  <c:v>48.372032320327683</c:v>
                </c:pt>
                <c:pt idx="68">
                  <c:v>49.646459563221228</c:v>
                </c:pt>
                <c:pt idx="69">
                  <c:v>51.249178858911719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DDA-4469-B13C-D32A0CB217DF}"/>
            </c:ext>
          </c:extLst>
        </c:ser>
        <c:ser>
          <c:idx val="6"/>
          <c:order val="6"/>
          <c:tx>
            <c:v>Sättigungslinie reines CO₂ (Vergleich)</c:v>
          </c:tx>
          <c:spPr>
            <a:ln w="12700" cap="rnd">
              <a:solidFill>
                <a:srgbClr val="808080"/>
              </a:solidFill>
              <a:round/>
            </a:ln>
          </c:spPr>
          <c:marker>
            <c:symbol val="none"/>
          </c:marker>
          <c:xVal>
            <c:numRef>
              <c:f>Diagrammdaten!$N$256:$N$296</c:f>
              <c:numCache>
                <c:formatCode>General</c:formatCode>
                <c:ptCount val="41"/>
                <c:pt idx="0">
                  <c:v>7.8840000000000714</c:v>
                </c:pt>
                <c:pt idx="1">
                  <c:v>12.260760000149105</c:v>
                </c:pt>
                <c:pt idx="2">
                  <c:v>16.637520000298139</c:v>
                </c:pt>
                <c:pt idx="3">
                  <c:v>21.014280000447172</c:v>
                </c:pt>
                <c:pt idx="4">
                  <c:v>25.391040000596206</c:v>
                </c:pt>
                <c:pt idx="5">
                  <c:v>29.76780000074524</c:v>
                </c:pt>
                <c:pt idx="6">
                  <c:v>34.144560000894273</c:v>
                </c:pt>
                <c:pt idx="7">
                  <c:v>38.521320001043307</c:v>
                </c:pt>
                <c:pt idx="8">
                  <c:v>42.898080001192341</c:v>
                </c:pt>
                <c:pt idx="9">
                  <c:v>47.274840001341374</c:v>
                </c:pt>
                <c:pt idx="10">
                  <c:v>51.651600001490408</c:v>
                </c:pt>
                <c:pt idx="11">
                  <c:v>56.028360001639442</c:v>
                </c:pt>
                <c:pt idx="12">
                  <c:v>60.405120001788475</c:v>
                </c:pt>
                <c:pt idx="13">
                  <c:v>64.781880001937509</c:v>
                </c:pt>
                <c:pt idx="14">
                  <c:v>69.158640002086599</c:v>
                </c:pt>
                <c:pt idx="15">
                  <c:v>73.535400002235633</c:v>
                </c:pt>
                <c:pt idx="16">
                  <c:v>77.912160002384667</c:v>
                </c:pt>
                <c:pt idx="17">
                  <c:v>82.2889200025337</c:v>
                </c:pt>
                <c:pt idx="18">
                  <c:v>86.665680002682734</c:v>
                </c:pt>
                <c:pt idx="19">
                  <c:v>91.042440002831768</c:v>
                </c:pt>
                <c:pt idx="20">
                  <c:v>95.419200002980801</c:v>
                </c:pt>
                <c:pt idx="21">
                  <c:v>99.795960003129835</c:v>
                </c:pt>
                <c:pt idx="22">
                  <c:v>104.17272000327887</c:v>
                </c:pt>
                <c:pt idx="23">
                  <c:v>108.5494800034279</c:v>
                </c:pt>
                <c:pt idx="24">
                  <c:v>112.92624000357694</c:v>
                </c:pt>
                <c:pt idx="25">
                  <c:v>117.30300000372597</c:v>
                </c:pt>
                <c:pt idx="26">
                  <c:v>121.679760003875</c:v>
                </c:pt>
                <c:pt idx="27">
                  <c:v>126.05652000402404</c:v>
                </c:pt>
                <c:pt idx="28">
                  <c:v>130.43328000417307</c:v>
                </c:pt>
                <c:pt idx="29">
                  <c:v>134.8100400043221</c:v>
                </c:pt>
                <c:pt idx="30">
                  <c:v>139.18680000447114</c:v>
                </c:pt>
                <c:pt idx="31">
                  <c:v>143.56356000462017</c:v>
                </c:pt>
                <c:pt idx="32">
                  <c:v>147.94032000476921</c:v>
                </c:pt>
                <c:pt idx="33">
                  <c:v>152.31708000491824</c:v>
                </c:pt>
                <c:pt idx="34">
                  <c:v>156.69384000506727</c:v>
                </c:pt>
                <c:pt idx="35">
                  <c:v>161.07060000521631</c:v>
                </c:pt>
                <c:pt idx="36">
                  <c:v>165.44736000536534</c:v>
                </c:pt>
                <c:pt idx="37">
                  <c:v>169.82412000551437</c:v>
                </c:pt>
                <c:pt idx="38">
                  <c:v>174.20088000566341</c:v>
                </c:pt>
                <c:pt idx="39">
                  <c:v>178.57764000581244</c:v>
                </c:pt>
                <c:pt idx="40">
                  <c:v>182.95440000596147</c:v>
                </c:pt>
              </c:numCache>
            </c:numRef>
          </c:xVal>
          <c:yVal>
            <c:numRef>
              <c:f>Diagrammdaten!$K$256:$K$296</c:f>
              <c:numCache>
                <c:formatCode>General</c:formatCode>
                <c:ptCount val="41"/>
                <c:pt idx="0">
                  <c:v>5.179643433349451</c:v>
                </c:pt>
                <c:pt idx="1">
                  <c:v>5.690561898357319</c:v>
                </c:pt>
                <c:pt idx="2">
                  <c:v>6.2385925725646123</c:v>
                </c:pt>
                <c:pt idx="3">
                  <c:v>6.825395560929695</c:v>
                </c:pt>
                <c:pt idx="4">
                  <c:v>7.4526521748979997</c:v>
                </c:pt>
                <c:pt idx="5">
                  <c:v>8.1220643662310241</c:v>
                </c:pt>
                <c:pt idx="6">
                  <c:v>8.8353543202131775</c:v>
                </c:pt>
                <c:pt idx="7">
                  <c:v>9.5942642191494194</c:v>
                </c:pt>
                <c:pt idx="8">
                  <c:v>10.400556183845032</c:v>
                </c:pt>
                <c:pt idx="9">
                  <c:v>11.256012395801237</c:v>
                </c:pt>
                <c:pt idx="10">
                  <c:v>12.162435399008638</c:v>
                </c:pt>
                <c:pt idx="11">
                  <c:v>13.12164858209297</c:v>
                </c:pt>
                <c:pt idx="12">
                  <c:v>14.135496853100509</c:v>
                </c:pt>
                <c:pt idx="13">
                  <c:v>15.205847540490653</c:v>
                </c:pt>
                <c:pt idx="14">
                  <c:v>16.334591579694806</c:v>
                </c:pt>
                <c:pt idx="15">
                  <c:v>17.523645066186731</c:v>
                </c:pt>
                <c:pt idx="16">
                  <c:v>18.774951265593533</c:v>
                </c:pt>
                <c:pt idx="17">
                  <c:v>20.09048316632229</c:v>
                </c:pt>
                <c:pt idx="18">
                  <c:v>21.472246644534383</c:v>
                </c:pt>
                <c:pt idx="19">
                  <c:v>22.922284294019239</c:v>
                </c:pt>
                <c:pt idx="20">
                  <c:v>24.442679965043133</c:v>
                </c:pt>
                <c:pt idx="21">
                  <c:v>26.035564065652519</c:v>
                </c:pt>
                <c:pt idx="22">
                  <c:v>27.703119713043016</c:v>
                </c:pt>
                <c:pt idx="23">
                  <c:v>29.447589887066314</c:v>
                </c:pt>
                <c:pt idx="24">
                  <c:v>31.271285838462976</c:v>
                </c:pt>
                <c:pt idx="25">
                  <c:v>33.176597146455947</c:v>
                </c:pt>
                <c:pt idx="26">
                  <c:v>35.166004004476882</c:v>
                </c:pt>
                <c:pt idx="27">
                  <c:v>37.242092524682882</c:v>
                </c:pt>
                <c:pt idx="28">
                  <c:v>39.40757405146131</c:v>
                </c:pt>
                <c:pt idx="29">
                  <c:v>41.665309602075148</c:v>
                </c:pt>
                <c:pt idx="30">
                  <c:v>44.018340595742728</c:v>
                </c:pt>
                <c:pt idx="31">
                  <c:v>46.46992720935107</c:v>
                </c:pt>
                <c:pt idx="32">
                  <c:v>49.023596810330844</c:v>
                </c:pt>
                <c:pt idx="33">
                  <c:v>51.683208775895139</c:v>
                </c:pt>
                <c:pt idx="34">
                  <c:v>54.453051446377017</c:v>
                </c:pt>
                <c:pt idx="35">
                  <c:v>57.338004121264795</c:v>
                </c:pt>
                <c:pt idx="36">
                  <c:v>60.343818172330835</c:v>
                </c:pt>
                <c:pt idx="37">
                  <c:v>63.4775854036277</c:v>
                </c:pt>
                <c:pt idx="38">
                  <c:v>66.748524248563641</c:v>
                </c:pt>
                <c:pt idx="39">
                  <c:v>70.169980059503217</c:v>
                </c:pt>
                <c:pt idx="40">
                  <c:v>73.771278108842608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DDA-4469-B13C-D32A0CB217DF}"/>
            </c:ext>
          </c:extLst>
        </c:ser>
        <c:ser>
          <c:idx val="17"/>
          <c:order val="7"/>
          <c:tx>
            <c:v>Beschriftung Phasengebiete E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flüssig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4394-47D9-9F9B-144D2EC3467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gasförmig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4394-47D9-9F9B-144D2EC3467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überkritisch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4394-47D9-9F9B-144D2EC3467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zweiphasig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4394-47D9-9F9B-144D2EC3467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CA220E"/>
                        </a:solidFill>
                      </a:rPr>
                      <a:t>zweiphasig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4394-47D9-9F9B-144D2EC3467D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Diagrammdaten!$N$145:$N$148</c:f>
              <c:numCache>
                <c:formatCode>General</c:formatCode>
                <c:ptCount val="4"/>
                <c:pt idx="0">
                  <c:v>61</c:v>
                </c:pt>
                <c:pt idx="1">
                  <c:v>265</c:v>
                </c:pt>
                <c:pt idx="2">
                  <c:v>291</c:v>
                </c:pt>
                <c:pt idx="3">
                  <c:v>77</c:v>
                </c:pt>
              </c:numCache>
            </c:numRef>
          </c:xVal>
          <c:yVal>
            <c:numRef>
              <c:f>Diagrammdaten!$K$145:$K$148</c:f>
              <c:numCache>
                <c:formatCode>General</c:formatCode>
                <c:ptCount val="4"/>
                <c:pt idx="0">
                  <c:v>105</c:v>
                </c:pt>
                <c:pt idx="1">
                  <c:v>12</c:v>
                </c:pt>
                <c:pt idx="2">
                  <c:v>120</c:v>
                </c:pt>
                <c:pt idx="3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5DDA-4469-B13C-D32A0CB217DF}"/>
            </c:ext>
          </c:extLst>
        </c:ser>
        <c:ser>
          <c:idx val="7"/>
          <c:order val="8"/>
          <c:tx>
            <c:v>Blasenlinie + 3 bar (sicher flüssig)</c:v>
          </c:tx>
          <c:spPr>
            <a:ln w="12700" cap="rnd">
              <a:solidFill>
                <a:srgbClr val="CA220E"/>
              </a:solidFill>
              <a:prstDash val="dash"/>
              <a:round/>
            </a:ln>
          </c:spPr>
          <c:marker>
            <c:symbol val="none"/>
          </c:marker>
          <c:xVal>
            <c:numRef>
              <c:f>Diagrammdaten!$N$298:$N$327</c:f>
              <c:numCache>
                <c:formatCode>General</c:formatCode>
                <c:ptCount val="30"/>
                <c:pt idx="0">
                  <c:v>7.8840000000000714</c:v>
                </c:pt>
                <c:pt idx="1">
                  <c:v>13.705211052225877</c:v>
                </c:pt>
                <c:pt idx="2">
                  <c:v>19.526422104451683</c:v>
                </c:pt>
                <c:pt idx="3">
                  <c:v>25.347633156677489</c:v>
                </c:pt>
                <c:pt idx="4">
                  <c:v>31.168844208903295</c:v>
                </c:pt>
                <c:pt idx="5">
                  <c:v>36.9900552611291</c:v>
                </c:pt>
                <c:pt idx="6">
                  <c:v>42.811266313354906</c:v>
                </c:pt>
                <c:pt idx="7">
                  <c:v>48.632477365580712</c:v>
                </c:pt>
                <c:pt idx="8">
                  <c:v>54.453688417806518</c:v>
                </c:pt>
                <c:pt idx="9">
                  <c:v>60.274899470032324</c:v>
                </c:pt>
                <c:pt idx="10">
                  <c:v>66.09611052225813</c:v>
                </c:pt>
                <c:pt idx="11">
                  <c:v>71.917321574483935</c:v>
                </c:pt>
                <c:pt idx="12">
                  <c:v>77.738532626709741</c:v>
                </c:pt>
                <c:pt idx="13">
                  <c:v>83.559743678935547</c:v>
                </c:pt>
                <c:pt idx="14">
                  <c:v>89.380954731161353</c:v>
                </c:pt>
                <c:pt idx="15">
                  <c:v>95.202165783387159</c:v>
                </c:pt>
                <c:pt idx="16">
                  <c:v>101.02337683561296</c:v>
                </c:pt>
                <c:pt idx="17">
                  <c:v>106.84458788783877</c:v>
                </c:pt>
                <c:pt idx="18">
                  <c:v>112.66579894006458</c:v>
                </c:pt>
                <c:pt idx="19">
                  <c:v>118.48700999229038</c:v>
                </c:pt>
                <c:pt idx="20">
                  <c:v>124.30822104451619</c:v>
                </c:pt>
                <c:pt idx="21">
                  <c:v>130.12943209674199</c:v>
                </c:pt>
                <c:pt idx="22">
                  <c:v>135.9506431489678</c:v>
                </c:pt>
                <c:pt idx="23">
                  <c:v>141.77185420119361</c:v>
                </c:pt>
                <c:pt idx="24">
                  <c:v>147.59306525341941</c:v>
                </c:pt>
                <c:pt idx="25">
                  <c:v>153.41427630564522</c:v>
                </c:pt>
                <c:pt idx="26">
                  <c:v>159.23548735787102</c:v>
                </c:pt>
                <c:pt idx="27">
                  <c:v>165.05669841009683</c:v>
                </c:pt>
                <c:pt idx="28">
                  <c:v>170.87790946232263</c:v>
                </c:pt>
                <c:pt idx="29">
                  <c:v>176.69912051454844</c:v>
                </c:pt>
              </c:numCache>
            </c:numRef>
          </c:xVal>
          <c:yVal>
            <c:numRef>
              <c:f>Diagrammdaten!$K$298:$K$327</c:f>
              <c:numCache>
                <c:formatCode>General</c:formatCode>
                <c:ptCount val="30"/>
                <c:pt idx="0">
                  <c:v>54.249178858911719</c:v>
                </c:pt>
                <c:pt idx="1">
                  <c:v>52.664363407576069</c:v>
                </c:pt>
                <c:pt idx="2">
                  <c:v>51.40003231788009</c:v>
                </c:pt>
                <c:pt idx="3">
                  <c:v>50.422039629483656</c:v>
                </c:pt>
                <c:pt idx="4">
                  <c:v>49.703056462019831</c:v>
                </c:pt>
                <c:pt idx="5">
                  <c:v>49.221145655561216</c:v>
                </c:pt>
                <c:pt idx="6">
                  <c:v>48.959101170097277</c:v>
                </c:pt>
                <c:pt idx="7">
                  <c:v>48.902828994722412</c:v>
                </c:pt>
                <c:pt idx="8">
                  <c:v>49.040237729303101</c:v>
                </c:pt>
                <c:pt idx="9">
                  <c:v>49.362146363389712</c:v>
                </c:pt>
                <c:pt idx="10">
                  <c:v>49.861173471192402</c:v>
                </c:pt>
                <c:pt idx="11">
                  <c:v>50.531397928398562</c:v>
                </c:pt>
                <c:pt idx="12">
                  <c:v>51.368765341961051</c:v>
                </c:pt>
                <c:pt idx="13">
                  <c:v>52.368889762331087</c:v>
                </c:pt>
                <c:pt idx="14">
                  <c:v>53.528518650089161</c:v>
                </c:pt>
                <c:pt idx="15">
                  <c:v>54.845101014529511</c:v>
                </c:pt>
                <c:pt idx="16">
                  <c:v>56.316468002074117</c:v>
                </c:pt>
                <c:pt idx="17">
                  <c:v>57.940872900767133</c:v>
                </c:pt>
                <c:pt idx="18">
                  <c:v>59.716932633410508</c:v>
                </c:pt>
                <c:pt idx="19">
                  <c:v>61.642103419846549</c:v>
                </c:pt>
                <c:pt idx="20">
                  <c:v>63.71401451613437</c:v>
                </c:pt>
                <c:pt idx="21">
                  <c:v>65.929211829067867</c:v>
                </c:pt>
                <c:pt idx="22">
                  <c:v>68.282233623562746</c:v>
                </c:pt>
                <c:pt idx="23">
                  <c:v>70.764954852547746</c:v>
                </c:pt>
                <c:pt idx="24">
                  <c:v>73.364513310303693</c:v>
                </c:pt>
                <c:pt idx="25">
                  <c:v>76.061587611447692</c:v>
                </c:pt>
                <c:pt idx="26">
                  <c:v>78.81922862244744</c:v>
                </c:pt>
                <c:pt idx="27">
                  <c:v>81.507379398410805</c:v>
                </c:pt>
                <c:pt idx="28">
                  <c:v>84.006386183492225</c:v>
                </c:pt>
                <c:pt idx="29">
                  <c:v>84.685344406773822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DDA-4469-B13C-D32A0CB217DF}"/>
            </c:ext>
          </c:extLst>
        </c:ser>
        <c:ser>
          <c:idx val="8"/>
          <c:order val="9"/>
          <c:tx>
            <c:v>Taulinie − 3 bar (sicher gasförmig)</c:v>
          </c:tx>
          <c:spPr>
            <a:ln w="12700" cap="rnd">
              <a:solidFill>
                <a:srgbClr val="CA220E"/>
              </a:solidFill>
              <a:prstDash val="dash"/>
              <a:round/>
            </a:ln>
          </c:spPr>
          <c:marker>
            <c:symbol val="none"/>
          </c:marker>
          <c:xVal>
            <c:numRef>
              <c:f>Diagrammdaten!$N$329:$N$358</c:f>
              <c:numCache>
                <c:formatCode>General</c:formatCode>
                <c:ptCount val="30"/>
                <c:pt idx="0">
                  <c:v>7.8840000000000714</c:v>
                </c:pt>
                <c:pt idx="1">
                  <c:v>13.722022368973626</c:v>
                </c:pt>
                <c:pt idx="2">
                  <c:v>19.56004473794718</c:v>
                </c:pt>
                <c:pt idx="3">
                  <c:v>25.39806710692072</c:v>
                </c:pt>
                <c:pt idx="4">
                  <c:v>31.236089475894275</c:v>
                </c:pt>
                <c:pt idx="5">
                  <c:v>37.074111844867829</c:v>
                </c:pt>
                <c:pt idx="6">
                  <c:v>42.91213421384137</c:v>
                </c:pt>
                <c:pt idx="7">
                  <c:v>48.750156582814924</c:v>
                </c:pt>
                <c:pt idx="8">
                  <c:v>54.588178951788478</c:v>
                </c:pt>
                <c:pt idx="9">
                  <c:v>60.426201320762033</c:v>
                </c:pt>
                <c:pt idx="10">
                  <c:v>66.264223689735587</c:v>
                </c:pt>
                <c:pt idx="11">
                  <c:v>72.102246058709127</c:v>
                </c:pt>
                <c:pt idx="12">
                  <c:v>77.940268427682682</c:v>
                </c:pt>
                <c:pt idx="13">
                  <c:v>83.778290796656236</c:v>
                </c:pt>
                <c:pt idx="14">
                  <c:v>89.616313165629776</c:v>
                </c:pt>
                <c:pt idx="15">
                  <c:v>95.454335534603331</c:v>
                </c:pt>
                <c:pt idx="16">
                  <c:v>101.29235790357689</c:v>
                </c:pt>
                <c:pt idx="17">
                  <c:v>107.13038027255044</c:v>
                </c:pt>
                <c:pt idx="18">
                  <c:v>112.96840264152399</c:v>
                </c:pt>
                <c:pt idx="19">
                  <c:v>118.80642501049753</c:v>
                </c:pt>
                <c:pt idx="20">
                  <c:v>124.64444737947109</c:v>
                </c:pt>
                <c:pt idx="21">
                  <c:v>130.48246974844466</c:v>
                </c:pt>
                <c:pt idx="22">
                  <c:v>136.32049211741818</c:v>
                </c:pt>
                <c:pt idx="23">
                  <c:v>142.15851448639174</c:v>
                </c:pt>
                <c:pt idx="24">
                  <c:v>147.99653685536529</c:v>
                </c:pt>
                <c:pt idx="25">
                  <c:v>153.83455922433885</c:v>
                </c:pt>
                <c:pt idx="26">
                  <c:v>159.6725815933124</c:v>
                </c:pt>
                <c:pt idx="27">
                  <c:v>165.51060396228596</c:v>
                </c:pt>
                <c:pt idx="28">
                  <c:v>171.34862633125948</c:v>
                </c:pt>
                <c:pt idx="29">
                  <c:v>177.18664870023304</c:v>
                </c:pt>
              </c:numCache>
            </c:numRef>
          </c:xVal>
          <c:yVal>
            <c:numRef>
              <c:f>Diagrammdaten!$K$329:$K$358</c:f>
              <c:numCache>
                <c:formatCode>General</c:formatCode>
                <c:ptCount val="30"/>
                <c:pt idx="0">
                  <c:v>2.4780051259929632</c:v>
                </c:pt>
                <c:pt idx="1">
                  <c:v>3.2104599332675336</c:v>
                </c:pt>
                <c:pt idx="2">
                  <c:v>4.0147345983788778</c:v>
                </c:pt>
                <c:pt idx="3">
                  <c:v>4.8949818046756448</c:v>
                </c:pt>
                <c:pt idx="4">
                  <c:v>5.8564245962950601</c:v>
                </c:pt>
                <c:pt idx="5">
                  <c:v>6.9029427794701999</c:v>
                </c:pt>
                <c:pt idx="6">
                  <c:v>8.0394947701484778</c:v>
                </c:pt>
                <c:pt idx="7">
                  <c:v>9.2713091561138921</c:v>
                </c:pt>
                <c:pt idx="8">
                  <c:v>10.603085389059821</c:v>
                </c:pt>
                <c:pt idx="9">
                  <c:v>12.039852172418426</c:v>
                </c:pt>
                <c:pt idx="10">
                  <c:v>13.586873765952987</c:v>
                </c:pt>
                <c:pt idx="11">
                  <c:v>15.249592936904534</c:v>
                </c:pt>
                <c:pt idx="12">
                  <c:v>17.033658727159636</c:v>
                </c:pt>
                <c:pt idx="13">
                  <c:v>18.945376817165933</c:v>
                </c:pt>
                <c:pt idx="14">
                  <c:v>20.990785665133657</c:v>
                </c:pt>
                <c:pt idx="15">
                  <c:v>23.176208762572006</c:v>
                </c:pt>
                <c:pt idx="16">
                  <c:v>25.508607393240041</c:v>
                </c:pt>
                <c:pt idx="17">
                  <c:v>27.995474228307575</c:v>
                </c:pt>
                <c:pt idx="18">
                  <c:v>30.644973518769611</c:v>
                </c:pt>
                <c:pt idx="19">
                  <c:v>33.466550208449242</c:v>
                </c:pt>
                <c:pt idx="20">
                  <c:v>36.470502620113258</c:v>
                </c:pt>
                <c:pt idx="21">
                  <c:v>39.668178690413654</c:v>
                </c:pt>
                <c:pt idx="22">
                  <c:v>43.073587576943865</c:v>
                </c:pt>
                <c:pt idx="23">
                  <c:v>46.703908661604409</c:v>
                </c:pt>
                <c:pt idx="24">
                  <c:v>50.58211318954023</c:v>
                </c:pt>
                <c:pt idx="25">
                  <c:v>54.739597871776695</c:v>
                </c:pt>
                <c:pt idx="26">
                  <c:v>59.295247173517502</c:v>
                </c:pt>
                <c:pt idx="27">
                  <c:v>64.156072857380096</c:v>
                </c:pt>
                <c:pt idx="28">
                  <c:v>69.693005578099459</c:v>
                </c:pt>
                <c:pt idx="29">
                  <c:v>77.896473762668705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DDA-4469-B13C-D32A0CB217DF}"/>
            </c:ext>
          </c:extLst>
        </c:ser>
        <c:ser>
          <c:idx val="14"/>
          <c:order val="10"/>
          <c:tx>
            <c:v>B überkritisch kühlen (91 bar) – gewählt</c:v>
          </c:tx>
          <c:spPr>
            <a:ln w="38100">
              <a:solidFill>
                <a:srgbClr val="00A0A0"/>
              </a:solidFill>
            </a:ln>
          </c:spPr>
          <c:marker>
            <c:symbol val="circle"/>
            <c:size val="7"/>
            <c:spPr>
              <a:solidFill>
                <a:srgbClr val="00A0A0"/>
              </a:solidFill>
              <a:ln w="38100">
                <a:solidFill>
                  <a:srgbClr val="00A0A0"/>
                </a:solidFill>
                <a:prstDash val="solid"/>
              </a:ln>
            </c:spPr>
          </c:marker>
          <c:dLbls>
            <c:dLbl>
              <c:idx val="4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 b="1">
                        <a:solidFill>
                          <a:srgbClr val="008080"/>
                        </a:solidFill>
                      </a:defRPr>
                    </a:pPr>
                    <a:r>
                      <a:rPr lang="en-US"/>
                      <a:t>B: Kühler 91 bar / 26 °C → Pumpe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4394-47D9-9F9B-144D2EC3467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Diagrammdaten!$N$128:$N$133</c:f>
              <c:numCache>
                <c:formatCode>General</c:formatCode>
                <c:ptCount val="6"/>
                <c:pt idx="0">
                  <c:v>151</c:v>
                </c:pt>
                <c:pt idx="1">
                  <c:v>235.99996894817946</c:v>
                </c:pt>
                <c:pt idx="2">
                  <c:v>173</c:v>
                </c:pt>
                <c:pt idx="3">
                  <c:v>275.75429467943798</c:v>
                </c:pt>
                <c:pt idx="4">
                  <c:v>173</c:v>
                </c:pt>
                <c:pt idx="5">
                  <c:v>184.49938892528485</c:v>
                </c:pt>
              </c:numCache>
            </c:numRef>
          </c:xVal>
          <c:yVal>
            <c:numRef>
              <c:f>Diagrammdaten!$K$128:$K$133</c:f>
              <c:numCache>
                <c:formatCode>General</c:formatCode>
                <c:ptCount val="6"/>
                <c:pt idx="0">
                  <c:v>30</c:v>
                </c:pt>
                <c:pt idx="1">
                  <c:v>50</c:v>
                </c:pt>
                <c:pt idx="2">
                  <c:v>50</c:v>
                </c:pt>
                <c:pt idx="3">
                  <c:v>91</c:v>
                </c:pt>
                <c:pt idx="4">
                  <c:v>91</c:v>
                </c:pt>
                <c:pt idx="5">
                  <c:v>114.93130198208927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DDA-4469-B13C-D32A0CB217DF}"/>
            </c:ext>
          </c:extLst>
        </c:ser>
        <c:ser>
          <c:idx val="12"/>
          <c:order val="11"/>
          <c:tx>
            <c:v>Kritischer Punkt Gemisch</c:v>
          </c:tx>
          <c:spPr>
            <a:ln>
              <a:noFill/>
            </a:ln>
          </c:spPr>
          <c:marker>
            <c:symbol val="circle"/>
            <c:size val="8"/>
            <c:spPr>
              <a:solidFill>
                <a:srgbClr val="CA220E"/>
              </a:solidFill>
              <a:ln>
                <a:solidFill>
                  <a:srgbClr val="CA220E"/>
                </a:solidFill>
              </a:ln>
            </c:spPr>
          </c:marker>
          <c:xVal>
            <c:numRef>
              <c:f>Diagrammdaten!$N$123</c:f>
              <c:numCache>
                <c:formatCode>General</c:formatCode>
                <c:ptCount val="1"/>
                <c:pt idx="0">
                  <c:v>176.90944254906549</c:v>
                </c:pt>
              </c:numCache>
            </c:numRef>
          </c:xVal>
          <c:yVal>
            <c:numRef>
              <c:f>Diagrammdaten!$K$123</c:f>
              <c:numCache>
                <c:formatCode>General</c:formatCode>
                <c:ptCount val="1"/>
                <c:pt idx="0">
                  <c:v>81.455055721913254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5DDA-4469-B13C-D32A0CB217DF}"/>
            </c:ext>
          </c:extLst>
        </c:ser>
        <c:ser>
          <c:idx val="16"/>
          <c:order val="12"/>
          <c:tx>
            <c:v>C durchverdichten</c:v>
          </c:tx>
          <c:spPr>
            <a:ln w="19050">
              <a:solidFill>
                <a:srgbClr val="7030A0"/>
              </a:solidFill>
              <a:prstDash val="dash"/>
            </a:ln>
          </c:spPr>
          <c:marker>
            <c:symbol val="circle"/>
            <c:size val="4"/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dLbls>
            <c:dLbl>
              <c:idx val="3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 b="1">
                        <a:solidFill>
                          <a:srgbClr val="7030A0"/>
                        </a:solidFill>
                      </a:defRPr>
                    </a:pPr>
                    <a:r>
                      <a:rPr lang="en-US"/>
                      <a:t>C: 94,7 °C, keine Pumpe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4394-47D9-9F9B-144D2EC3467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Diagrammdaten!$N$138:$N$142</c:f>
              <c:numCache>
                <c:formatCode>General</c:formatCode>
                <c:ptCount val="5"/>
                <c:pt idx="0">
                  <c:v>151</c:v>
                </c:pt>
                <c:pt idx="1">
                  <c:v>242.87678547992414</c:v>
                </c:pt>
                <c:pt idx="2">
                  <c:v>173</c:v>
                </c:pt>
                <c:pt idx="3">
                  <c:v>310.49146766260105</c:v>
                </c:pt>
                <c:pt idx="4">
                  <c:v>184.49938892528485</c:v>
                </c:pt>
              </c:numCache>
            </c:numRef>
          </c:xVal>
          <c:yVal>
            <c:numRef>
              <c:f>Diagrammdaten!$K$138:$K$142</c:f>
              <c:numCache>
                <c:formatCode>General</c:formatCode>
                <c:ptCount val="5"/>
                <c:pt idx="0">
                  <c:v>30</c:v>
                </c:pt>
                <c:pt idx="1">
                  <c:v>52</c:v>
                </c:pt>
                <c:pt idx="2">
                  <c:v>52</c:v>
                </c:pt>
                <c:pt idx="3">
                  <c:v>114.93130198208927</c:v>
                </c:pt>
                <c:pt idx="4">
                  <c:v>114.93130198208927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5DDA-4469-B13C-D32A0CB217DF}"/>
            </c:ext>
          </c:extLst>
        </c:ser>
        <c:ser>
          <c:idx val="20"/>
          <c:order val="13"/>
          <c:tx>
            <c:v>ρ = 500 kg/m³ (Gemisch)</c:v>
          </c:tx>
          <c:spPr>
            <a:ln w="19050" cap="rnd">
              <a:solidFill>
                <a:srgbClr val="EE7203"/>
              </a:solidFill>
              <a:prstDash val="dot"/>
            </a:ln>
          </c:spPr>
          <c:marker>
            <c:symbol val="none"/>
          </c:marker>
          <c:xVal>
            <c:numRef>
              <c:f>Diagrammdaten!$N$367:$N$378</c:f>
              <c:numCache>
                <c:formatCode>General</c:formatCode>
                <c:ptCount val="12"/>
                <c:pt idx="0">
                  <c:v>177.85134356035329</c:v>
                </c:pt>
                <c:pt idx="1">
                  <c:v>182.00349837929957</c:v>
                </c:pt>
                <c:pt idx="2">
                  <c:v>186.12709398633615</c:v>
                </c:pt>
                <c:pt idx="3">
                  <c:v>190.22967074606737</c:v>
                </c:pt>
                <c:pt idx="4">
                  <c:v>194.31034545220444</c:v>
                </c:pt>
                <c:pt idx="5">
                  <c:v>198.37850541109458</c:v>
                </c:pt>
                <c:pt idx="6">
                  <c:v>202.43380590193343</c:v>
                </c:pt>
                <c:pt idx="7">
                  <c:v>206.47248541967753</c:v>
                </c:pt>
                <c:pt idx="8">
                  <c:v>210.50384302228866</c:v>
                </c:pt>
                <c:pt idx="9">
                  <c:v>214.52588197435807</c:v>
                </c:pt>
                <c:pt idx="10">
                  <c:v>218.5395405573673</c:v>
                </c:pt>
                <c:pt idx="11">
                  <c:v>222.54403313554269</c:v>
                </c:pt>
              </c:numCache>
            </c:numRef>
          </c:xVal>
          <c:yVal>
            <c:numRef>
              <c:f>Diagrammdaten!$K$367:$K$378</c:f>
              <c:numCache>
                <c:formatCode>General</c:formatCode>
                <c:ptCount val="12"/>
                <c:pt idx="0">
                  <c:v>84</c:v>
                </c:pt>
                <c:pt idx="1">
                  <c:v>88</c:v>
                </c:pt>
                <c:pt idx="2">
                  <c:v>92</c:v>
                </c:pt>
                <c:pt idx="3">
                  <c:v>96</c:v>
                </c:pt>
                <c:pt idx="4">
                  <c:v>100</c:v>
                </c:pt>
                <c:pt idx="5">
                  <c:v>104</c:v>
                </c:pt>
                <c:pt idx="6">
                  <c:v>108</c:v>
                </c:pt>
                <c:pt idx="7">
                  <c:v>112</c:v>
                </c:pt>
                <c:pt idx="8">
                  <c:v>116</c:v>
                </c:pt>
                <c:pt idx="9">
                  <c:v>120</c:v>
                </c:pt>
                <c:pt idx="10">
                  <c:v>124</c:v>
                </c:pt>
                <c:pt idx="11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5DDA-4469-B13C-D32A0CB217DF}"/>
            </c:ext>
          </c:extLst>
        </c:ser>
        <c:ser>
          <c:idx val="9"/>
          <c:order val="14"/>
          <c:tx>
            <c:v>A verflüssigen bei 80 bar (nur mit Kältemaschine)</c:v>
          </c:tx>
          <c:spPr>
            <a:ln w="22225">
              <a:solidFill>
                <a:srgbClr val="0476D9"/>
              </a:solidFill>
              <a:prstDash val="dash"/>
            </a:ln>
          </c:spPr>
          <c:marker>
            <c:symbol val="circle"/>
            <c:size val="5"/>
            <c:spPr>
              <a:solidFill>
                <a:srgbClr val="0476D9"/>
              </a:solidFill>
              <a:ln w="22225">
                <a:solidFill>
                  <a:srgbClr val="0476D9"/>
                </a:solidFill>
                <a:prstDash val="lgDash"/>
              </a:ln>
            </c:spPr>
          </c:marker>
          <c:dLbls>
            <c:dLbl>
              <c:idx val="4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 b="1">
                        <a:solidFill>
                          <a:srgbClr val="0476D9"/>
                        </a:solidFill>
                      </a:defRPr>
                    </a:pPr>
                    <a:r>
                      <a:rPr lang="en-US"/>
                      <a:t>A: Verflüssiger 80 bar / 20 °C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4394-47D9-9F9B-144D2EC3467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Diagrammdaten!$N$382:$N$387</c:f>
              <c:numCache>
                <c:formatCode>General</c:formatCode>
                <c:ptCount val="6"/>
                <c:pt idx="0">
                  <c:v>151</c:v>
                </c:pt>
                <c:pt idx="1">
                  <c:v>232.44095620380403</c:v>
                </c:pt>
                <c:pt idx="2">
                  <c:v>161</c:v>
                </c:pt>
                <c:pt idx="3">
                  <c:v>242.30997732996298</c:v>
                </c:pt>
                <c:pt idx="4">
                  <c:v>161</c:v>
                </c:pt>
                <c:pt idx="5">
                  <c:v>174.98641653520292</c:v>
                </c:pt>
              </c:numCache>
            </c:numRef>
          </c:xVal>
          <c:yVal>
            <c:numRef>
              <c:f>Diagrammdaten!$K$382:$K$387</c:f>
              <c:numCache>
                <c:formatCode>General</c:formatCode>
                <c:ptCount val="6"/>
                <c:pt idx="0">
                  <c:v>30</c:v>
                </c:pt>
                <c:pt idx="1">
                  <c:v>48.989794855663561</c:v>
                </c:pt>
                <c:pt idx="2">
                  <c:v>48.989794855663561</c:v>
                </c:pt>
                <c:pt idx="3">
                  <c:v>80</c:v>
                </c:pt>
                <c:pt idx="4">
                  <c:v>80</c:v>
                </c:pt>
                <c:pt idx="5">
                  <c:v>114.93130198208927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4394-47D9-9F9B-144D2EC3467D}"/>
            </c:ext>
          </c:extLst>
        </c:ser>
        <c:ser>
          <c:idx val="10"/>
          <c:order val="15"/>
          <c:tx>
            <c:v>D tiefkalt bei 30 bar (bleibt zweiphasig)</c:v>
          </c:tx>
          <c:spPr>
            <a:ln w="22225">
              <a:solidFill>
                <a:srgbClr val="7F7F7F"/>
              </a:solidFill>
              <a:prstDash val="dashDot"/>
            </a:ln>
          </c:spPr>
          <c:marker>
            <c:symbol val="circle"/>
            <c:size val="5"/>
            <c:spPr>
              <a:solidFill>
                <a:srgbClr val="7F7F7F"/>
              </a:solidFill>
              <a:ln w="22225">
                <a:solidFill>
                  <a:srgbClr val="7F7F7F"/>
                </a:solidFill>
                <a:prstDash val="lgDashDot"/>
              </a:ln>
            </c:spPr>
          </c:marker>
          <c:dLbls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 b="1">
                        <a:solidFill>
                          <a:srgbClr val="595959"/>
                        </a:solidFill>
                      </a:defRPr>
                    </a:pPr>
                    <a:r>
                      <a:rPr lang="en-US"/>
                      <a:t>D: −40 °C, noch 31 Vol-% Gas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4394-47D9-9F9B-144D2EC3467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Diagrammdaten!$N$389:$N$390</c:f>
              <c:numCache>
                <c:formatCode>General</c:formatCode>
                <c:ptCount val="2"/>
                <c:pt idx="0">
                  <c:v>151</c:v>
                </c:pt>
                <c:pt idx="1">
                  <c:v>41</c:v>
                </c:pt>
              </c:numCache>
            </c:numRef>
          </c:xVal>
          <c:yVal>
            <c:numRef>
              <c:f>Diagrammdaten!$K$389:$K$390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4394-47D9-9F9B-144D2EC3467D}"/>
            </c:ext>
          </c:extLst>
        </c:ser>
        <c:ser>
          <c:idx val="11"/>
          <c:order val="16"/>
          <c:tx>
            <c:v>E Pumpe im Zweiphasengebiet</c:v>
          </c:tx>
          <c:spPr>
            <a:ln w="9525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9525" cap="rnd" cmpd="sng" algn="ctr">
                  <a:solidFill>
                    <a:srgbClr val="CA220E"/>
                  </a:solidFill>
                  <a:prstDash val="solid"/>
                  <a:round/>
                </a14:hiddenLine>
              </a:ext>
            </a:extLst>
          </c:spPr>
          <c:marker>
            <c:symbol val="x"/>
            <c:size val="11"/>
            <c:spPr>
              <a:solidFill>
                <a:srgbClr val="CA220E"/>
              </a:solidFill>
              <a:ln w="9525" cap="flat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9525" cap="flat" cmpd="sng" algn="ctr">
                    <a:solidFill>
                      <a:srgbClr val="CA220E"/>
                    </a:solidFill>
                    <a:prstDash val="solid"/>
                    <a:round/>
                  </a14:hiddenLine>
                </a:ext>
              </a:extLst>
            </c:spPr>
          </c:marker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 b="1">
                        <a:solidFill>
                          <a:srgbClr val="CA220E"/>
                        </a:solidFill>
                      </a:defRPr>
                    </a:pPr>
                    <a:r>
                      <a:rPr lang="en-US"/>
                      <a:t>E: 18 Vol-% Gas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4394-47D9-9F9B-144D2EC3467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Diagrammdaten!$N$392:$N$392</c:f>
              <c:numCache>
                <c:formatCode>General</c:formatCode>
                <c:ptCount val="1"/>
                <c:pt idx="0">
                  <c:v>171</c:v>
                </c:pt>
              </c:numCache>
            </c:numRef>
          </c:xVal>
          <c:yVal>
            <c:numRef>
              <c:f>Diagrammdaten!$K$392:$K$392</c:f>
              <c:numCache>
                <c:formatCode>General</c:formatCode>
                <c:ptCount val="1"/>
                <c:pt idx="0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4394-47D9-9F9B-144D2EC34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080001"/>
        <c:axId val="60080002"/>
      </c:scatterChart>
      <c:catAx>
        <c:axId val="5008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aseline="0"/>
                </a:pPr>
                <a:r>
                  <a:rPr lang="en-US" sz="1000" baseline="0"/>
                  <a:t>Temperatur [°C]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900" baseline="0"/>
            </a:pPr>
            <a:endParaRPr lang="en-US"/>
          </a:p>
        </c:txPr>
        <c:crossAx val="50080002"/>
        <c:crosses val="autoZero"/>
        <c:auto val="1"/>
        <c:lblAlgn val="ctr"/>
        <c:lblOffset val="100"/>
        <c:tickLblSkip val="40"/>
        <c:tickMarkSkip val="40"/>
        <c:noMultiLvlLbl val="0"/>
      </c:catAx>
      <c:valAx>
        <c:axId val="50080002"/>
        <c:scaling>
          <c:orientation val="minMax"/>
          <c:max val="130"/>
          <c:min val="0"/>
        </c:scaling>
        <c:delete val="0"/>
        <c:axPos val="l"/>
        <c:majorGridlines>
          <c:spPr>
            <a:ln w="6350">
              <a:solidFill>
                <a:srgbClr val="FFFFFF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aseline="0"/>
                </a:pPr>
                <a:r>
                  <a:rPr lang="en-US" sz="1000" baseline="0"/>
                  <a:t>Druck [bar]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80001"/>
        <c:crossesAt val="1"/>
        <c:crossBetween val="between"/>
        <c:majorUnit val="10"/>
      </c:valAx>
      <c:valAx>
        <c:axId val="60080002"/>
        <c:scaling>
          <c:orientation val="minMax"/>
          <c:max val="130"/>
          <c:min val="0"/>
        </c:scaling>
        <c:delete val="1"/>
        <c:axPos val="r"/>
        <c:numFmt formatCode="General" sourceLinked="1"/>
        <c:majorTickMark val="out"/>
        <c:minorTickMark val="none"/>
        <c:tickLblPos val="nextTo"/>
        <c:crossAx val="60080001"/>
        <c:crosses val="max"/>
        <c:crossBetween val="midCat"/>
      </c:valAx>
      <c:valAx>
        <c:axId val="6008000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60080002"/>
        <c:crosses val="autoZero"/>
        <c:crossBetween val="midCat"/>
      </c:valAx>
    </c:plotArea>
    <c:legend>
      <c:legendPos val="r"/>
      <c:legendEntry>
        <c:idx val="7"/>
        <c:delete val="1"/>
      </c:legendEntry>
      <c:overlay val="0"/>
      <c:txPr>
        <a:bodyPr/>
        <a:lstStyle/>
        <a:p>
          <a:pPr>
            <a:defRPr sz="900" baseline="0"/>
          </a:pPr>
          <a:endParaRPr lang="en-US"/>
        </a:p>
      </c:txPr>
    </c:legend>
    <c:plotVisOnly val="1"/>
    <c:dispBlanksAs val="zero"/>
    <c:showDLblsOverMax val="0"/>
  </c:chart>
  <c:spPr>
    <a:ln>
      <a:solidFill>
        <a:srgbClr val="BFBFBF"/>
      </a:solidFill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>
                <a:solidFill>
                  <a:srgbClr val="00304F"/>
                </a:solidFill>
              </a:defRPr>
            </a:pPr>
            <a:r>
              <a:rPr lang="en-US" sz="1200" b="1" baseline="0">
                <a:solidFill>
                  <a:srgbClr val="00304F"/>
                </a:solidFill>
              </a:rPr>
              <a:t>Einspeicherung: Prozesspfade S1, S2 und Vergleich Durchverdichten (bis Bohrlochkopf) – Worst-Case-Gemisch</a:t>
            </a:r>
          </a:p>
        </c:rich>
      </c:tx>
      <c:overlay val="0"/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Diagrammdaten!$D$7</c:f>
              <c:strCache>
                <c:ptCount val="1"/>
                <c:pt idx="0">
                  <c:v>gasförmig [bar]</c:v>
                </c:pt>
              </c:strCache>
            </c:strRef>
          </c:tx>
          <c:spPr>
            <a:solidFill>
              <a:srgbClr val="CFE2F3"/>
            </a:solidFill>
            <a:ln>
              <a:noFill/>
            </a:ln>
          </c:spPr>
          <c:cat>
            <c:strRef>
              <c:f>Diagrammdaten!$C$8:$C$388</c:f>
              <c:strCache>
                <c:ptCount val="361"/>
                <c:pt idx="0">
                  <c:v>-80</c:v>
                </c:pt>
                <c:pt idx="40">
                  <c:v>-60</c:v>
                </c:pt>
                <c:pt idx="80">
                  <c:v>-40</c:v>
                </c:pt>
                <c:pt idx="120">
                  <c:v>-20</c:v>
                </c:pt>
                <c:pt idx="160">
                  <c:v>0</c:v>
                </c:pt>
                <c:pt idx="200">
                  <c:v>20</c:v>
                </c:pt>
                <c:pt idx="240">
                  <c:v>40</c:v>
                </c:pt>
                <c:pt idx="280">
                  <c:v>60</c:v>
                </c:pt>
                <c:pt idx="320">
                  <c:v>80</c:v>
                </c:pt>
                <c:pt idx="360">
                  <c:v>100</c:v>
                </c:pt>
              </c:strCache>
            </c:strRef>
          </c:cat>
          <c:val>
            <c:numRef>
              <c:f>Diagrammdaten!$D$8:$D$388</c:f>
              <c:numCache>
                <c:formatCode>General</c:formatCode>
                <c:ptCount val="381"/>
                <c:pt idx="0">
                  <c:v>0.89241567971802016</c:v>
                </c:pt>
                <c:pt idx="1">
                  <c:v>0.93029797403040304</c:v>
                </c:pt>
                <c:pt idx="2">
                  <c:v>0.96958837381022944</c:v>
                </c:pt>
                <c:pt idx="3">
                  <c:v>1.010331934508877</c:v>
                </c:pt>
                <c:pt idx="4">
                  <c:v>1.0525749397826214</c:v>
                </c:pt>
                <c:pt idx="5">
                  <c:v>1.0963649308553405</c:v>
                </c:pt>
                <c:pt idx="6">
                  <c:v>1.1417507366031867</c:v>
                </c:pt>
                <c:pt idx="7">
                  <c:v>1.1887825043863187</c:v>
                </c:pt>
                <c:pt idx="8">
                  <c:v>1.2375117316542428</c:v>
                </c:pt>
                <c:pt idx="9">
                  <c:v>1.2879912983528754</c:v>
                </c:pt>
                <c:pt idx="10">
                  <c:v>1.340275500163288</c:v>
                </c:pt>
                <c:pt idx="11">
                  <c:v>1.3944200826039743</c:v>
                </c:pt>
                <c:pt idx="12">
                  <c:v>1.4504822760307026</c:v>
                </c:pt>
                <c:pt idx="13">
                  <c:v>1.5085208315704552</c:v>
                </c:pt>
                <c:pt idx="14">
                  <c:v>1.5685960580286391</c:v>
                </c:pt>
                <c:pt idx="15">
                  <c:v>1.6307698598119242</c:v>
                </c:pt>
                <c:pt idx="16">
                  <c:v>1.6951057759124981</c:v>
                </c:pt>
                <c:pt idx="17">
                  <c:v>1.7616690200035732</c:v>
                </c:pt>
                <c:pt idx="18">
                  <c:v>1.8305265217005857</c:v>
                </c:pt>
                <c:pt idx="19">
                  <c:v>1.901746969047835</c:v>
                </c:pt>
                <c:pt idx="20">
                  <c:v>1.9754008522965969</c:v>
                </c:pt>
                <c:pt idx="21">
                  <c:v>2.0515605090479743</c:v>
                </c:pt>
                <c:pt idx="22">
                  <c:v>2.1303001708424727</c:v>
                </c:pt>
                <c:pt idx="23">
                  <c:v>2.2116960112886028</c:v>
                </c:pt>
                <c:pt idx="24">
                  <c:v>2.2958261958352479</c:v>
                </c:pt>
                <c:pt idx="25">
                  <c:v>2.3827709333077967</c:v>
                </c:pt>
                <c:pt idx="26">
                  <c:v>2.4726125293466135</c:v>
                </c:pt>
                <c:pt idx="27">
                  <c:v>2.5654354419096896</c:v>
                </c:pt>
                <c:pt idx="28">
                  <c:v>2.6613263390304978</c:v>
                </c:pt>
                <c:pt idx="29">
                  <c:v>2.7603741590594004</c:v>
                </c:pt>
                <c:pt idx="30">
                  <c:v>2.862670173664994</c:v>
                </c:pt>
                <c:pt idx="31">
                  <c:v>2.9683080539352531</c:v>
                </c:pt>
                <c:pt idx="32">
                  <c:v>3.0773839400026244</c:v>
                </c:pt>
                <c:pt idx="33">
                  <c:v>3.1899965147323135</c:v>
                </c:pt>
                <c:pt idx="34">
                  <c:v>3.3062470821726935</c:v>
                </c:pt>
                <c:pt idx="35">
                  <c:v>3.426239651693705</c:v>
                </c:pt>
                <c:pt idx="36">
                  <c:v>3.5500810290707134</c:v>
                </c:pt>
                <c:pt idx="37">
                  <c:v>3.6778809162695403</c:v>
                </c:pt>
                <c:pt idx="38">
                  <c:v>3.8097520224647976</c:v>
                </c:pt>
                <c:pt idx="39">
                  <c:v>3.9458101900827693</c:v>
                </c:pt>
                <c:pt idx="40">
                  <c:v>4.0861745418042217</c:v>
                </c:pt>
                <c:pt idx="41">
                  <c:v>4.2309676583365281</c:v>
                </c:pt>
                <c:pt idx="42">
                  <c:v>4.3803158042993156</c:v>
                </c:pt>
                <c:pt idx="43">
                  <c:v>4.5343492356916677</c:v>
                </c:pt>
                <c:pt idx="44">
                  <c:v>4.6932026616762457</c:v>
                </c:pt>
                <c:pt idx="45">
                  <c:v>4.8570160489607197</c:v>
                </c:pt>
                <c:pt idx="46">
                  <c:v>5.0259364249698981</c:v>
                </c:pt>
                <c:pt idx="47">
                  <c:v>5.4919860799449749</c:v>
                </c:pt>
                <c:pt idx="48">
                  <c:v>5.6127439371801966</c:v>
                </c:pt>
                <c:pt idx="49">
                  <c:v>5.7355076682387329</c:v>
                </c:pt>
                <c:pt idx="50">
                  <c:v>5.8602987779670137</c:v>
                </c:pt>
                <c:pt idx="51">
                  <c:v>5.9871388591800443</c:v>
                </c:pt>
                <c:pt idx="52">
                  <c:v>6.1160495926643224</c:v>
                </c:pt>
                <c:pt idx="53">
                  <c:v>6.2470527471981425</c:v>
                </c:pt>
                <c:pt idx="54">
                  <c:v>6.3801701795764982</c:v>
                </c:pt>
                <c:pt idx="55">
                  <c:v>6.5154238347897238</c:v>
                </c:pt>
                <c:pt idx="56">
                  <c:v>6.6528357460767671</c:v>
                </c:pt>
                <c:pt idx="57">
                  <c:v>6.7924280351432822</c:v>
                </c:pt>
                <c:pt idx="58">
                  <c:v>6.9342229123897052</c:v>
                </c:pt>
                <c:pt idx="59">
                  <c:v>7.0782426771019722</c:v>
                </c:pt>
                <c:pt idx="60">
                  <c:v>7.2245097178489024</c:v>
                </c:pt>
                <c:pt idx="61">
                  <c:v>7.3730465127103502</c:v>
                </c:pt>
                <c:pt idx="62">
                  <c:v>7.5238756297246789</c:v>
                </c:pt>
                <c:pt idx="63">
                  <c:v>7.6770197272943728</c:v>
                </c:pt>
                <c:pt idx="64">
                  <c:v>7.8324218604236382</c:v>
                </c:pt>
                <c:pt idx="65">
                  <c:v>7.9903439524663922</c:v>
                </c:pt>
                <c:pt idx="66">
                  <c:v>8.1505698531683723</c:v>
                </c:pt>
                <c:pt idx="67">
                  <c:v>8.3132022818456477</c:v>
                </c:pt>
                <c:pt idx="68">
                  <c:v>8.4782643567241394</c:v>
                </c:pt>
                <c:pt idx="69">
                  <c:v>8.6457792899035155</c:v>
                </c:pt>
                <c:pt idx="70">
                  <c:v>8.8157703881778495</c:v>
                </c:pt>
                <c:pt idx="71">
                  <c:v>8.9882610537478094</c:v>
                </c:pt>
                <c:pt idx="72">
                  <c:v>9.1632747851362311</c:v>
                </c:pt>
                <c:pt idx="73">
                  <c:v>9.3408351781147942</c:v>
                </c:pt>
                <c:pt idx="74">
                  <c:v>9.5209659265827469</c:v>
                </c:pt>
                <c:pt idx="75">
                  <c:v>9.7036908236466317</c:v>
                </c:pt>
                <c:pt idx="76">
                  <c:v>9.889033762673316</c:v>
                </c:pt>
                <c:pt idx="77">
                  <c:v>10.077018738400762</c:v>
                </c:pt>
                <c:pt idx="78">
                  <c:v>10.267669848055281</c:v>
                </c:pt>
                <c:pt idx="79">
                  <c:v>10.461011292705777</c:v>
                </c:pt>
                <c:pt idx="80">
                  <c:v>10.65706737848825</c:v>
                </c:pt>
                <c:pt idx="81">
                  <c:v>10.855862517881613</c:v>
                </c:pt>
                <c:pt idx="82">
                  <c:v>11.057421231298767</c:v>
                </c:pt>
                <c:pt idx="83">
                  <c:v>11.261768148424618</c:v>
                </c:pt>
                <c:pt idx="84">
                  <c:v>11.46892800980112</c:v>
                </c:pt>
                <c:pt idx="85">
                  <c:v>11.678925668469054</c:v>
                </c:pt>
                <c:pt idx="86">
                  <c:v>11.891786091679583</c:v>
                </c:pt>
                <c:pt idx="87">
                  <c:v>12.107534362600649</c:v>
                </c:pt>
                <c:pt idx="88">
                  <c:v>12.326195682274205</c:v>
                </c:pt>
                <c:pt idx="89">
                  <c:v>12.547795371500028</c:v>
                </c:pt>
                <c:pt idx="90">
                  <c:v>12.772358872889802</c:v>
                </c:pt>
                <c:pt idx="91">
                  <c:v>12.999911753042955</c:v>
                </c:pt>
                <c:pt idx="92">
                  <c:v>13.230479704752533</c:v>
                </c:pt>
                <c:pt idx="93">
                  <c:v>13.464088549338307</c:v>
                </c:pt>
                <c:pt idx="94">
                  <c:v>13.700764239189271</c:v>
                </c:pt>
                <c:pt idx="95">
                  <c:v>13.940532860287671</c:v>
                </c:pt>
                <c:pt idx="96">
                  <c:v>14.183351703185131</c:v>
                </c:pt>
                <c:pt idx="97">
                  <c:v>14.429453924659507</c:v>
                </c:pt>
                <c:pt idx="98">
                  <c:v>14.678659233038044</c:v>
                </c:pt>
                <c:pt idx="99">
                  <c:v>14.931063208978326</c:v>
                </c:pt>
                <c:pt idx="100">
                  <c:v>15.186692649944018</c:v>
                </c:pt>
                <c:pt idx="101">
                  <c:v>15.445574505341019</c:v>
                </c:pt>
                <c:pt idx="102">
                  <c:v>15.707735880186359</c:v>
                </c:pt>
                <c:pt idx="103">
                  <c:v>15.973204038727578</c:v>
                </c:pt>
                <c:pt idx="104">
                  <c:v>16.242006408537232</c:v>
                </c:pt>
                <c:pt idx="105">
                  <c:v>16.514170584509827</c:v>
                </c:pt>
                <c:pt idx="106">
                  <c:v>16.789724333197771</c:v>
                </c:pt>
                <c:pt idx="107">
                  <c:v>17.06869559729407</c:v>
                </c:pt>
                <c:pt idx="108">
                  <c:v>17.351112500347501</c:v>
                </c:pt>
                <c:pt idx="109">
                  <c:v>17.637003351619452</c:v>
                </c:pt>
                <c:pt idx="110">
                  <c:v>17.926396651249259</c:v>
                </c:pt>
                <c:pt idx="111">
                  <c:v>18.219321095572891</c:v>
                </c:pt>
                <c:pt idx="112">
                  <c:v>18.515805582712161</c:v>
                </c:pt>
                <c:pt idx="113">
                  <c:v>18.815879218407041</c:v>
                </c:pt>
                <c:pt idx="114">
                  <c:v>19.119571322090206</c:v>
                </c:pt>
                <c:pt idx="115">
                  <c:v>19.426911433245074</c:v>
                </c:pt>
                <c:pt idx="116">
                  <c:v>19.737929318057201</c:v>
                </c:pt>
                <c:pt idx="117">
                  <c:v>20.052654976276475</c:v>
                </c:pt>
                <c:pt idx="118">
                  <c:v>20.371118648517893</c:v>
                </c:pt>
                <c:pt idx="119">
                  <c:v>20.693350823792674</c:v>
                </c:pt>
                <c:pt idx="120">
                  <c:v>21.019382247337123</c:v>
                </c:pt>
                <c:pt idx="121">
                  <c:v>21.349243928996074</c:v>
                </c:pt>
                <c:pt idx="122">
                  <c:v>21.682967151690651</c:v>
                </c:pt>
                <c:pt idx="123">
                  <c:v>22.020583480496693</c:v>
                </c:pt>
                <c:pt idx="124">
                  <c:v>22.362124772082222</c:v>
                </c:pt>
                <c:pt idx="125">
                  <c:v>22.707623184526081</c:v>
                </c:pt>
                <c:pt idx="126">
                  <c:v>23.057111187672984</c:v>
                </c:pt>
                <c:pt idx="127">
                  <c:v>23.410621573866361</c:v>
                </c:pt>
                <c:pt idx="128">
                  <c:v>23.768187469338002</c:v>
                </c:pt>
                <c:pt idx="129">
                  <c:v>24.12984234599627</c:v>
                </c:pt>
                <c:pt idx="130">
                  <c:v>24.495620033870402</c:v>
                </c:pt>
                <c:pt idx="131">
                  <c:v>24.865534504483001</c:v>
                </c:pt>
                <c:pt idx="132">
                  <c:v>25.239681032717183</c:v>
                </c:pt>
                <c:pt idx="133">
                  <c:v>25.618033914754317</c:v>
                </c:pt>
                <c:pt idx="134">
                  <c:v>26.000648779532593</c:v>
                </c:pt>
                <c:pt idx="135">
                  <c:v>26.387561456360864</c:v>
                </c:pt>
                <c:pt idx="136">
                  <c:v>26.77880822122118</c:v>
                </c:pt>
                <c:pt idx="137">
                  <c:v>27.174425814219134</c:v>
                </c:pt>
                <c:pt idx="138">
                  <c:v>27.574451458074829</c:v>
                </c:pt>
                <c:pt idx="139">
                  <c:v>27.978922877476542</c:v>
                </c:pt>
                <c:pt idx="140">
                  <c:v>28.387878319565097</c:v>
                </c:pt>
                <c:pt idx="141">
                  <c:v>28.801356575535983</c:v>
                </c:pt>
                <c:pt idx="142">
                  <c:v>29.21966600247509</c:v>
                </c:pt>
                <c:pt idx="143">
                  <c:v>29.644089510561468</c:v>
                </c:pt>
                <c:pt idx="144">
                  <c:v>30.069598596144392</c:v>
                </c:pt>
                <c:pt idx="145">
                  <c:v>30.503380530925153</c:v>
                </c:pt>
                <c:pt idx="146">
                  <c:v>30.937988822707315</c:v>
                </c:pt>
                <c:pt idx="147">
                  <c:v>31.379452087235325</c:v>
                </c:pt>
                <c:pt idx="148">
                  <c:v>31.82572702823888</c:v>
                </c:pt>
                <c:pt idx="149">
                  <c:v>32.276857732169212</c:v>
                </c:pt>
                <c:pt idx="150">
                  <c:v>32.732889090722054</c:v>
                </c:pt>
                <c:pt idx="151">
                  <c:v>33.193866839690045</c:v>
                </c:pt>
                <c:pt idx="152">
                  <c:v>33.659837600410995</c:v>
                </c:pt>
                <c:pt idx="153">
                  <c:v>34.130848923988133</c:v>
                </c:pt>
                <c:pt idx="154">
                  <c:v>34.606949338621241</c:v>
                </c:pt>
                <c:pt idx="155">
                  <c:v>35.088188400233264</c:v>
                </c:pt>
                <c:pt idx="156">
                  <c:v>35.574616746776918</c:v>
                </c:pt>
                <c:pt idx="157">
                  <c:v>36.066286156425733</c:v>
                </c:pt>
                <c:pt idx="158">
                  <c:v>36.563249610200728</c:v>
                </c:pt>
                <c:pt idx="159">
                  <c:v>37.065561359218584</c:v>
                </c:pt>
                <c:pt idx="160">
                  <c:v>37.573276997210179</c:v>
                </c:pt>
                <c:pt idx="161">
                  <c:v>38.086453538633471</c:v>
                </c:pt>
                <c:pt idx="162">
                  <c:v>38.60514950304249</c:v>
                </c:pt>
                <c:pt idx="163">
                  <c:v>39.129425006292543</c:v>
                </c:pt>
                <c:pt idx="164">
                  <c:v>39.659341859162808</c:v>
                </c:pt>
                <c:pt idx="165">
                  <c:v>40.19496367434504</c:v>
                </c:pt>
                <c:pt idx="166">
                  <c:v>40.736355982418857</c:v>
                </c:pt>
                <c:pt idx="167">
                  <c:v>41.283586357901441</c:v>
                </c:pt>
                <c:pt idx="168">
                  <c:v>41.836420633447588</c:v>
                </c:pt>
                <c:pt idx="169">
                  <c:v>42.3958426640854</c:v>
                </c:pt>
                <c:pt idx="170">
                  <c:v>42.961015260630354</c:v>
                </c:pt>
                <c:pt idx="171">
                  <c:v>43.532319597590259</c:v>
                </c:pt>
                <c:pt idx="172">
                  <c:v>44.109835793581581</c:v>
                </c:pt>
                <c:pt idx="173">
                  <c:v>44.693647048409758</c:v>
                </c:pt>
                <c:pt idx="174">
                  <c:v>45.283839878592119</c:v>
                </c:pt>
                <c:pt idx="175">
                  <c:v>45.880504376789766</c:v>
                </c:pt>
                <c:pt idx="176">
                  <c:v>46.483734498420105</c:v>
                </c:pt>
                <c:pt idx="177">
                  <c:v>47.093628379086717</c:v>
                </c:pt>
                <c:pt idx="178">
                  <c:v>47.710288687124077</c:v>
                </c:pt>
                <c:pt idx="179">
                  <c:v>48.333823016385388</c:v>
                </c:pt>
                <c:pt idx="180">
                  <c:v>48.964344325289865</c:v>
                </c:pt>
                <c:pt idx="181">
                  <c:v>49.601909301745991</c:v>
                </c:pt>
                <c:pt idx="182">
                  <c:v>50.246829555681302</c:v>
                </c:pt>
                <c:pt idx="183">
                  <c:v>50.899050970206332</c:v>
                </c:pt>
                <c:pt idx="184">
                  <c:v>51.558775689360345</c:v>
                </c:pt>
                <c:pt idx="185">
                  <c:v>52.226152292085246</c:v>
                </c:pt>
                <c:pt idx="186">
                  <c:v>52.901338850141386</c:v>
                </c:pt>
                <c:pt idx="187">
                  <c:v>53.584503999302882</c:v>
                </c:pt>
                <c:pt idx="188">
                  <c:v>54.275828179093409</c:v>
                </c:pt>
                <c:pt idx="189">
                  <c:v>54.975505075157592</c:v>
                </c:pt>
                <c:pt idx="190">
                  <c:v>55.683743306690538</c:v>
                </c:pt>
                <c:pt idx="191">
                  <c:v>56.400768411846606</c:v>
                </c:pt>
                <c:pt idx="192">
                  <c:v>57.126825197876414</c:v>
                </c:pt>
                <c:pt idx="193">
                  <c:v>57.862180540579779</c:v>
                </c:pt>
                <c:pt idx="194">
                  <c:v>58.607126741337744</c:v>
                </c:pt>
                <c:pt idx="195">
                  <c:v>59.361985581713512</c:v>
                </c:pt>
                <c:pt idx="196">
                  <c:v>60.131197783688393</c:v>
                </c:pt>
                <c:pt idx="197">
                  <c:v>60.94092026147699</c:v>
                </c:pt>
                <c:pt idx="198">
                  <c:v>61.750642739265587</c:v>
                </c:pt>
                <c:pt idx="199">
                  <c:v>62.560365217054184</c:v>
                </c:pt>
                <c:pt idx="200">
                  <c:v>63.37008769484278</c:v>
                </c:pt>
                <c:pt idx="201">
                  <c:v>64.179810172631377</c:v>
                </c:pt>
                <c:pt idx="202">
                  <c:v>64.989532650419974</c:v>
                </c:pt>
                <c:pt idx="203">
                  <c:v>65.817354559425965</c:v>
                </c:pt>
                <c:pt idx="204">
                  <c:v>66.703568505223032</c:v>
                </c:pt>
                <c:pt idx="205">
                  <c:v>67.589782451020099</c:v>
                </c:pt>
                <c:pt idx="206">
                  <c:v>68.475996396817166</c:v>
                </c:pt>
                <c:pt idx="207">
                  <c:v>69.40522495773665</c:v>
                </c:pt>
                <c:pt idx="208">
                  <c:v>70.363800093024707</c:v>
                </c:pt>
                <c:pt idx="209">
                  <c:v>71.322375228312765</c:v>
                </c:pt>
                <c:pt idx="210">
                  <c:v>72.325229642539654</c:v>
                </c:pt>
                <c:pt idx="211">
                  <c:v>73.38015838022605</c:v>
                </c:pt>
                <c:pt idx="212">
                  <c:v>74.43508711791246</c:v>
                </c:pt>
                <c:pt idx="213">
                  <c:v>75.61815476681673</c:v>
                </c:pt>
                <c:pt idx="214">
                  <c:v>76.817922880286346</c:v>
                </c:pt>
                <c:pt idx="215">
                  <c:v>78.254414833855236</c:v>
                </c:pt>
                <c:pt idx="216">
                  <c:v>81.455055721913254</c:v>
                </c:pt>
                <c:pt idx="217">
                  <c:v>81.455055721913254</c:v>
                </c:pt>
                <c:pt idx="218">
                  <c:v>81.455055721913254</c:v>
                </c:pt>
                <c:pt idx="219">
                  <c:v>81.455055721913254</c:v>
                </c:pt>
                <c:pt idx="220">
                  <c:v>81.455055721913254</c:v>
                </c:pt>
                <c:pt idx="221">
                  <c:v>81.455055721913254</c:v>
                </c:pt>
                <c:pt idx="222">
                  <c:v>81.455055721913254</c:v>
                </c:pt>
                <c:pt idx="223">
                  <c:v>81.455055721913254</c:v>
                </c:pt>
                <c:pt idx="224">
                  <c:v>81.455055721913254</c:v>
                </c:pt>
                <c:pt idx="225">
                  <c:v>81.455055721913254</c:v>
                </c:pt>
                <c:pt idx="226">
                  <c:v>81.455055721913254</c:v>
                </c:pt>
                <c:pt idx="227">
                  <c:v>81.455055721913254</c:v>
                </c:pt>
                <c:pt idx="228">
                  <c:v>81.455055721913254</c:v>
                </c:pt>
                <c:pt idx="229">
                  <c:v>81.455055721913254</c:v>
                </c:pt>
                <c:pt idx="230">
                  <c:v>81.455055721913254</c:v>
                </c:pt>
                <c:pt idx="231">
                  <c:v>81.455055721913254</c:v>
                </c:pt>
                <c:pt idx="232">
                  <c:v>81.455055721913254</c:v>
                </c:pt>
                <c:pt idx="233">
                  <c:v>81.455055721913254</c:v>
                </c:pt>
                <c:pt idx="234">
                  <c:v>81.455055721913254</c:v>
                </c:pt>
                <c:pt idx="235">
                  <c:v>81.455055721913254</c:v>
                </c:pt>
                <c:pt idx="236">
                  <c:v>81.455055721913254</c:v>
                </c:pt>
                <c:pt idx="237">
                  <c:v>81.455055721913254</c:v>
                </c:pt>
                <c:pt idx="238">
                  <c:v>81.455055721913254</c:v>
                </c:pt>
                <c:pt idx="239">
                  <c:v>81.455055721913254</c:v>
                </c:pt>
                <c:pt idx="240">
                  <c:v>81.455055721913254</c:v>
                </c:pt>
                <c:pt idx="241">
                  <c:v>81.455055721913254</c:v>
                </c:pt>
                <c:pt idx="242">
                  <c:v>81.455055721913254</c:v>
                </c:pt>
                <c:pt idx="243">
                  <c:v>81.455055721913254</c:v>
                </c:pt>
                <c:pt idx="244">
                  <c:v>81.455055721913254</c:v>
                </c:pt>
                <c:pt idx="245">
                  <c:v>81.455055721913254</c:v>
                </c:pt>
                <c:pt idx="246">
                  <c:v>81.455055721913254</c:v>
                </c:pt>
                <c:pt idx="247">
                  <c:v>81.455055721913254</c:v>
                </c:pt>
                <c:pt idx="248">
                  <c:v>81.455055721913254</c:v>
                </c:pt>
                <c:pt idx="249">
                  <c:v>81.455055721913254</c:v>
                </c:pt>
                <c:pt idx="250">
                  <c:v>81.455055721913254</c:v>
                </c:pt>
                <c:pt idx="251">
                  <c:v>81.455055721913254</c:v>
                </c:pt>
                <c:pt idx="252">
                  <c:v>81.455055721913254</c:v>
                </c:pt>
                <c:pt idx="253">
                  <c:v>81.455055721913254</c:v>
                </c:pt>
                <c:pt idx="254">
                  <c:v>81.455055721913254</c:v>
                </c:pt>
                <c:pt idx="255">
                  <c:v>81.455055721913254</c:v>
                </c:pt>
                <c:pt idx="256">
                  <c:v>81.455055721913254</c:v>
                </c:pt>
                <c:pt idx="257">
                  <c:v>81.455055721913254</c:v>
                </c:pt>
                <c:pt idx="258">
                  <c:v>81.455055721913254</c:v>
                </c:pt>
                <c:pt idx="259">
                  <c:v>81.455055721913254</c:v>
                </c:pt>
                <c:pt idx="260">
                  <c:v>81.455055721913254</c:v>
                </c:pt>
                <c:pt idx="261">
                  <c:v>81.455055721913254</c:v>
                </c:pt>
                <c:pt idx="262">
                  <c:v>81.455055721913254</c:v>
                </c:pt>
                <c:pt idx="263">
                  <c:v>81.455055721913254</c:v>
                </c:pt>
                <c:pt idx="264">
                  <c:v>81.455055721913254</c:v>
                </c:pt>
                <c:pt idx="265">
                  <c:v>81.455055721913254</c:v>
                </c:pt>
                <c:pt idx="266">
                  <c:v>81.455055721913254</c:v>
                </c:pt>
                <c:pt idx="267">
                  <c:v>81.455055721913254</c:v>
                </c:pt>
                <c:pt idx="268">
                  <c:v>81.455055721913254</c:v>
                </c:pt>
                <c:pt idx="269">
                  <c:v>81.455055721913254</c:v>
                </c:pt>
                <c:pt idx="270">
                  <c:v>81.455055721913254</c:v>
                </c:pt>
                <c:pt idx="271">
                  <c:v>81.455055721913254</c:v>
                </c:pt>
                <c:pt idx="272">
                  <c:v>81.455055721913254</c:v>
                </c:pt>
                <c:pt idx="273">
                  <c:v>81.455055721913254</c:v>
                </c:pt>
                <c:pt idx="274">
                  <c:v>81.455055721913254</c:v>
                </c:pt>
                <c:pt idx="275">
                  <c:v>81.455055721913254</c:v>
                </c:pt>
                <c:pt idx="276">
                  <c:v>81.455055721913254</c:v>
                </c:pt>
                <c:pt idx="277">
                  <c:v>81.455055721913254</c:v>
                </c:pt>
                <c:pt idx="278">
                  <c:v>81.455055721913254</c:v>
                </c:pt>
                <c:pt idx="279">
                  <c:v>81.455055721913254</c:v>
                </c:pt>
                <c:pt idx="280">
                  <c:v>81.455055721913254</c:v>
                </c:pt>
                <c:pt idx="281">
                  <c:v>81.455055721913254</c:v>
                </c:pt>
                <c:pt idx="282">
                  <c:v>81.455055721913254</c:v>
                </c:pt>
                <c:pt idx="283">
                  <c:v>81.455055721913254</c:v>
                </c:pt>
                <c:pt idx="284">
                  <c:v>81.455055721913254</c:v>
                </c:pt>
                <c:pt idx="285">
                  <c:v>81.455055721913254</c:v>
                </c:pt>
                <c:pt idx="286">
                  <c:v>81.455055721913254</c:v>
                </c:pt>
                <c:pt idx="287">
                  <c:v>81.455055721913254</c:v>
                </c:pt>
                <c:pt idx="288">
                  <c:v>81.455055721913254</c:v>
                </c:pt>
                <c:pt idx="289">
                  <c:v>81.455055721913254</c:v>
                </c:pt>
                <c:pt idx="290">
                  <c:v>81.455055721913254</c:v>
                </c:pt>
                <c:pt idx="291">
                  <c:v>81.455055721913254</c:v>
                </c:pt>
                <c:pt idx="292">
                  <c:v>81.455055721913254</c:v>
                </c:pt>
                <c:pt idx="293">
                  <c:v>81.455055721913254</c:v>
                </c:pt>
                <c:pt idx="294">
                  <c:v>81.455055721913254</c:v>
                </c:pt>
                <c:pt idx="295">
                  <c:v>81.455055721913254</c:v>
                </c:pt>
                <c:pt idx="296">
                  <c:v>81.455055721913254</c:v>
                </c:pt>
                <c:pt idx="297">
                  <c:v>81.455055721913254</c:v>
                </c:pt>
                <c:pt idx="298">
                  <c:v>81.455055721913254</c:v>
                </c:pt>
                <c:pt idx="299">
                  <c:v>81.455055721913254</c:v>
                </c:pt>
                <c:pt idx="300">
                  <c:v>81.455055721913254</c:v>
                </c:pt>
                <c:pt idx="301">
                  <c:v>81.455055721913254</c:v>
                </c:pt>
                <c:pt idx="302">
                  <c:v>81.455055721913254</c:v>
                </c:pt>
                <c:pt idx="303">
                  <c:v>81.455055721913254</c:v>
                </c:pt>
                <c:pt idx="304">
                  <c:v>81.455055721913254</c:v>
                </c:pt>
                <c:pt idx="305">
                  <c:v>81.455055721913254</c:v>
                </c:pt>
                <c:pt idx="306">
                  <c:v>81.455055721913254</c:v>
                </c:pt>
                <c:pt idx="307">
                  <c:v>81.455055721913254</c:v>
                </c:pt>
                <c:pt idx="308">
                  <c:v>81.455055721913254</c:v>
                </c:pt>
                <c:pt idx="309">
                  <c:v>81.455055721913254</c:v>
                </c:pt>
                <c:pt idx="310">
                  <c:v>81.455055721913254</c:v>
                </c:pt>
                <c:pt idx="311">
                  <c:v>81.455055721913254</c:v>
                </c:pt>
                <c:pt idx="312">
                  <c:v>81.455055721913254</c:v>
                </c:pt>
                <c:pt idx="313">
                  <c:v>81.455055721913254</c:v>
                </c:pt>
                <c:pt idx="314">
                  <c:v>81.455055721913254</c:v>
                </c:pt>
                <c:pt idx="315">
                  <c:v>81.455055721913254</c:v>
                </c:pt>
                <c:pt idx="316">
                  <c:v>81.455055721913254</c:v>
                </c:pt>
                <c:pt idx="317">
                  <c:v>81.455055721913254</c:v>
                </c:pt>
                <c:pt idx="318">
                  <c:v>81.455055721913254</c:v>
                </c:pt>
                <c:pt idx="319">
                  <c:v>81.455055721913254</c:v>
                </c:pt>
                <c:pt idx="320">
                  <c:v>81.455055721913254</c:v>
                </c:pt>
                <c:pt idx="321">
                  <c:v>81.455055721913254</c:v>
                </c:pt>
                <c:pt idx="322">
                  <c:v>81.455055721913254</c:v>
                </c:pt>
                <c:pt idx="323">
                  <c:v>81.455055721913254</c:v>
                </c:pt>
                <c:pt idx="324">
                  <c:v>81.455055721913254</c:v>
                </c:pt>
                <c:pt idx="325">
                  <c:v>81.455055721913254</c:v>
                </c:pt>
                <c:pt idx="326">
                  <c:v>81.455055721913254</c:v>
                </c:pt>
                <c:pt idx="327">
                  <c:v>81.455055721913254</c:v>
                </c:pt>
                <c:pt idx="328">
                  <c:v>81.455055721913254</c:v>
                </c:pt>
                <c:pt idx="329">
                  <c:v>81.455055721913254</c:v>
                </c:pt>
                <c:pt idx="330">
                  <c:v>81.455055721913254</c:v>
                </c:pt>
                <c:pt idx="331">
                  <c:v>81.455055721913254</c:v>
                </c:pt>
                <c:pt idx="332">
                  <c:v>81.455055721913254</c:v>
                </c:pt>
                <c:pt idx="333">
                  <c:v>81.455055721913254</c:v>
                </c:pt>
                <c:pt idx="334">
                  <c:v>81.455055721913254</c:v>
                </c:pt>
                <c:pt idx="335">
                  <c:v>81.455055721913254</c:v>
                </c:pt>
                <c:pt idx="336">
                  <c:v>81.455055721913254</c:v>
                </c:pt>
                <c:pt idx="337">
                  <c:v>81.455055721913254</c:v>
                </c:pt>
                <c:pt idx="338">
                  <c:v>81.455055721913254</c:v>
                </c:pt>
                <c:pt idx="339">
                  <c:v>81.455055721913254</c:v>
                </c:pt>
                <c:pt idx="340">
                  <c:v>81.455055721913254</c:v>
                </c:pt>
                <c:pt idx="341">
                  <c:v>81.455055721913254</c:v>
                </c:pt>
                <c:pt idx="342">
                  <c:v>81.455055721913254</c:v>
                </c:pt>
                <c:pt idx="343">
                  <c:v>81.455055721913254</c:v>
                </c:pt>
                <c:pt idx="344">
                  <c:v>81.455055721913254</c:v>
                </c:pt>
                <c:pt idx="345">
                  <c:v>81.455055721913254</c:v>
                </c:pt>
                <c:pt idx="346">
                  <c:v>81.455055721913254</c:v>
                </c:pt>
                <c:pt idx="347">
                  <c:v>81.455055721913254</c:v>
                </c:pt>
                <c:pt idx="348">
                  <c:v>81.455055721913254</c:v>
                </c:pt>
                <c:pt idx="349">
                  <c:v>81.455055721913254</c:v>
                </c:pt>
                <c:pt idx="350">
                  <c:v>81.455055721913254</c:v>
                </c:pt>
                <c:pt idx="351">
                  <c:v>81.455055721913254</c:v>
                </c:pt>
                <c:pt idx="352">
                  <c:v>81.455055721913254</c:v>
                </c:pt>
                <c:pt idx="353">
                  <c:v>81.455055721913254</c:v>
                </c:pt>
                <c:pt idx="354">
                  <c:v>81.455055721913254</c:v>
                </c:pt>
                <c:pt idx="355">
                  <c:v>81.455055721913254</c:v>
                </c:pt>
                <c:pt idx="356">
                  <c:v>81.455055721913254</c:v>
                </c:pt>
                <c:pt idx="357">
                  <c:v>81.455055721913254</c:v>
                </c:pt>
                <c:pt idx="358">
                  <c:v>81.455055721913254</c:v>
                </c:pt>
                <c:pt idx="359">
                  <c:v>81.455055721913254</c:v>
                </c:pt>
                <c:pt idx="360">
                  <c:v>81.455055721913254</c:v>
                </c:pt>
                <c:pt idx="361">
                  <c:v>81.455055721913254</c:v>
                </c:pt>
                <c:pt idx="362">
                  <c:v>81.455055721913254</c:v>
                </c:pt>
                <c:pt idx="363">
                  <c:v>81.455055721913254</c:v>
                </c:pt>
                <c:pt idx="364">
                  <c:v>81.455055721913254</c:v>
                </c:pt>
                <c:pt idx="365">
                  <c:v>81.455055721913254</c:v>
                </c:pt>
                <c:pt idx="366">
                  <c:v>81.455055721913254</c:v>
                </c:pt>
                <c:pt idx="367">
                  <c:v>81.455055721913254</c:v>
                </c:pt>
                <c:pt idx="368">
                  <c:v>81.455055721913254</c:v>
                </c:pt>
                <c:pt idx="369">
                  <c:v>81.455055721913254</c:v>
                </c:pt>
                <c:pt idx="370">
                  <c:v>81.455055721913254</c:v>
                </c:pt>
                <c:pt idx="371">
                  <c:v>81.455055721913254</c:v>
                </c:pt>
                <c:pt idx="372">
                  <c:v>81.455055721913254</c:v>
                </c:pt>
                <c:pt idx="373">
                  <c:v>81.455055721913254</c:v>
                </c:pt>
                <c:pt idx="374">
                  <c:v>81.455055721913254</c:v>
                </c:pt>
                <c:pt idx="375">
                  <c:v>81.455055721913254</c:v>
                </c:pt>
                <c:pt idx="376">
                  <c:v>81.455055721913254</c:v>
                </c:pt>
                <c:pt idx="377">
                  <c:v>81.455055721913254</c:v>
                </c:pt>
                <c:pt idx="378">
                  <c:v>81.455055721913254</c:v>
                </c:pt>
                <c:pt idx="379">
                  <c:v>81.455055721913254</c:v>
                </c:pt>
                <c:pt idx="380">
                  <c:v>81.455055721913254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97-47FC-8DC3-5ACFE91589D0}"/>
            </c:ext>
          </c:extLst>
        </c:ser>
        <c:ser>
          <c:idx val="1"/>
          <c:order val="1"/>
          <c:tx>
            <c:strRef>
              <c:f>Diagrammdaten!$H$7</c:f>
              <c:strCache>
                <c:ptCount val="1"/>
                <c:pt idx="0">
                  <c:v>zweiphasig [bar]</c:v>
                </c:pt>
              </c:strCache>
            </c:strRef>
          </c:tx>
          <c:spPr>
            <a:solidFill>
              <a:srgbClr val="F4B6B0"/>
            </a:solidFill>
            <a:ln>
              <a:noFill/>
            </a:ln>
          </c:spPr>
          <c:cat>
            <c:strRef>
              <c:f>Diagrammdaten!$C$8:$C$388</c:f>
              <c:strCache>
                <c:ptCount val="361"/>
                <c:pt idx="0">
                  <c:v>-80</c:v>
                </c:pt>
                <c:pt idx="40">
                  <c:v>-60</c:v>
                </c:pt>
                <c:pt idx="80">
                  <c:v>-40</c:v>
                </c:pt>
                <c:pt idx="120">
                  <c:v>-20</c:v>
                </c:pt>
                <c:pt idx="160">
                  <c:v>0</c:v>
                </c:pt>
                <c:pt idx="200">
                  <c:v>20</c:v>
                </c:pt>
                <c:pt idx="240">
                  <c:v>40</c:v>
                </c:pt>
                <c:pt idx="280">
                  <c:v>60</c:v>
                </c:pt>
                <c:pt idx="320">
                  <c:v>80</c:v>
                </c:pt>
                <c:pt idx="360">
                  <c:v>100</c:v>
                </c:pt>
              </c:strCache>
            </c:strRef>
          </c:cat>
          <c:val>
            <c:numRef>
              <c:f>Diagrammdaten!$H$8:$H$388</c:f>
              <c:numCache>
                <c:formatCode>General</c:formatCode>
                <c:ptCount val="3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45.722748286743055</c:v>
                </c:pt>
                <c:pt idx="48">
                  <c:v>45.306270291151449</c:v>
                </c:pt>
                <c:pt idx="49">
                  <c:v>44.898235173784293</c:v>
                </c:pt>
                <c:pt idx="50">
                  <c:v>44.498393260020549</c:v>
                </c:pt>
                <c:pt idx="51">
                  <c:v>44.106503675875182</c:v>
                </c:pt>
                <c:pt idx="52">
                  <c:v>43.722333963520306</c:v>
                </c:pt>
                <c:pt idx="53">
                  <c:v>43.345659478670214</c:v>
                </c:pt>
                <c:pt idx="54">
                  <c:v>42.976262222351501</c:v>
                </c:pt>
                <c:pt idx="55">
                  <c:v>42.6139365062973</c:v>
                </c:pt>
                <c:pt idx="56">
                  <c:v>42.25847791084562</c:v>
                </c:pt>
                <c:pt idx="57">
                  <c:v>41.909690947254987</c:v>
                </c:pt>
                <c:pt idx="58">
                  <c:v>41.567386607581334</c:v>
                </c:pt>
                <c:pt idx="59">
                  <c:v>41.231141055279281</c:v>
                </c:pt>
                <c:pt idx="60">
                  <c:v>40.901500569575866</c:v>
                </c:pt>
                <c:pt idx="61">
                  <c:v>40.577570899131587</c:v>
                </c:pt>
                <c:pt idx="62">
                  <c:v>40.25942743081113</c:v>
                </c:pt>
                <c:pt idx="63">
                  <c:v>39.946909766333974</c:v>
                </c:pt>
                <c:pt idx="64">
                  <c:v>39.639942244418144</c:v>
                </c:pt>
                <c:pt idx="65">
                  <c:v>39.33813526683506</c:v>
                </c:pt>
                <c:pt idx="66">
                  <c:v>39.04158204727181</c:v>
                </c:pt>
                <c:pt idx="67">
                  <c:v>38.750061483626425</c:v>
                </c:pt>
                <c:pt idx="68">
                  <c:v>38.463436452320316</c:v>
                </c:pt>
                <c:pt idx="69">
                  <c:v>38.181573944657551</c:v>
                </c:pt>
                <c:pt idx="70">
                  <c:v>37.904344904643793</c:v>
                </c:pt>
                <c:pt idx="71">
                  <c:v>37.631624073852237</c:v>
                </c:pt>
                <c:pt idx="72">
                  <c:v>37.36328984263298</c:v>
                </c:pt>
                <c:pt idx="73">
                  <c:v>37.099224107551983</c:v>
                </c:pt>
                <c:pt idx="74">
                  <c:v>36.839312134809603</c:v>
                </c:pt>
                <c:pt idx="75">
                  <c:v>36.583442429088898</c:v>
                </c:pt>
                <c:pt idx="76">
                  <c:v>36.331506607769825</c:v>
                </c:pt>
                <c:pt idx="77">
                  <c:v>36.083399280192502</c:v>
                </c:pt>
                <c:pt idx="78">
                  <c:v>35.839017931772077</c:v>
                </c:pt>
                <c:pt idx="79">
                  <c:v>35.598262812509311</c:v>
                </c:pt>
                <c:pt idx="80">
                  <c:v>35.361036830034898</c:v>
                </c:pt>
                <c:pt idx="81">
                  <c:v>35.127245446821036</c:v>
                </c:pt>
                <c:pt idx="82">
                  <c:v>34.896796581102883</c:v>
                </c:pt>
                <c:pt idx="83">
                  <c:v>34.669600511912378</c:v>
                </c:pt>
                <c:pt idx="84">
                  <c:v>34.445569787533124</c:v>
                </c:pt>
                <c:pt idx="85">
                  <c:v>34.224619137410848</c:v>
                </c:pt>
                <c:pt idx="86">
                  <c:v>34.006665387376245</c:v>
                </c:pt>
                <c:pt idx="87">
                  <c:v>33.791627378081984</c:v>
                </c:pt>
                <c:pt idx="88">
                  <c:v>33.579425886285762</c:v>
                </c:pt>
                <c:pt idx="89">
                  <c:v>33.369983549139207</c:v>
                </c:pt>
                <c:pt idx="90">
                  <c:v>33.163224791116974</c:v>
                </c:pt>
                <c:pt idx="91">
                  <c:v>32.959075753560001</c:v>
                </c:pt>
                <c:pt idx="92">
                  <c:v>32.757464226709367</c:v>
                </c:pt>
                <c:pt idx="93">
                  <c:v>32.558319584086718</c:v>
                </c:pt>
                <c:pt idx="94">
                  <c:v>32.361572719033006</c:v>
                </c:pt>
                <c:pt idx="95">
                  <c:v>32.167155983437041</c:v>
                </c:pt>
                <c:pt idx="96">
                  <c:v>31.975072060162574</c:v>
                </c:pt>
                <c:pt idx="97">
                  <c:v>31.785049246815383</c:v>
                </c:pt>
                <c:pt idx="98">
                  <c:v>31.597230717687562</c:v>
                </c:pt>
                <c:pt idx="99">
                  <c:v>31.411485152131501</c:v>
                </c:pt>
                <c:pt idx="100">
                  <c:v>31.22775134086918</c:v>
                </c:pt>
                <c:pt idx="101">
                  <c:v>31.045969203280194</c:v>
                </c:pt>
                <c:pt idx="102">
                  <c:v>30.866079737680554</c:v>
                </c:pt>
                <c:pt idx="103">
                  <c:v>30.688024973069787</c:v>
                </c:pt>
                <c:pt idx="104">
                  <c:v>30.511747837508988</c:v>
                </c:pt>
                <c:pt idx="105">
                  <c:v>30.337191814848332</c:v>
                </c:pt>
                <c:pt idx="106">
                  <c:v>30.164302996482316</c:v>
                </c:pt>
                <c:pt idx="107">
                  <c:v>29.993024995588339</c:v>
                </c:pt>
                <c:pt idx="108">
                  <c:v>29.823308954804144</c:v>
                </c:pt>
                <c:pt idx="109">
                  <c:v>29.65509689830397</c:v>
                </c:pt>
                <c:pt idx="110">
                  <c:v>29.488338763241014</c:v>
                </c:pt>
                <c:pt idx="111">
                  <c:v>29.322983206880078</c:v>
                </c:pt>
                <c:pt idx="112">
                  <c:v>29.158979519316084</c:v>
                </c:pt>
                <c:pt idx="113">
                  <c:v>28.996277459847995</c:v>
                </c:pt>
                <c:pt idx="114">
                  <c:v>28.834826720754894</c:v>
                </c:pt>
                <c:pt idx="115">
                  <c:v>28.674580252176824</c:v>
                </c:pt>
                <c:pt idx="116">
                  <c:v>28.515488540561048</c:v>
                </c:pt>
                <c:pt idx="117">
                  <c:v>28.357504110865033</c:v>
                </c:pt>
                <c:pt idx="118">
                  <c:v>28.20057764630419</c:v>
                </c:pt>
                <c:pt idx="119">
                  <c:v>28.044662753537356</c:v>
                </c:pt>
                <c:pt idx="120">
                  <c:v>27.889712345938602</c:v>
                </c:pt>
                <c:pt idx="121">
                  <c:v>27.7356797829489</c:v>
                </c:pt>
                <c:pt idx="122">
                  <c:v>27.582518633945266</c:v>
                </c:pt>
                <c:pt idx="123">
                  <c:v>27.430182685894895</c:v>
                </c:pt>
                <c:pt idx="124">
                  <c:v>27.278625924175163</c:v>
                </c:pt>
                <c:pt idx="125">
                  <c:v>27.127802485424557</c:v>
                </c:pt>
                <c:pt idx="126">
                  <c:v>26.977666626624814</c:v>
                </c:pt>
                <c:pt idx="127">
                  <c:v>26.828172689814085</c:v>
                </c:pt>
                <c:pt idx="128">
                  <c:v>26.679275067686859</c:v>
                </c:pt>
                <c:pt idx="129">
                  <c:v>26.530928169258171</c:v>
                </c:pt>
                <c:pt idx="130">
                  <c:v>26.383086385531215</c:v>
                </c:pt>
                <c:pt idx="131">
                  <c:v>26.235724284797229</c:v>
                </c:pt>
                <c:pt idx="132">
                  <c:v>26.088735429977124</c:v>
                </c:pt>
                <c:pt idx="133">
                  <c:v>25.942134640404841</c:v>
                </c:pt>
                <c:pt idx="134">
                  <c:v>25.795855660508817</c:v>
                </c:pt>
                <c:pt idx="135">
                  <c:v>25.649852272701452</c:v>
                </c:pt>
                <c:pt idx="136">
                  <c:v>25.504078031716734</c:v>
                </c:pt>
                <c:pt idx="137">
                  <c:v>25.358486228024951</c:v>
                </c:pt>
                <c:pt idx="138">
                  <c:v>25.213029850092948</c:v>
                </c:pt>
                <c:pt idx="139">
                  <c:v>25.067661545601041</c:v>
                </c:pt>
                <c:pt idx="140">
                  <c:v>24.922333581097384</c:v>
                </c:pt>
                <c:pt idx="141">
                  <c:v>24.776997799896648</c:v>
                </c:pt>
                <c:pt idx="142">
                  <c:v>24.631336578838134</c:v>
                </c:pt>
                <c:pt idx="143">
                  <c:v>24.484057818450818</c:v>
                </c:pt>
                <c:pt idx="144">
                  <c:v>24.339976664075426</c:v>
                </c:pt>
                <c:pt idx="145">
                  <c:v>24.192509398302992</c:v>
                </c:pt>
                <c:pt idx="146">
                  <c:v>24.048480736166471</c:v>
                </c:pt>
                <c:pt idx="147">
                  <c:v>23.902057137392948</c:v>
                </c:pt>
                <c:pt idx="148">
                  <c:v>23.755272683840936</c:v>
                </c:pt>
                <c:pt idx="149">
                  <c:v>23.608073967583614</c:v>
                </c:pt>
                <c:pt idx="150">
                  <c:v>23.460406625214745</c:v>
                </c:pt>
                <c:pt idx="151">
                  <c:v>23.312215250677021</c:v>
                </c:pt>
                <c:pt idx="152">
                  <c:v>23.163443299727874</c:v>
                </c:pt>
                <c:pt idx="153">
                  <c:v>23.014032985302606</c:v>
                </c:pt>
                <c:pt idx="154">
                  <c:v>22.86392516272636</c:v>
                </c:pt>
                <c:pt idx="155">
                  <c:v>22.713059204025228</c:v>
                </c:pt>
                <c:pt idx="156">
                  <c:v>22.561372860469525</c:v>
                </c:pt>
                <c:pt idx="157">
                  <c:v>22.408802112505327</c:v>
                </c:pt>
                <c:pt idx="158">
                  <c:v>22.255281006314725</c:v>
                </c:pt>
                <c:pt idx="159">
                  <c:v>22.100741476466304</c:v>
                </c:pt>
                <c:pt idx="160">
                  <c:v>21.945113153903144</c:v>
                </c:pt>
                <c:pt idx="161">
                  <c:v>21.788323159090801</c:v>
                </c:pt>
                <c:pt idx="162">
                  <c:v>21.630295879975947</c:v>
                </c:pt>
                <c:pt idx="163">
                  <c:v>21.470952734567852</c:v>
                </c:pt>
                <c:pt idx="164">
                  <c:v>21.310211918655718</c:v>
                </c:pt>
                <c:pt idx="165">
                  <c:v>21.147988138551462</c:v>
                </c:pt>
                <c:pt idx="166">
                  <c:v>20.984192329795583</c:v>
                </c:pt>
                <c:pt idx="167">
                  <c:v>20.818731362358008</c:v>
                </c:pt>
                <c:pt idx="168">
                  <c:v>20.651811656141327</c:v>
                </c:pt>
                <c:pt idx="169">
                  <c:v>20.482419247103287</c:v>
                </c:pt>
                <c:pt idx="170">
                  <c:v>20.311161067758604</c:v>
                </c:pt>
                <c:pt idx="171">
                  <c:v>20.138213473714643</c:v>
                </c:pt>
                <c:pt idx="172">
                  <c:v>19.962865316287264</c:v>
                </c:pt>
                <c:pt idx="173">
                  <c:v>19.785189851884226</c:v>
                </c:pt>
                <c:pt idx="174">
                  <c:v>19.605056274126355</c:v>
                </c:pt>
                <c:pt idx="175">
                  <c:v>19.422326947044688</c:v>
                </c:pt>
                <c:pt idx="176">
                  <c:v>19.236856999637254</c:v>
                </c:pt>
                <c:pt idx="177">
                  <c:v>19.048493893594831</c:v>
                </c:pt>
                <c:pt idx="178">
                  <c:v>18.857076953167322</c:v>
                </c:pt>
                <c:pt idx="179">
                  <c:v>18.662436841669852</c:v>
                </c:pt>
                <c:pt idx="180">
                  <c:v>18.464394963440107</c:v>
                </c:pt>
                <c:pt idx="181">
                  <c:v>18.262824890968815</c:v>
                </c:pt>
                <c:pt idx="182">
                  <c:v>18.057340887726184</c:v>
                </c:pt>
                <c:pt idx="183">
                  <c:v>17.847918159776697</c:v>
                </c:pt>
                <c:pt idx="184">
                  <c:v>17.634270313168798</c:v>
                </c:pt>
                <c:pt idx="185">
                  <c:v>17.416158411818969</c:v>
                </c:pt>
                <c:pt idx="186">
                  <c:v>17.193326871870781</c:v>
                </c:pt>
                <c:pt idx="187">
                  <c:v>16.965496087201018</c:v>
                </c:pt>
                <c:pt idx="188">
                  <c:v>16.732383826169155</c:v>
                </c:pt>
                <c:pt idx="189">
                  <c:v>16.493652415254395</c:v>
                </c:pt>
                <c:pt idx="190">
                  <c:v>16.248952980994012</c:v>
                </c:pt>
                <c:pt idx="191">
                  <c:v>15.997895168462172</c:v>
                </c:pt>
                <c:pt idx="192">
                  <c:v>15.740045012259728</c:v>
                </c:pt>
                <c:pt idx="193">
                  <c:v>15.474916485412827</c:v>
                </c:pt>
                <c:pt idx="194">
                  <c:v>15.202028549938014</c:v>
                </c:pt>
                <c:pt idx="195">
                  <c:v>14.921069231022145</c:v>
                </c:pt>
                <c:pt idx="196">
                  <c:v>14.62589851865242</c:v>
                </c:pt>
                <c:pt idx="197">
                  <c:v>14.291299425644738</c:v>
                </c:pt>
                <c:pt idx="198">
                  <c:v>13.956700332637055</c:v>
                </c:pt>
                <c:pt idx="199">
                  <c:v>13.622101239629387</c:v>
                </c:pt>
                <c:pt idx="200">
                  <c:v>13.280763404159487</c:v>
                </c:pt>
                <c:pt idx="201">
                  <c:v>12.928686063309783</c:v>
                </c:pt>
                <c:pt idx="202">
                  <c:v>12.576608722460065</c:v>
                </c:pt>
                <c:pt idx="203">
                  <c:v>12.206431950392968</c:v>
                </c:pt>
                <c:pt idx="204">
                  <c:v>11.777863141534795</c:v>
                </c:pt>
                <c:pt idx="205">
                  <c:v>11.349294332676607</c:v>
                </c:pt>
                <c:pt idx="206">
                  <c:v>10.920725523818433</c:v>
                </c:pt>
                <c:pt idx="207">
                  <c:v>10.449142099837843</c:v>
                </c:pt>
                <c:pt idx="208">
                  <c:v>9.8918304676368791</c:v>
                </c:pt>
                <c:pt idx="209">
                  <c:v>9.3330379831599544</c:v>
                </c:pt>
                <c:pt idx="210">
                  <c:v>8.7299662197441847</c:v>
                </c:pt>
                <c:pt idx="211">
                  <c:v>8.0059258842833714</c:v>
                </c:pt>
                <c:pt idx="212">
                  <c:v>7.2811354116850566</c:v>
                </c:pt>
                <c:pt idx="213">
                  <c:v>6.3423787961515785</c:v>
                </c:pt>
                <c:pt idx="214">
                  <c:v>5.334659025849902</c:v>
                </c:pt>
                <c:pt idx="215">
                  <c:v>3.8451784074934778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97-47FC-8DC3-5ACFE91589D0}"/>
            </c:ext>
          </c:extLst>
        </c:ser>
        <c:ser>
          <c:idx val="2"/>
          <c:order val="2"/>
          <c:tx>
            <c:strRef>
              <c:f>Diagrammdaten!$E$7</c:f>
              <c:strCache>
                <c:ptCount val="1"/>
                <c:pt idx="0">
                  <c:v>flüssig [bar]</c:v>
                </c:pt>
              </c:strCache>
            </c:strRef>
          </c:tx>
          <c:spPr>
            <a:solidFill>
              <a:srgbClr val="D9EAD3"/>
            </a:solidFill>
            <a:ln>
              <a:noFill/>
            </a:ln>
          </c:spPr>
          <c:cat>
            <c:strRef>
              <c:f>Diagrammdaten!$C$8:$C$388</c:f>
              <c:strCache>
                <c:ptCount val="361"/>
                <c:pt idx="0">
                  <c:v>-80</c:v>
                </c:pt>
                <c:pt idx="40">
                  <c:v>-60</c:v>
                </c:pt>
                <c:pt idx="80">
                  <c:v>-40</c:v>
                </c:pt>
                <c:pt idx="120">
                  <c:v>-20</c:v>
                </c:pt>
                <c:pt idx="160">
                  <c:v>0</c:v>
                </c:pt>
                <c:pt idx="200">
                  <c:v>20</c:v>
                </c:pt>
                <c:pt idx="240">
                  <c:v>40</c:v>
                </c:pt>
                <c:pt idx="280">
                  <c:v>60</c:v>
                </c:pt>
                <c:pt idx="320">
                  <c:v>80</c:v>
                </c:pt>
                <c:pt idx="360">
                  <c:v>100</c:v>
                </c:pt>
              </c:strCache>
            </c:strRef>
          </c:cat>
          <c:val>
            <c:numRef>
              <c:f>Diagrammdaten!$E$8:$E$388</c:f>
              <c:numCache>
                <c:formatCode>General</c:formatCode>
                <c:ptCount val="3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-43.321938775399936</c:v>
                </c:pt>
                <c:pt idx="48">
                  <c:v>-19.573657769234739</c:v>
                </c:pt>
                <c:pt idx="49">
                  <c:v>4.2776478480946309</c:v>
                </c:pt>
                <c:pt idx="50">
                  <c:v>28.232206246358245</c:v>
                </c:pt>
                <c:pt idx="51">
                  <c:v>52.290236706728436</c:v>
                </c:pt>
                <c:pt idx="52">
                  <c:v>76.451950006248808</c:v>
                </c:pt>
                <c:pt idx="53">
                  <c:v>100.71754902042227</c:v>
                </c:pt>
                <c:pt idx="54">
                  <c:v>125.08722989143178</c:v>
                </c:pt>
                <c:pt idx="55">
                  <c:v>149.56117636254928</c:v>
                </c:pt>
                <c:pt idx="56">
                  <c:v>174.13957082020011</c:v>
                </c:pt>
                <c:pt idx="57">
                  <c:v>198.82258663142241</c:v>
                </c:pt>
                <c:pt idx="58">
                  <c:v>201.49839048002895</c:v>
                </c:pt>
                <c:pt idx="59">
                  <c:v>201.69061626761874</c:v>
                </c:pt>
                <c:pt idx="60">
                  <c:v>201.87398971257522</c:v>
                </c:pt>
                <c:pt idx="61">
                  <c:v>202.04938258815807</c:v>
                </c:pt>
                <c:pt idx="62">
                  <c:v>202.21669693946419</c:v>
                </c:pt>
                <c:pt idx="63">
                  <c:v>202.37607050637166</c:v>
                </c:pt>
                <c:pt idx="64">
                  <c:v>202.52763589515823</c:v>
                </c:pt>
                <c:pt idx="65">
                  <c:v>202.67152078069856</c:v>
                </c:pt>
                <c:pt idx="66">
                  <c:v>202.80784809955981</c:v>
                </c:pt>
                <c:pt idx="67">
                  <c:v>202.93673623452793</c:v>
                </c:pt>
                <c:pt idx="68">
                  <c:v>203.05829919095555</c:v>
                </c:pt>
                <c:pt idx="69">
                  <c:v>203.17264676543894</c:v>
                </c:pt>
                <c:pt idx="70">
                  <c:v>203.27988470717835</c:v>
                </c:pt>
                <c:pt idx="71">
                  <c:v>203.38011487239996</c:v>
                </c:pt>
                <c:pt idx="72">
                  <c:v>203.4734353722308</c:v>
                </c:pt>
                <c:pt idx="73">
                  <c:v>203.55994071433321</c:v>
                </c:pt>
                <c:pt idx="74">
                  <c:v>203.63972193860764</c:v>
                </c:pt>
                <c:pt idx="75">
                  <c:v>203.71286674726446</c:v>
                </c:pt>
                <c:pt idx="76">
                  <c:v>203.77945962955687</c:v>
                </c:pt>
                <c:pt idx="77">
                  <c:v>203.83958198140675</c:v>
                </c:pt>
                <c:pt idx="78">
                  <c:v>203.89331222017265</c:v>
                </c:pt>
                <c:pt idx="79">
                  <c:v>203.94072589478492</c:v>
                </c:pt>
                <c:pt idx="80">
                  <c:v>203.98189579147686</c:v>
                </c:pt>
                <c:pt idx="81">
                  <c:v>204.01689203529736</c:v>
                </c:pt>
                <c:pt idx="82">
                  <c:v>204.04578218759835</c:v>
                </c:pt>
                <c:pt idx="83">
                  <c:v>204.068631339663</c:v>
                </c:pt>
                <c:pt idx="84">
                  <c:v>204.08550220266577</c:v>
                </c:pt>
                <c:pt idx="85">
                  <c:v>204.0964551941201</c:v>
                </c:pt>
                <c:pt idx="86">
                  <c:v>204.10154852094416</c:v>
                </c:pt>
                <c:pt idx="87">
                  <c:v>204.10083825931736</c:v>
                </c:pt>
                <c:pt idx="88">
                  <c:v>204.09437843144002</c:v>
                </c:pt>
                <c:pt idx="89">
                  <c:v>204.08222107936075</c:v>
                </c:pt>
                <c:pt idx="90">
                  <c:v>204.06441633599323</c:v>
                </c:pt>
                <c:pt idx="91">
                  <c:v>204.04101249339703</c:v>
                </c:pt>
                <c:pt idx="92">
                  <c:v>204.0120560685381</c:v>
                </c:pt>
                <c:pt idx="93">
                  <c:v>203.97759186657498</c:v>
                </c:pt>
                <c:pt idx="94">
                  <c:v>203.93766304177774</c:v>
                </c:pt>
                <c:pt idx="95">
                  <c:v>203.8923111562753</c:v>
                </c:pt>
                <c:pt idx="96">
                  <c:v>203.84157623665229</c:v>
                </c:pt>
                <c:pt idx="97">
                  <c:v>203.78549682852511</c:v>
                </c:pt>
                <c:pt idx="98">
                  <c:v>203.7241100492744</c:v>
                </c:pt>
                <c:pt idx="99">
                  <c:v>203.65745163889017</c:v>
                </c:pt>
                <c:pt idx="100">
                  <c:v>203.5855560091868</c:v>
                </c:pt>
                <c:pt idx="101">
                  <c:v>203.50845629137879</c:v>
                </c:pt>
                <c:pt idx="102">
                  <c:v>203.4261843821331</c:v>
                </c:pt>
                <c:pt idx="103">
                  <c:v>203.33877098820264</c:v>
                </c:pt>
                <c:pt idx="104">
                  <c:v>203.24624575395379</c:v>
                </c:pt>
                <c:pt idx="105">
                  <c:v>203.14863760064185</c:v>
                </c:pt>
                <c:pt idx="106">
                  <c:v>203.04597267031991</c:v>
                </c:pt>
                <c:pt idx="107">
                  <c:v>202.93827940711759</c:v>
                </c:pt>
                <c:pt idx="108">
                  <c:v>202.82557854484836</c:v>
                </c:pt>
                <c:pt idx="109">
                  <c:v>202.70789975007659</c:v>
                </c:pt>
                <c:pt idx="110">
                  <c:v>202.58526458550972</c:v>
                </c:pt>
                <c:pt idx="111">
                  <c:v>202.45769569754702</c:v>
                </c:pt>
                <c:pt idx="112">
                  <c:v>202.32521489797176</c:v>
                </c:pt>
                <c:pt idx="113">
                  <c:v>202.18784332174496</c:v>
                </c:pt>
                <c:pt idx="114">
                  <c:v>202.0456019571549</c:v>
                </c:pt>
                <c:pt idx="115">
                  <c:v>201.89850831457809</c:v>
                </c:pt>
                <c:pt idx="116">
                  <c:v>201.74658214138174</c:v>
                </c:pt>
                <c:pt idx="117">
                  <c:v>201.58984091285851</c:v>
                </c:pt>
                <c:pt idx="118">
                  <c:v>201.42830370517791</c:v>
                </c:pt>
                <c:pt idx="119">
                  <c:v>201.26198642266996</c:v>
                </c:pt>
                <c:pt idx="120">
                  <c:v>201.09090540672429</c:v>
                </c:pt>
                <c:pt idx="121">
                  <c:v>200.91507628805502</c:v>
                </c:pt>
                <c:pt idx="122">
                  <c:v>200.73451421436408</c:v>
                </c:pt>
                <c:pt idx="123">
                  <c:v>200.54923383360841</c:v>
                </c:pt>
                <c:pt idx="124">
                  <c:v>200.35924930374262</c:v>
                </c:pt>
                <c:pt idx="125">
                  <c:v>200.16457433004936</c:v>
                </c:pt>
                <c:pt idx="126">
                  <c:v>199.9652221857022</c:v>
                </c:pt>
                <c:pt idx="127">
                  <c:v>199.76120573631954</c:v>
                </c:pt>
                <c:pt idx="128">
                  <c:v>199.55253746297512</c:v>
                </c:pt>
                <c:pt idx="129">
                  <c:v>199.33922948474554</c:v>
                </c:pt>
                <c:pt idx="130">
                  <c:v>199.12129358059838</c:v>
                </c:pt>
                <c:pt idx="131">
                  <c:v>198.89874121071978</c:v>
                </c:pt>
                <c:pt idx="132">
                  <c:v>198.67158353730571</c:v>
                </c:pt>
                <c:pt idx="133">
                  <c:v>198.43983144484085</c:v>
                </c:pt>
                <c:pt idx="134">
                  <c:v>198.20349555995858</c:v>
                </c:pt>
                <c:pt idx="135">
                  <c:v>197.96258627093769</c:v>
                </c:pt>
                <c:pt idx="136">
                  <c:v>197.71711374706209</c:v>
                </c:pt>
                <c:pt idx="137">
                  <c:v>197.46708795775592</c:v>
                </c:pt>
                <c:pt idx="138">
                  <c:v>197.21251869183223</c:v>
                </c:pt>
                <c:pt idx="139">
                  <c:v>196.95341557692242</c:v>
                </c:pt>
                <c:pt idx="140">
                  <c:v>196.68978809933753</c:v>
                </c:pt>
                <c:pt idx="141">
                  <c:v>196.42164562456736</c:v>
                </c:pt>
                <c:pt idx="142">
                  <c:v>196.14899741868678</c:v>
                </c:pt>
                <c:pt idx="143">
                  <c:v>195.87185267098772</c:v>
                </c:pt>
                <c:pt idx="144">
                  <c:v>195.59042473978019</c:v>
                </c:pt>
                <c:pt idx="145">
                  <c:v>195.30411007077186</c:v>
                </c:pt>
                <c:pt idx="146">
                  <c:v>195.01353044112622</c:v>
                </c:pt>
                <c:pt idx="147">
                  <c:v>194.71849077537172</c:v>
                </c:pt>
                <c:pt idx="148">
                  <c:v>194.4190002879202</c:v>
                </c:pt>
                <c:pt idx="149">
                  <c:v>194.11506830024717</c:v>
                </c:pt>
                <c:pt idx="150">
                  <c:v>193.80670428406319</c:v>
                </c:pt>
                <c:pt idx="151">
                  <c:v>193.49391790963293</c:v>
                </c:pt>
                <c:pt idx="152">
                  <c:v>193.17671909986115</c:v>
                </c:pt>
                <c:pt idx="153">
                  <c:v>192.85511809070925</c:v>
                </c:pt>
                <c:pt idx="154">
                  <c:v>192.52912549865241</c:v>
                </c:pt>
                <c:pt idx="155">
                  <c:v>192.19875239574151</c:v>
                </c:pt>
                <c:pt idx="156">
                  <c:v>191.86401039275356</c:v>
                </c:pt>
                <c:pt idx="157">
                  <c:v>191.52491173106893</c:v>
                </c:pt>
                <c:pt idx="158">
                  <c:v>191.18146938348454</c:v>
                </c:pt>
                <c:pt idx="159">
                  <c:v>190.83369716431511</c:v>
                </c:pt>
                <c:pt idx="160">
                  <c:v>190.48160984888668</c:v>
                </c:pt>
                <c:pt idx="161">
                  <c:v>190.12522330227574</c:v>
                </c:pt>
                <c:pt idx="162">
                  <c:v>189.76455461698157</c:v>
                </c:pt>
                <c:pt idx="163">
                  <c:v>189.39962225913962</c:v>
                </c:pt>
                <c:pt idx="164">
                  <c:v>189.03044622218147</c:v>
                </c:pt>
                <c:pt idx="165">
                  <c:v>188.6570481871035</c:v>
                </c:pt>
                <c:pt idx="166">
                  <c:v>188.27945168778555</c:v>
                </c:pt>
                <c:pt idx="167">
                  <c:v>187.89768227974054</c:v>
                </c:pt>
                <c:pt idx="168">
                  <c:v>187.51176771041108</c:v>
                </c:pt>
                <c:pt idx="169">
                  <c:v>187.1217380888113</c:v>
                </c:pt>
                <c:pt idx="170">
                  <c:v>186.72782367161105</c:v>
                </c:pt>
                <c:pt idx="171">
                  <c:v>186.3294669286951</c:v>
                </c:pt>
                <c:pt idx="172">
                  <c:v>185.92729889013117</c:v>
                </c:pt>
                <c:pt idx="173">
                  <c:v>185.52116309970603</c:v>
                </c:pt>
                <c:pt idx="174">
                  <c:v>185.11110384728153</c:v>
                </c:pt>
                <c:pt idx="175">
                  <c:v>184.69716867616555</c:v>
                </c:pt>
                <c:pt idx="176">
                  <c:v>184.27940850194264</c:v>
                </c:pt>
                <c:pt idx="177">
                  <c:v>183.85787772731845</c:v>
                </c:pt>
                <c:pt idx="178">
                  <c:v>183.4326343597086</c:v>
                </c:pt>
                <c:pt idx="179">
                  <c:v>183.00374014194477</c:v>
                </c:pt>
                <c:pt idx="180">
                  <c:v>182.57126071127004</c:v>
                </c:pt>
                <c:pt idx="181">
                  <c:v>182.13526580728518</c:v>
                </c:pt>
                <c:pt idx="182">
                  <c:v>181.69582955659251</c:v>
                </c:pt>
                <c:pt idx="183">
                  <c:v>181.25303087001697</c:v>
                </c:pt>
                <c:pt idx="184">
                  <c:v>180.80695399747086</c:v>
                </c:pt>
                <c:pt idx="185">
                  <c:v>180.35768929609577</c:v>
                </c:pt>
                <c:pt idx="186">
                  <c:v>179.90533427798783</c:v>
                </c:pt>
                <c:pt idx="187">
                  <c:v>179.4499999134961</c:v>
                </c:pt>
                <c:pt idx="188">
                  <c:v>178.99178799473742</c:v>
                </c:pt>
                <c:pt idx="189">
                  <c:v>178.53084250958801</c:v>
                </c:pt>
                <c:pt idx="190">
                  <c:v>178.06730371231544</c:v>
                </c:pt>
                <c:pt idx="191">
                  <c:v>177.60133641969122</c:v>
                </c:pt>
                <c:pt idx="192">
                  <c:v>177.13312978986386</c:v>
                </c:pt>
                <c:pt idx="193">
                  <c:v>176.66290297400741</c:v>
                </c:pt>
                <c:pt idx="194">
                  <c:v>176.19084470872423</c:v>
                </c:pt>
                <c:pt idx="195">
                  <c:v>175.71694518726434</c:v>
                </c:pt>
                <c:pt idx="196">
                  <c:v>175.24290369765919</c:v>
                </c:pt>
                <c:pt idx="197">
                  <c:v>174.76778031287827</c:v>
                </c:pt>
                <c:pt idx="198">
                  <c:v>174.29265692809736</c:v>
                </c:pt>
                <c:pt idx="199">
                  <c:v>173.81753354331642</c:v>
                </c:pt>
                <c:pt idx="200">
                  <c:v>173.34914890099773</c:v>
                </c:pt>
                <c:pt idx="201">
                  <c:v>172.89150376405883</c:v>
                </c:pt>
                <c:pt idx="202">
                  <c:v>172.43385862711995</c:v>
                </c:pt>
                <c:pt idx="203">
                  <c:v>171.97621349018107</c:v>
                </c:pt>
                <c:pt idx="204">
                  <c:v>171.51856835324219</c:v>
                </c:pt>
                <c:pt idx="205">
                  <c:v>171.06092321630331</c:v>
                </c:pt>
                <c:pt idx="206">
                  <c:v>170.6032780793644</c:v>
                </c:pt>
                <c:pt idx="207">
                  <c:v>170.14563294242549</c:v>
                </c:pt>
                <c:pt idx="208">
                  <c:v>169.74436943933841</c:v>
                </c:pt>
                <c:pt idx="209">
                  <c:v>169.34458678852729</c:v>
                </c:pt>
                <c:pt idx="210">
                  <c:v>168.94480413771618</c:v>
                </c:pt>
                <c:pt idx="211">
                  <c:v>168.61391573549059</c:v>
                </c:pt>
                <c:pt idx="212">
                  <c:v>168.28377747040247</c:v>
                </c:pt>
                <c:pt idx="213">
                  <c:v>168.03946643703171</c:v>
                </c:pt>
                <c:pt idx="214">
                  <c:v>167.84741809386375</c:v>
                </c:pt>
                <c:pt idx="215">
                  <c:v>167.90040675865129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EB9F7967-7233-42AC-883E-375511FD2ED5}"/>
            </c:ext>
          </c:extLst>
        </c:ser>
        <c:ser>
          <c:idx val="3"/>
          <c:order val="3"/>
          <c:tx>
            <c:strRef>
              <c:f>Diagrammdaten!$F$7</c:f>
              <c:strCache>
                <c:ptCount val="1"/>
                <c:pt idx="0">
                  <c:v>überkritisch [bar]</c:v>
                </c:pt>
              </c:strCache>
            </c:strRef>
          </c:tx>
          <c:spPr>
            <a:solidFill>
              <a:srgbClr val="FCE5CD"/>
            </a:solidFill>
            <a:ln>
              <a:noFill/>
            </a:ln>
          </c:spPr>
          <c:cat>
            <c:strRef>
              <c:f>Diagrammdaten!$C$8:$C$388</c:f>
              <c:strCache>
                <c:ptCount val="361"/>
                <c:pt idx="0">
                  <c:v>-80</c:v>
                </c:pt>
                <c:pt idx="40">
                  <c:v>-60</c:v>
                </c:pt>
                <c:pt idx="80">
                  <c:v>-40</c:v>
                </c:pt>
                <c:pt idx="120">
                  <c:v>-20</c:v>
                </c:pt>
                <c:pt idx="160">
                  <c:v>0</c:v>
                </c:pt>
                <c:pt idx="200">
                  <c:v>20</c:v>
                </c:pt>
                <c:pt idx="240">
                  <c:v>40</c:v>
                </c:pt>
                <c:pt idx="280">
                  <c:v>60</c:v>
                </c:pt>
                <c:pt idx="320">
                  <c:v>80</c:v>
                </c:pt>
                <c:pt idx="360">
                  <c:v>100</c:v>
                </c:pt>
              </c:strCache>
            </c:strRef>
          </c:cat>
          <c:val>
            <c:numRef>
              <c:f>Diagrammdaten!$F$8:$F$388</c:f>
              <c:numCache>
                <c:formatCode>General</c:formatCode>
                <c:ptCount val="3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168.54494427808675</c:v>
                </c:pt>
                <c:pt idx="217">
                  <c:v>168.54494427808675</c:v>
                </c:pt>
                <c:pt idx="218">
                  <c:v>168.54494427808675</c:v>
                </c:pt>
                <c:pt idx="219">
                  <c:v>168.54494427808675</c:v>
                </c:pt>
                <c:pt idx="220">
                  <c:v>168.54494427808675</c:v>
                </c:pt>
                <c:pt idx="221">
                  <c:v>168.54494427808675</c:v>
                </c:pt>
                <c:pt idx="222">
                  <c:v>168.54494427808675</c:v>
                </c:pt>
                <c:pt idx="223">
                  <c:v>168.54494427808675</c:v>
                </c:pt>
                <c:pt idx="224">
                  <c:v>168.54494427808675</c:v>
                </c:pt>
                <c:pt idx="225">
                  <c:v>168.54494427808675</c:v>
                </c:pt>
                <c:pt idx="226">
                  <c:v>168.54494427808675</c:v>
                </c:pt>
                <c:pt idx="227">
                  <c:v>168.54494427808675</c:v>
                </c:pt>
                <c:pt idx="228">
                  <c:v>168.54494427808675</c:v>
                </c:pt>
                <c:pt idx="229">
                  <c:v>168.54494427808675</c:v>
                </c:pt>
                <c:pt idx="230">
                  <c:v>168.54494427808675</c:v>
                </c:pt>
                <c:pt idx="231">
                  <c:v>168.54494427808675</c:v>
                </c:pt>
                <c:pt idx="232">
                  <c:v>168.54494427808675</c:v>
                </c:pt>
                <c:pt idx="233">
                  <c:v>168.54494427808675</c:v>
                </c:pt>
                <c:pt idx="234">
                  <c:v>168.54494427808675</c:v>
                </c:pt>
                <c:pt idx="235">
                  <c:v>168.54494427808675</c:v>
                </c:pt>
                <c:pt idx="236">
                  <c:v>168.54494427808675</c:v>
                </c:pt>
                <c:pt idx="237">
                  <c:v>168.54494427808675</c:v>
                </c:pt>
                <c:pt idx="238">
                  <c:v>168.54494427808675</c:v>
                </c:pt>
                <c:pt idx="239">
                  <c:v>168.54494427808675</c:v>
                </c:pt>
                <c:pt idx="240">
                  <c:v>168.54494427808675</c:v>
                </c:pt>
                <c:pt idx="241">
                  <c:v>168.54494427808675</c:v>
                </c:pt>
                <c:pt idx="242">
                  <c:v>168.54494427808675</c:v>
                </c:pt>
                <c:pt idx="243">
                  <c:v>168.54494427808675</c:v>
                </c:pt>
                <c:pt idx="244">
                  <c:v>168.54494427808675</c:v>
                </c:pt>
                <c:pt idx="245">
                  <c:v>168.54494427808675</c:v>
                </c:pt>
                <c:pt idx="246">
                  <c:v>168.54494427808675</c:v>
                </c:pt>
                <c:pt idx="247">
                  <c:v>168.54494427808675</c:v>
                </c:pt>
                <c:pt idx="248">
                  <c:v>168.54494427808675</c:v>
                </c:pt>
                <c:pt idx="249">
                  <c:v>168.54494427808675</c:v>
                </c:pt>
                <c:pt idx="250">
                  <c:v>168.54494427808675</c:v>
                </c:pt>
                <c:pt idx="251">
                  <c:v>168.54494427808675</c:v>
                </c:pt>
                <c:pt idx="252">
                  <c:v>168.54494427808675</c:v>
                </c:pt>
                <c:pt idx="253">
                  <c:v>168.54494427808675</c:v>
                </c:pt>
                <c:pt idx="254">
                  <c:v>168.54494427808675</c:v>
                </c:pt>
                <c:pt idx="255">
                  <c:v>168.54494427808675</c:v>
                </c:pt>
                <c:pt idx="256">
                  <c:v>168.54494427808675</c:v>
                </c:pt>
                <c:pt idx="257">
                  <c:v>168.54494427808675</c:v>
                </c:pt>
                <c:pt idx="258">
                  <c:v>168.54494427808675</c:v>
                </c:pt>
                <c:pt idx="259">
                  <c:v>168.54494427808675</c:v>
                </c:pt>
                <c:pt idx="260">
                  <c:v>168.54494427808675</c:v>
                </c:pt>
                <c:pt idx="261">
                  <c:v>168.54494427808675</c:v>
                </c:pt>
                <c:pt idx="262">
                  <c:v>168.54494427808675</c:v>
                </c:pt>
                <c:pt idx="263">
                  <c:v>168.54494427808675</c:v>
                </c:pt>
                <c:pt idx="264">
                  <c:v>168.54494427808675</c:v>
                </c:pt>
                <c:pt idx="265">
                  <c:v>168.54494427808675</c:v>
                </c:pt>
                <c:pt idx="266">
                  <c:v>168.54494427808675</c:v>
                </c:pt>
                <c:pt idx="267">
                  <c:v>168.54494427808675</c:v>
                </c:pt>
                <c:pt idx="268">
                  <c:v>168.54494427808675</c:v>
                </c:pt>
                <c:pt idx="269">
                  <c:v>168.54494427808675</c:v>
                </c:pt>
                <c:pt idx="270">
                  <c:v>168.54494427808675</c:v>
                </c:pt>
                <c:pt idx="271">
                  <c:v>168.54494427808675</c:v>
                </c:pt>
                <c:pt idx="272">
                  <c:v>168.54494427808675</c:v>
                </c:pt>
                <c:pt idx="273">
                  <c:v>168.54494427808675</c:v>
                </c:pt>
                <c:pt idx="274">
                  <c:v>168.54494427808675</c:v>
                </c:pt>
                <c:pt idx="275">
                  <c:v>168.54494427808675</c:v>
                </c:pt>
                <c:pt idx="276">
                  <c:v>168.54494427808675</c:v>
                </c:pt>
                <c:pt idx="277">
                  <c:v>168.54494427808675</c:v>
                </c:pt>
                <c:pt idx="278">
                  <c:v>168.54494427808675</c:v>
                </c:pt>
                <c:pt idx="279">
                  <c:v>168.54494427808675</c:v>
                </c:pt>
                <c:pt idx="280">
                  <c:v>168.54494427808675</c:v>
                </c:pt>
                <c:pt idx="281">
                  <c:v>168.54494427808675</c:v>
                </c:pt>
                <c:pt idx="282">
                  <c:v>168.54494427808675</c:v>
                </c:pt>
                <c:pt idx="283">
                  <c:v>168.54494427808675</c:v>
                </c:pt>
                <c:pt idx="284">
                  <c:v>168.54494427808675</c:v>
                </c:pt>
                <c:pt idx="285">
                  <c:v>168.54494427808675</c:v>
                </c:pt>
                <c:pt idx="286">
                  <c:v>168.54494427808675</c:v>
                </c:pt>
                <c:pt idx="287">
                  <c:v>168.54494427808675</c:v>
                </c:pt>
                <c:pt idx="288">
                  <c:v>168.54494427808675</c:v>
                </c:pt>
                <c:pt idx="289">
                  <c:v>168.54494427808675</c:v>
                </c:pt>
                <c:pt idx="290">
                  <c:v>168.54494427808675</c:v>
                </c:pt>
                <c:pt idx="291">
                  <c:v>168.54494427808675</c:v>
                </c:pt>
                <c:pt idx="292">
                  <c:v>168.54494427808675</c:v>
                </c:pt>
                <c:pt idx="293">
                  <c:v>168.54494427808675</c:v>
                </c:pt>
                <c:pt idx="294">
                  <c:v>168.54494427808675</c:v>
                </c:pt>
                <c:pt idx="295">
                  <c:v>168.54494427808675</c:v>
                </c:pt>
                <c:pt idx="296">
                  <c:v>168.54494427808675</c:v>
                </c:pt>
                <c:pt idx="297">
                  <c:v>168.54494427808675</c:v>
                </c:pt>
                <c:pt idx="298">
                  <c:v>168.54494427808675</c:v>
                </c:pt>
                <c:pt idx="299">
                  <c:v>168.54494427808675</c:v>
                </c:pt>
                <c:pt idx="300">
                  <c:v>168.54494427808675</c:v>
                </c:pt>
                <c:pt idx="301">
                  <c:v>168.54494427808675</c:v>
                </c:pt>
                <c:pt idx="302">
                  <c:v>168.54494427808675</c:v>
                </c:pt>
                <c:pt idx="303">
                  <c:v>168.54494427808675</c:v>
                </c:pt>
                <c:pt idx="304">
                  <c:v>168.54494427808675</c:v>
                </c:pt>
                <c:pt idx="305">
                  <c:v>168.54494427808675</c:v>
                </c:pt>
                <c:pt idx="306">
                  <c:v>168.54494427808675</c:v>
                </c:pt>
                <c:pt idx="307">
                  <c:v>168.54494427808675</c:v>
                </c:pt>
                <c:pt idx="308">
                  <c:v>168.54494427808675</c:v>
                </c:pt>
                <c:pt idx="309">
                  <c:v>168.54494427808675</c:v>
                </c:pt>
                <c:pt idx="310">
                  <c:v>168.54494427808675</c:v>
                </c:pt>
                <c:pt idx="311">
                  <c:v>168.54494427808675</c:v>
                </c:pt>
                <c:pt idx="312">
                  <c:v>168.54494427808675</c:v>
                </c:pt>
                <c:pt idx="313">
                  <c:v>168.54494427808675</c:v>
                </c:pt>
                <c:pt idx="314">
                  <c:v>168.54494427808675</c:v>
                </c:pt>
                <c:pt idx="315">
                  <c:v>168.54494427808675</c:v>
                </c:pt>
                <c:pt idx="316">
                  <c:v>168.54494427808675</c:v>
                </c:pt>
                <c:pt idx="317">
                  <c:v>168.54494427808675</c:v>
                </c:pt>
                <c:pt idx="318">
                  <c:v>168.54494427808675</c:v>
                </c:pt>
                <c:pt idx="319">
                  <c:v>168.54494427808675</c:v>
                </c:pt>
                <c:pt idx="320">
                  <c:v>168.54494427808675</c:v>
                </c:pt>
                <c:pt idx="321">
                  <c:v>168.54494427808675</c:v>
                </c:pt>
                <c:pt idx="322">
                  <c:v>168.54494427808675</c:v>
                </c:pt>
                <c:pt idx="323">
                  <c:v>168.54494427808675</c:v>
                </c:pt>
                <c:pt idx="324">
                  <c:v>168.54494427808675</c:v>
                </c:pt>
                <c:pt idx="325">
                  <c:v>168.54494427808675</c:v>
                </c:pt>
                <c:pt idx="326">
                  <c:v>168.54494427808675</c:v>
                </c:pt>
                <c:pt idx="327">
                  <c:v>168.54494427808675</c:v>
                </c:pt>
                <c:pt idx="328">
                  <c:v>168.54494427808675</c:v>
                </c:pt>
                <c:pt idx="329">
                  <c:v>168.54494427808675</c:v>
                </c:pt>
                <c:pt idx="330">
                  <c:v>168.54494427808675</c:v>
                </c:pt>
                <c:pt idx="331">
                  <c:v>168.54494427808675</c:v>
                </c:pt>
                <c:pt idx="332">
                  <c:v>168.54494427808675</c:v>
                </c:pt>
                <c:pt idx="333">
                  <c:v>168.54494427808675</c:v>
                </c:pt>
                <c:pt idx="334">
                  <c:v>168.54494427808675</c:v>
                </c:pt>
                <c:pt idx="335">
                  <c:v>168.54494427808675</c:v>
                </c:pt>
                <c:pt idx="336">
                  <c:v>168.54494427808675</c:v>
                </c:pt>
                <c:pt idx="337">
                  <c:v>168.54494427808675</c:v>
                </c:pt>
                <c:pt idx="338">
                  <c:v>168.54494427808675</c:v>
                </c:pt>
                <c:pt idx="339">
                  <c:v>168.54494427808675</c:v>
                </c:pt>
                <c:pt idx="340">
                  <c:v>168.54494427808675</c:v>
                </c:pt>
                <c:pt idx="341">
                  <c:v>168.54494427808675</c:v>
                </c:pt>
                <c:pt idx="342">
                  <c:v>168.54494427808675</c:v>
                </c:pt>
                <c:pt idx="343">
                  <c:v>168.54494427808675</c:v>
                </c:pt>
                <c:pt idx="344">
                  <c:v>168.54494427808675</c:v>
                </c:pt>
                <c:pt idx="345">
                  <c:v>168.54494427808675</c:v>
                </c:pt>
                <c:pt idx="346">
                  <c:v>168.54494427808675</c:v>
                </c:pt>
                <c:pt idx="347">
                  <c:v>168.54494427808675</c:v>
                </c:pt>
                <c:pt idx="348">
                  <c:v>168.54494427808675</c:v>
                </c:pt>
                <c:pt idx="349">
                  <c:v>168.54494427808675</c:v>
                </c:pt>
                <c:pt idx="350">
                  <c:v>168.54494427808675</c:v>
                </c:pt>
                <c:pt idx="351">
                  <c:v>168.54494427808675</c:v>
                </c:pt>
                <c:pt idx="352">
                  <c:v>168.54494427808675</c:v>
                </c:pt>
                <c:pt idx="353">
                  <c:v>168.54494427808675</c:v>
                </c:pt>
                <c:pt idx="354">
                  <c:v>168.54494427808675</c:v>
                </c:pt>
                <c:pt idx="355">
                  <c:v>168.54494427808675</c:v>
                </c:pt>
                <c:pt idx="356">
                  <c:v>168.54494427808675</c:v>
                </c:pt>
                <c:pt idx="357">
                  <c:v>168.54494427808675</c:v>
                </c:pt>
                <c:pt idx="358">
                  <c:v>168.54494427808675</c:v>
                </c:pt>
                <c:pt idx="359">
                  <c:v>168.54494427808675</c:v>
                </c:pt>
                <c:pt idx="360">
                  <c:v>168.54494427808675</c:v>
                </c:pt>
                <c:pt idx="361">
                  <c:v>168.54494427808675</c:v>
                </c:pt>
                <c:pt idx="362">
                  <c:v>168.54494427808675</c:v>
                </c:pt>
                <c:pt idx="363">
                  <c:v>168.54494427808675</c:v>
                </c:pt>
                <c:pt idx="364">
                  <c:v>168.54494427808675</c:v>
                </c:pt>
                <c:pt idx="365">
                  <c:v>168.54494427808675</c:v>
                </c:pt>
                <c:pt idx="366">
                  <c:v>168.54494427808675</c:v>
                </c:pt>
                <c:pt idx="367">
                  <c:v>168.54494427808675</c:v>
                </c:pt>
                <c:pt idx="368">
                  <c:v>168.54494427808675</c:v>
                </c:pt>
                <c:pt idx="369">
                  <c:v>168.54494427808675</c:v>
                </c:pt>
                <c:pt idx="370">
                  <c:v>168.54494427808675</c:v>
                </c:pt>
                <c:pt idx="371">
                  <c:v>168.54494427808675</c:v>
                </c:pt>
                <c:pt idx="372">
                  <c:v>168.54494427808675</c:v>
                </c:pt>
                <c:pt idx="373">
                  <c:v>168.54494427808675</c:v>
                </c:pt>
                <c:pt idx="374">
                  <c:v>168.54494427808675</c:v>
                </c:pt>
                <c:pt idx="375">
                  <c:v>168.54494427808675</c:v>
                </c:pt>
                <c:pt idx="376">
                  <c:v>168.54494427808675</c:v>
                </c:pt>
                <c:pt idx="377">
                  <c:v>168.54494427808675</c:v>
                </c:pt>
                <c:pt idx="378">
                  <c:v>168.54494427808675</c:v>
                </c:pt>
                <c:pt idx="379">
                  <c:v>168.54494427808675</c:v>
                </c:pt>
                <c:pt idx="380">
                  <c:v>168.54494427808675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97-47FC-8DC3-5ACFE91589D0}"/>
            </c:ext>
          </c:extLst>
        </c:ser>
        <c:ser>
          <c:idx val="4"/>
          <c:order val="4"/>
          <c:tx>
            <c:strRef>
              <c:f>Diagrammdaten!$G$7</c:f>
              <c:strCache>
                <c:ptCount val="1"/>
                <c:pt idx="0">
                  <c:v>fest [bar]</c:v>
                </c:pt>
              </c:strCache>
            </c:strRef>
          </c:tx>
          <c:spPr>
            <a:solidFill>
              <a:srgbClr val="D9D2E9"/>
            </a:solidFill>
            <a:ln>
              <a:noFill/>
            </a:ln>
          </c:spPr>
          <c:cat>
            <c:strRef>
              <c:f>Diagrammdaten!$C$8:$C$388</c:f>
              <c:strCache>
                <c:ptCount val="361"/>
                <c:pt idx="0">
                  <c:v>-80</c:v>
                </c:pt>
                <c:pt idx="40">
                  <c:v>-60</c:v>
                </c:pt>
                <c:pt idx="80">
                  <c:v>-40</c:v>
                </c:pt>
                <c:pt idx="120">
                  <c:v>-20</c:v>
                </c:pt>
                <c:pt idx="160">
                  <c:v>0</c:v>
                </c:pt>
                <c:pt idx="200">
                  <c:v>20</c:v>
                </c:pt>
                <c:pt idx="240">
                  <c:v>40</c:v>
                </c:pt>
                <c:pt idx="280">
                  <c:v>60</c:v>
                </c:pt>
                <c:pt idx="320">
                  <c:v>80</c:v>
                </c:pt>
                <c:pt idx="360">
                  <c:v>100</c:v>
                </c:pt>
              </c:strCache>
            </c:strRef>
          </c:cat>
          <c:val>
            <c:numRef>
              <c:f>Diagrammdaten!$G$8:$G$388</c:f>
              <c:numCache>
                <c:formatCode>General</c:formatCode>
                <c:ptCount val="381"/>
                <c:pt idx="0">
                  <c:v>249.10758432028197</c:v>
                </c:pt>
                <c:pt idx="1">
                  <c:v>249.0697020259696</c:v>
                </c:pt>
                <c:pt idx="2">
                  <c:v>249.03041162618976</c:v>
                </c:pt>
                <c:pt idx="3">
                  <c:v>248.98966806549112</c:v>
                </c:pt>
                <c:pt idx="4">
                  <c:v>248.94742506021737</c:v>
                </c:pt>
                <c:pt idx="5">
                  <c:v>248.90363506914466</c:v>
                </c:pt>
                <c:pt idx="6">
                  <c:v>248.8582492633968</c:v>
                </c:pt>
                <c:pt idx="7">
                  <c:v>248.81121749561368</c:v>
                </c:pt>
                <c:pt idx="8">
                  <c:v>248.76248826834575</c:v>
                </c:pt>
                <c:pt idx="9">
                  <c:v>248.71200870164714</c:v>
                </c:pt>
                <c:pt idx="10">
                  <c:v>248.6597244998367</c:v>
                </c:pt>
                <c:pt idx="11">
                  <c:v>248.60557991739603</c:v>
                </c:pt>
                <c:pt idx="12">
                  <c:v>248.5495177239693</c:v>
                </c:pt>
                <c:pt idx="13">
                  <c:v>248.49147916842955</c:v>
                </c:pt>
                <c:pt idx="14">
                  <c:v>248.43140394197135</c:v>
                </c:pt>
                <c:pt idx="15">
                  <c:v>248.36923014018808</c:v>
                </c:pt>
                <c:pt idx="16">
                  <c:v>248.30489422408749</c:v>
                </c:pt>
                <c:pt idx="17">
                  <c:v>248.23833097999642</c:v>
                </c:pt>
                <c:pt idx="18">
                  <c:v>248.16947347829941</c:v>
                </c:pt>
                <c:pt idx="19">
                  <c:v>248.09825303095215</c:v>
                </c:pt>
                <c:pt idx="20">
                  <c:v>248.02459914770341</c:v>
                </c:pt>
                <c:pt idx="21">
                  <c:v>247.94843949095201</c:v>
                </c:pt>
                <c:pt idx="22">
                  <c:v>247.86969982915753</c:v>
                </c:pt>
                <c:pt idx="23">
                  <c:v>247.78830398871139</c:v>
                </c:pt>
                <c:pt idx="24">
                  <c:v>247.70417380416475</c:v>
                </c:pt>
                <c:pt idx="25">
                  <c:v>247.6172290666922</c:v>
                </c:pt>
                <c:pt idx="26">
                  <c:v>247.52738747065339</c:v>
                </c:pt>
                <c:pt idx="27">
                  <c:v>247.4345645580903</c:v>
                </c:pt>
                <c:pt idx="28">
                  <c:v>247.3386736609695</c:v>
                </c:pt>
                <c:pt idx="29">
                  <c:v>247.23962584094059</c:v>
                </c:pt>
                <c:pt idx="30">
                  <c:v>247.13732982633502</c:v>
                </c:pt>
                <c:pt idx="31">
                  <c:v>247.03169194606474</c:v>
                </c:pt>
                <c:pt idx="32">
                  <c:v>246.92261605999738</c:v>
                </c:pt>
                <c:pt idx="33">
                  <c:v>246.81000348526769</c:v>
                </c:pt>
                <c:pt idx="34">
                  <c:v>246.69375291782731</c:v>
                </c:pt>
                <c:pt idx="35">
                  <c:v>246.57376034830631</c:v>
                </c:pt>
                <c:pt idx="36">
                  <c:v>246.44991897092928</c:v>
                </c:pt>
                <c:pt idx="37">
                  <c:v>246.32211908373046</c:v>
                </c:pt>
                <c:pt idx="38">
                  <c:v>246.19024797753519</c:v>
                </c:pt>
                <c:pt idx="39">
                  <c:v>246.05418980991723</c:v>
                </c:pt>
                <c:pt idx="40">
                  <c:v>245.91382545819579</c:v>
                </c:pt>
                <c:pt idx="41">
                  <c:v>245.76903234166346</c:v>
                </c:pt>
                <c:pt idx="42">
                  <c:v>245.61968419570067</c:v>
                </c:pt>
                <c:pt idx="43">
                  <c:v>245.46565076430832</c:v>
                </c:pt>
                <c:pt idx="44">
                  <c:v>245.30679733832375</c:v>
                </c:pt>
                <c:pt idx="45">
                  <c:v>245.14298395103927</c:v>
                </c:pt>
                <c:pt idx="46">
                  <c:v>244.9740635750301</c:v>
                </c:pt>
                <c:pt idx="47">
                  <c:v>242.10720440871191</c:v>
                </c:pt>
                <c:pt idx="48">
                  <c:v>218.65464354090309</c:v>
                </c:pt>
                <c:pt idx="49">
                  <c:v>195.08860930988234</c:v>
                </c:pt>
                <c:pt idx="50">
                  <c:v>171.40910171565417</c:v>
                </c:pt>
                <c:pt idx="51">
                  <c:v>147.61612075821634</c:v>
                </c:pt>
                <c:pt idx="52">
                  <c:v>123.70966643756657</c:v>
                </c:pt>
                <c:pt idx="53">
                  <c:v>99.689738753709378</c:v>
                </c:pt>
                <c:pt idx="54">
                  <c:v>75.556337706640221</c:v>
                </c:pt>
                <c:pt idx="55">
                  <c:v>51.309463296363703</c:v>
                </c:pt>
                <c:pt idx="56">
                  <c:v>26.94911552287752</c:v>
                </c:pt>
                <c:pt idx="57">
                  <c:v>2.4752943861793142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97-47FC-8DC3-5ACFE9158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80001"/>
        <c:axId val="50080002"/>
      </c:areaChart>
      <c:scatterChart>
        <c:scatterStyle val="lineMarker"/>
        <c:varyColors val="0"/>
        <c:ser>
          <c:idx val="5"/>
          <c:order val="5"/>
          <c:tx>
            <c:v>Phasengrenze Gemisch (Tau-/Blasenlinie)</c:v>
          </c:tx>
          <c:spPr>
            <a:ln w="22225">
              <a:solidFill>
                <a:srgbClr val="CA220E"/>
              </a:solidFill>
            </a:ln>
          </c:spPr>
          <c:marker>
            <c:symbol val="none"/>
          </c:marker>
          <c:xVal>
            <c:numRef>
              <c:f>Diagrammdaten!$L$8:$L$77</c:f>
              <c:numCache>
                <c:formatCode>General</c:formatCode>
                <c:ptCount val="70"/>
                <c:pt idx="0">
                  <c:v>47.884000000000071</c:v>
                </c:pt>
                <c:pt idx="1">
                  <c:v>53.996053427743234</c:v>
                </c:pt>
                <c:pt idx="2">
                  <c:v>60.108106855486398</c:v>
                </c:pt>
                <c:pt idx="3">
                  <c:v>66.220160283229561</c:v>
                </c:pt>
                <c:pt idx="4">
                  <c:v>72.332213710972724</c:v>
                </c:pt>
                <c:pt idx="5">
                  <c:v>78.444267138715887</c:v>
                </c:pt>
                <c:pt idx="6">
                  <c:v>84.55632056645905</c:v>
                </c:pt>
                <c:pt idx="7">
                  <c:v>90.668373994202227</c:v>
                </c:pt>
                <c:pt idx="8">
                  <c:v>96.780427421945376</c:v>
                </c:pt>
                <c:pt idx="9">
                  <c:v>102.89248084968855</c:v>
                </c:pt>
                <c:pt idx="10">
                  <c:v>109.0045342774317</c:v>
                </c:pt>
                <c:pt idx="11">
                  <c:v>115.11658770517488</c:v>
                </c:pt>
                <c:pt idx="12">
                  <c:v>121.22864113291804</c:v>
                </c:pt>
                <c:pt idx="13">
                  <c:v>127.34069456066121</c:v>
                </c:pt>
                <c:pt idx="14">
                  <c:v>133.45274798840438</c:v>
                </c:pt>
                <c:pt idx="15">
                  <c:v>139.56480141614753</c:v>
                </c:pt>
                <c:pt idx="16">
                  <c:v>145.67685484389068</c:v>
                </c:pt>
                <c:pt idx="17">
                  <c:v>151.78890827163386</c:v>
                </c:pt>
                <c:pt idx="18">
                  <c:v>157.90096169937704</c:v>
                </c:pt>
                <c:pt idx="19">
                  <c:v>164.01301512712018</c:v>
                </c:pt>
                <c:pt idx="20">
                  <c:v>170.12506855486333</c:v>
                </c:pt>
                <c:pt idx="21">
                  <c:v>176.23712198260651</c:v>
                </c:pt>
                <c:pt idx="22">
                  <c:v>182.34917541034969</c:v>
                </c:pt>
                <c:pt idx="23">
                  <c:v>188.46122883809284</c:v>
                </c:pt>
                <c:pt idx="24">
                  <c:v>194.57328226583601</c:v>
                </c:pt>
                <c:pt idx="25">
                  <c:v>200.68533569357916</c:v>
                </c:pt>
                <c:pt idx="26">
                  <c:v>206.79738912132234</c:v>
                </c:pt>
                <c:pt idx="27">
                  <c:v>212.90944254906549</c:v>
                </c:pt>
                <c:pt idx="28">
                  <c:v>213.11530334534405</c:v>
                </c:pt>
                <c:pt idx="29">
                  <c:v>215.09671087318316</c:v>
                </c:pt>
                <c:pt idx="30">
                  <c:v>216.46977996825069</c:v>
                </c:pt>
                <c:pt idx="31">
                  <c:v>217.14708372948724</c:v>
                </c:pt>
                <c:pt idx="32">
                  <c:v>217.18664870023304</c:v>
                </c:pt>
                <c:pt idx="33">
                  <c:v>217.11976458358242</c:v>
                </c:pt>
                <c:pt idx="34">
                  <c:v>216.69912051454844</c:v>
                </c:pt>
                <c:pt idx="35">
                  <c:v>216.53333128843872</c:v>
                </c:pt>
                <c:pt idx="36">
                  <c:v>216.09101257175962</c:v>
                </c:pt>
                <c:pt idx="37">
                  <c:v>215.89566713390104</c:v>
                </c:pt>
                <c:pt idx="38">
                  <c:v>215.42623598676914</c:v>
                </c:pt>
                <c:pt idx="39">
                  <c:v>214.8293647044818</c:v>
                </c:pt>
                <c:pt idx="40">
                  <c:v>213.22434190975093</c:v>
                </c:pt>
                <c:pt idx="41">
                  <c:v>212.90944254906549</c:v>
                </c:pt>
                <c:pt idx="42">
                  <c:v>207.01567674374172</c:v>
                </c:pt>
                <c:pt idx="43">
                  <c:v>201.12191093841795</c:v>
                </c:pt>
                <c:pt idx="44">
                  <c:v>195.22814513309419</c:v>
                </c:pt>
                <c:pt idx="45">
                  <c:v>189.33437932777042</c:v>
                </c:pt>
                <c:pt idx="46">
                  <c:v>183.44061352244665</c:v>
                </c:pt>
                <c:pt idx="47">
                  <c:v>177.54684771712289</c:v>
                </c:pt>
                <c:pt idx="48">
                  <c:v>171.65308191179912</c:v>
                </c:pt>
                <c:pt idx="49">
                  <c:v>165.75931610647535</c:v>
                </c:pt>
                <c:pt idx="50">
                  <c:v>159.86555030115159</c:v>
                </c:pt>
                <c:pt idx="51">
                  <c:v>153.97178449582782</c:v>
                </c:pt>
                <c:pt idx="52">
                  <c:v>148.07801869050405</c:v>
                </c:pt>
                <c:pt idx="53">
                  <c:v>142.18425288518031</c:v>
                </c:pt>
                <c:pt idx="54">
                  <c:v>136.29048707985655</c:v>
                </c:pt>
                <c:pt idx="55">
                  <c:v>130.39672127453278</c:v>
                </c:pt>
                <c:pt idx="56">
                  <c:v>124.50295546920901</c:v>
                </c:pt>
                <c:pt idx="57">
                  <c:v>118.60918966388525</c:v>
                </c:pt>
                <c:pt idx="58">
                  <c:v>112.71542385856148</c:v>
                </c:pt>
                <c:pt idx="59">
                  <c:v>106.82165805323771</c:v>
                </c:pt>
                <c:pt idx="60">
                  <c:v>100.92789224791395</c:v>
                </c:pt>
                <c:pt idx="61">
                  <c:v>95.034126442590178</c:v>
                </c:pt>
                <c:pt idx="62">
                  <c:v>89.140360637266426</c:v>
                </c:pt>
                <c:pt idx="63">
                  <c:v>83.246594831942645</c:v>
                </c:pt>
                <c:pt idx="64">
                  <c:v>77.352829026618878</c:v>
                </c:pt>
                <c:pt idx="65">
                  <c:v>71.459063221295139</c:v>
                </c:pt>
                <c:pt idx="66">
                  <c:v>65.565297415971372</c:v>
                </c:pt>
                <c:pt idx="67">
                  <c:v>59.671531610647605</c:v>
                </c:pt>
                <c:pt idx="68">
                  <c:v>53.777765805323838</c:v>
                </c:pt>
                <c:pt idx="69">
                  <c:v>47.884000000000071</c:v>
                </c:pt>
              </c:numCache>
            </c:numRef>
          </c:xVal>
          <c:yVal>
            <c:numRef>
              <c:f>Diagrammdaten!$K$8:$K$77</c:f>
              <c:numCache>
                <c:formatCode>General</c:formatCode>
                <c:ptCount val="70"/>
                <c:pt idx="0">
                  <c:v>5.4780051259929632</c:v>
                </c:pt>
                <c:pt idx="1">
                  <c:v>6.2465283664309963</c:v>
                </c:pt>
                <c:pt idx="2">
                  <c:v>7.094026716138905</c:v>
                </c:pt>
                <c:pt idx="3">
                  <c:v>8.0255579412624787</c:v>
                </c:pt>
                <c:pt idx="4">
                  <c:v>9.0463049806261271</c:v>
                </c:pt>
                <c:pt idx="5">
                  <c:v>10.161580260227899</c:v>
                </c:pt>
                <c:pt idx="6">
                  <c:v>11.376832494554185</c:v>
                </c:pt>
                <c:pt idx="7">
                  <c:v>12.697656236143098</c:v>
                </c:pt>
                <c:pt idx="8">
                  <c:v>14.129804656079587</c:v>
                </c:pt>
                <c:pt idx="9">
                  <c:v>15.67923451447156</c:v>
                </c:pt>
                <c:pt idx="10">
                  <c:v>17.352406968327372</c:v>
                </c:pt>
                <c:pt idx="11">
                  <c:v>19.155353708527862</c:v>
                </c:pt>
                <c:pt idx="12">
                  <c:v>21.094699875721581</c:v>
                </c:pt>
                <c:pt idx="13">
                  <c:v>23.177390130610402</c:v>
                </c:pt>
                <c:pt idx="14">
                  <c:v>25.410755922853671</c:v>
                </c:pt>
                <c:pt idx="15">
                  <c:v>27.802604003304531</c:v>
                </c:pt>
                <c:pt idx="16">
                  <c:v>30.363205999893026</c:v>
                </c:pt>
                <c:pt idx="17">
                  <c:v>33.096101826227539</c:v>
                </c:pt>
                <c:pt idx="18">
                  <c:v>36.017129110207115</c:v>
                </c:pt>
                <c:pt idx="19">
                  <c:v>39.136313339837116</c:v>
                </c:pt>
                <c:pt idx="20">
                  <c:v>42.466439159222979</c:v>
                </c:pt>
                <c:pt idx="21">
                  <c:v>46.023360530623989</c:v>
                </c:pt>
                <c:pt idx="22">
                  <c:v>49.826593298424697</c:v>
                </c:pt>
                <c:pt idx="23">
                  <c:v>53.902917038676897</c:v>
                </c:pt>
                <c:pt idx="24">
                  <c:v>58.288588500852839</c:v>
                </c:pt>
                <c:pt idx="25">
                  <c:v>63.115296932976065</c:v>
                </c:pt>
                <c:pt idx="26">
                  <c:v>68.296439810562831</c:v>
                </c:pt>
                <c:pt idx="27">
                  <c:v>74.339555460510013</c:v>
                </c:pt>
                <c:pt idx="28">
                  <c:v>74.556723930467271</c:v>
                </c:pt>
                <c:pt idx="29">
                  <c:v>76.933953502157294</c:v>
                </c:pt>
                <c:pt idx="30">
                  <c:v>78.941156502790562</c:v>
                </c:pt>
                <c:pt idx="31">
                  <c:v>80.494760566134005</c:v>
                </c:pt>
                <c:pt idx="32">
                  <c:v>80.896473762668705</c:v>
                </c:pt>
                <c:pt idx="33">
                  <c:v>81.224767037052715</c:v>
                </c:pt>
                <c:pt idx="34">
                  <c:v>81.685344406773822</c:v>
                </c:pt>
                <c:pt idx="35">
                  <c:v>81.838319578037911</c:v>
                </c:pt>
                <c:pt idx="36">
                  <c:v>82.075301596995402</c:v>
                </c:pt>
                <c:pt idx="37">
                  <c:v>82.127440129186695</c:v>
                </c:pt>
                <c:pt idx="38">
                  <c:v>82.17759431791859</c:v>
                </c:pt>
                <c:pt idx="39">
                  <c:v>82.142568673071494</c:v>
                </c:pt>
                <c:pt idx="40">
                  <c:v>81.790286378469247</c:v>
                </c:pt>
                <c:pt idx="41">
                  <c:v>81.686326049855197</c:v>
                </c:pt>
                <c:pt idx="42">
                  <c:v>79.403896306172044</c:v>
                </c:pt>
                <c:pt idx="43">
                  <c:v>76.706643047108898</c:v>
                </c:pt>
                <c:pt idx="44">
                  <c:v>73.917273160672508</c:v>
                </c:pt>
                <c:pt idx="45">
                  <c:v>71.162241328121723</c:v>
                </c:pt>
                <c:pt idx="46">
                  <c:v>68.499105449613097</c:v>
                </c:pt>
                <c:pt idx="47">
                  <c:v>65.950868682966799</c:v>
                </c:pt>
                <c:pt idx="48">
                  <c:v>63.532027644965225</c:v>
                </c:pt>
                <c:pt idx="49">
                  <c:v>61.252710857907914</c:v>
                </c:pt>
                <c:pt idx="50">
                  <c:v>59.119111530194637</c:v>
                </c:pt>
                <c:pt idx="51">
                  <c:v>57.135698205735828</c:v>
                </c:pt>
                <c:pt idx="52">
                  <c:v>55.304834874033894</c:v>
                </c:pt>
                <c:pt idx="53">
                  <c:v>53.628494465250789</c:v>
                </c:pt>
                <c:pt idx="54">
                  <c:v>52.108566858257042</c:v>
                </c:pt>
                <c:pt idx="55">
                  <c:v>50.747017816934239</c:v>
                </c:pt>
                <c:pt idx="56">
                  <c:v>49.546046180813249</c:v>
                </c:pt>
                <c:pt idx="57">
                  <c:v>48.508227960961797</c:v>
                </c:pt>
                <c:pt idx="58">
                  <c:v>47.636678138918917</c:v>
                </c:pt>
                <c:pt idx="59">
                  <c:v>46.935238191457664</c:v>
                </c:pt>
                <c:pt idx="60">
                  <c:v>46.40892779619076</c:v>
                </c:pt>
                <c:pt idx="61">
                  <c:v>46.063863329321116</c:v>
                </c:pt>
                <c:pt idx="62">
                  <c:v>45.907235940758852</c:v>
                </c:pt>
                <c:pt idx="63">
                  <c:v>45.948412119295952</c:v>
                </c:pt>
                <c:pt idx="64">
                  <c:v>46.199065481880361</c:v>
                </c:pt>
                <c:pt idx="65">
                  <c:v>46.673734775122661</c:v>
                </c:pt>
                <c:pt idx="66">
                  <c:v>47.390529862815043</c:v>
                </c:pt>
                <c:pt idx="67">
                  <c:v>48.372032320327683</c:v>
                </c:pt>
                <c:pt idx="68">
                  <c:v>49.646459563221228</c:v>
                </c:pt>
                <c:pt idx="69">
                  <c:v>51.249178858911719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97-47FC-8DC3-5ACFE91589D0}"/>
            </c:ext>
          </c:extLst>
        </c:ser>
        <c:ser>
          <c:idx val="6"/>
          <c:order val="6"/>
          <c:tx>
            <c:v>Sättigungslinie reines CO₂ (Vergleich)</c:v>
          </c:tx>
          <c:spPr>
            <a:ln w="12700" cap="rnd">
              <a:solidFill>
                <a:srgbClr val="808080"/>
              </a:solidFill>
              <a:round/>
            </a:ln>
          </c:spPr>
          <c:marker>
            <c:symbol val="none"/>
          </c:marker>
          <c:xVal>
            <c:numRef>
              <c:f>Diagrammdaten!$L$256:$L$296</c:f>
              <c:numCache>
                <c:formatCode>General</c:formatCode>
                <c:ptCount val="41"/>
                <c:pt idx="0">
                  <c:v>47.884000000000071</c:v>
                </c:pt>
                <c:pt idx="1">
                  <c:v>52.260760000149105</c:v>
                </c:pt>
                <c:pt idx="2">
                  <c:v>56.637520000298139</c:v>
                </c:pt>
                <c:pt idx="3">
                  <c:v>61.014280000447172</c:v>
                </c:pt>
                <c:pt idx="4">
                  <c:v>65.391040000596206</c:v>
                </c:pt>
                <c:pt idx="5">
                  <c:v>69.76780000074524</c:v>
                </c:pt>
                <c:pt idx="6">
                  <c:v>74.144560000894273</c:v>
                </c:pt>
                <c:pt idx="7">
                  <c:v>78.521320001043307</c:v>
                </c:pt>
                <c:pt idx="8">
                  <c:v>82.898080001192341</c:v>
                </c:pt>
                <c:pt idx="9">
                  <c:v>87.274840001341374</c:v>
                </c:pt>
                <c:pt idx="10">
                  <c:v>91.651600001490408</c:v>
                </c:pt>
                <c:pt idx="11">
                  <c:v>96.028360001639442</c:v>
                </c:pt>
                <c:pt idx="12">
                  <c:v>100.40512000178848</c:v>
                </c:pt>
                <c:pt idx="13">
                  <c:v>104.78188000193751</c:v>
                </c:pt>
                <c:pt idx="14">
                  <c:v>109.1586400020866</c:v>
                </c:pt>
                <c:pt idx="15">
                  <c:v>113.53540000223563</c:v>
                </c:pt>
                <c:pt idx="16">
                  <c:v>117.91216000238467</c:v>
                </c:pt>
                <c:pt idx="17">
                  <c:v>122.2889200025337</c:v>
                </c:pt>
                <c:pt idx="18">
                  <c:v>126.66568000268273</c:v>
                </c:pt>
                <c:pt idx="19">
                  <c:v>131.04244000283177</c:v>
                </c:pt>
                <c:pt idx="20">
                  <c:v>135.4192000029808</c:v>
                </c:pt>
                <c:pt idx="21">
                  <c:v>139.79596000312984</c:v>
                </c:pt>
                <c:pt idx="22">
                  <c:v>144.17272000327887</c:v>
                </c:pt>
                <c:pt idx="23">
                  <c:v>148.5494800034279</c:v>
                </c:pt>
                <c:pt idx="24">
                  <c:v>152.92624000357694</c:v>
                </c:pt>
                <c:pt idx="25">
                  <c:v>157.30300000372597</c:v>
                </c:pt>
                <c:pt idx="26">
                  <c:v>161.679760003875</c:v>
                </c:pt>
                <c:pt idx="27">
                  <c:v>166.05652000402404</c:v>
                </c:pt>
                <c:pt idx="28">
                  <c:v>170.43328000417307</c:v>
                </c:pt>
                <c:pt idx="29">
                  <c:v>174.8100400043221</c:v>
                </c:pt>
                <c:pt idx="30">
                  <c:v>179.18680000447114</c:v>
                </c:pt>
                <c:pt idx="31">
                  <c:v>183.56356000462017</c:v>
                </c:pt>
                <c:pt idx="32">
                  <c:v>187.94032000476921</c:v>
                </c:pt>
                <c:pt idx="33">
                  <c:v>192.31708000491824</c:v>
                </c:pt>
                <c:pt idx="34">
                  <c:v>196.69384000506727</c:v>
                </c:pt>
                <c:pt idx="35">
                  <c:v>201.07060000521631</c:v>
                </c:pt>
                <c:pt idx="36">
                  <c:v>205.44736000536534</c:v>
                </c:pt>
                <c:pt idx="37">
                  <c:v>209.82412000551437</c:v>
                </c:pt>
                <c:pt idx="38">
                  <c:v>214.20088000566341</c:v>
                </c:pt>
                <c:pt idx="39">
                  <c:v>218.57764000581244</c:v>
                </c:pt>
                <c:pt idx="40">
                  <c:v>222.95440000596147</c:v>
                </c:pt>
              </c:numCache>
            </c:numRef>
          </c:xVal>
          <c:yVal>
            <c:numRef>
              <c:f>Diagrammdaten!$K$256:$K$296</c:f>
              <c:numCache>
                <c:formatCode>General</c:formatCode>
                <c:ptCount val="41"/>
                <c:pt idx="0">
                  <c:v>5.179643433349451</c:v>
                </c:pt>
                <c:pt idx="1">
                  <c:v>5.690561898357319</c:v>
                </c:pt>
                <c:pt idx="2">
                  <c:v>6.2385925725646123</c:v>
                </c:pt>
                <c:pt idx="3">
                  <c:v>6.825395560929695</c:v>
                </c:pt>
                <c:pt idx="4">
                  <c:v>7.4526521748979997</c:v>
                </c:pt>
                <c:pt idx="5">
                  <c:v>8.1220643662310241</c:v>
                </c:pt>
                <c:pt idx="6">
                  <c:v>8.8353543202131775</c:v>
                </c:pt>
                <c:pt idx="7">
                  <c:v>9.5942642191494194</c:v>
                </c:pt>
                <c:pt idx="8">
                  <c:v>10.400556183845032</c:v>
                </c:pt>
                <c:pt idx="9">
                  <c:v>11.256012395801237</c:v>
                </c:pt>
                <c:pt idx="10">
                  <c:v>12.162435399008638</c:v>
                </c:pt>
                <c:pt idx="11">
                  <c:v>13.12164858209297</c:v>
                </c:pt>
                <c:pt idx="12">
                  <c:v>14.135496853100509</c:v>
                </c:pt>
                <c:pt idx="13">
                  <c:v>15.205847540490653</c:v>
                </c:pt>
                <c:pt idx="14">
                  <c:v>16.334591579694806</c:v>
                </c:pt>
                <c:pt idx="15">
                  <c:v>17.523645066186731</c:v>
                </c:pt>
                <c:pt idx="16">
                  <c:v>18.774951265593533</c:v>
                </c:pt>
                <c:pt idx="17">
                  <c:v>20.09048316632229</c:v>
                </c:pt>
                <c:pt idx="18">
                  <c:v>21.472246644534383</c:v>
                </c:pt>
                <c:pt idx="19">
                  <c:v>22.922284294019239</c:v>
                </c:pt>
                <c:pt idx="20">
                  <c:v>24.442679965043133</c:v>
                </c:pt>
                <c:pt idx="21">
                  <c:v>26.035564065652519</c:v>
                </c:pt>
                <c:pt idx="22">
                  <c:v>27.703119713043016</c:v>
                </c:pt>
                <c:pt idx="23">
                  <c:v>29.447589887066314</c:v>
                </c:pt>
                <c:pt idx="24">
                  <c:v>31.271285838462976</c:v>
                </c:pt>
                <c:pt idx="25">
                  <c:v>33.176597146455947</c:v>
                </c:pt>
                <c:pt idx="26">
                  <c:v>35.166004004476882</c:v>
                </c:pt>
                <c:pt idx="27">
                  <c:v>37.242092524682882</c:v>
                </c:pt>
                <c:pt idx="28">
                  <c:v>39.40757405146131</c:v>
                </c:pt>
                <c:pt idx="29">
                  <c:v>41.665309602075148</c:v>
                </c:pt>
                <c:pt idx="30">
                  <c:v>44.018340595742728</c:v>
                </c:pt>
                <c:pt idx="31">
                  <c:v>46.46992720935107</c:v>
                </c:pt>
                <c:pt idx="32">
                  <c:v>49.023596810330844</c:v>
                </c:pt>
                <c:pt idx="33">
                  <c:v>51.683208775895139</c:v>
                </c:pt>
                <c:pt idx="34">
                  <c:v>54.453051446377017</c:v>
                </c:pt>
                <c:pt idx="35">
                  <c:v>57.338004121264795</c:v>
                </c:pt>
                <c:pt idx="36">
                  <c:v>60.343818172330835</c:v>
                </c:pt>
                <c:pt idx="37">
                  <c:v>63.4775854036277</c:v>
                </c:pt>
                <c:pt idx="38">
                  <c:v>66.748524248563641</c:v>
                </c:pt>
                <c:pt idx="39">
                  <c:v>70.169980059503217</c:v>
                </c:pt>
                <c:pt idx="40">
                  <c:v>73.771278108842608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7EA1B671-CCC0-4C57-8A59-2801D70BFB76}"/>
            </c:ext>
          </c:extLst>
        </c:ser>
        <c:ser>
          <c:idx val="7"/>
          <c:order val="7"/>
          <c:tx>
            <c:v>Blasenlinie + 3 bar (sicher flüssig)</c:v>
          </c:tx>
          <c:spPr>
            <a:ln w="12700" cap="rnd">
              <a:solidFill>
                <a:srgbClr val="CA220E"/>
              </a:solidFill>
              <a:prstDash val="dash"/>
              <a:round/>
            </a:ln>
          </c:spPr>
          <c:marker>
            <c:symbol val="none"/>
          </c:marker>
          <c:xVal>
            <c:numRef>
              <c:f>Diagrammdaten!$L$298:$L$327</c:f>
              <c:numCache>
                <c:formatCode>General</c:formatCode>
                <c:ptCount val="30"/>
                <c:pt idx="0">
                  <c:v>47.884000000000071</c:v>
                </c:pt>
                <c:pt idx="1">
                  <c:v>53.705211052225877</c:v>
                </c:pt>
                <c:pt idx="2">
                  <c:v>59.526422104451683</c:v>
                </c:pt>
                <c:pt idx="3">
                  <c:v>65.347633156677489</c:v>
                </c:pt>
                <c:pt idx="4">
                  <c:v>71.168844208903295</c:v>
                </c:pt>
                <c:pt idx="5">
                  <c:v>76.9900552611291</c:v>
                </c:pt>
                <c:pt idx="6">
                  <c:v>82.811266313354906</c:v>
                </c:pt>
                <c:pt idx="7">
                  <c:v>88.632477365580712</c:v>
                </c:pt>
                <c:pt idx="8">
                  <c:v>94.453688417806518</c:v>
                </c:pt>
                <c:pt idx="9">
                  <c:v>100.27489947003232</c:v>
                </c:pt>
                <c:pt idx="10">
                  <c:v>106.09611052225813</c:v>
                </c:pt>
                <c:pt idx="11">
                  <c:v>111.91732157448394</c:v>
                </c:pt>
                <c:pt idx="12">
                  <c:v>117.73853262670974</c:v>
                </c:pt>
                <c:pt idx="13">
                  <c:v>123.55974367893555</c:v>
                </c:pt>
                <c:pt idx="14">
                  <c:v>129.38095473116135</c:v>
                </c:pt>
                <c:pt idx="15">
                  <c:v>135.20216578338716</c:v>
                </c:pt>
                <c:pt idx="16">
                  <c:v>141.02337683561296</c:v>
                </c:pt>
                <c:pt idx="17">
                  <c:v>146.84458788783877</c:v>
                </c:pt>
                <c:pt idx="18">
                  <c:v>152.66579894006458</c:v>
                </c:pt>
                <c:pt idx="19">
                  <c:v>158.48700999229038</c:v>
                </c:pt>
                <c:pt idx="20">
                  <c:v>164.30822104451619</c:v>
                </c:pt>
                <c:pt idx="21">
                  <c:v>170.12943209674199</c:v>
                </c:pt>
                <c:pt idx="22">
                  <c:v>175.9506431489678</c:v>
                </c:pt>
                <c:pt idx="23">
                  <c:v>181.77185420119361</c:v>
                </c:pt>
                <c:pt idx="24">
                  <c:v>187.59306525341941</c:v>
                </c:pt>
                <c:pt idx="25">
                  <c:v>193.41427630564522</c:v>
                </c:pt>
                <c:pt idx="26">
                  <c:v>199.23548735787102</c:v>
                </c:pt>
                <c:pt idx="27">
                  <c:v>205.05669841009683</c:v>
                </c:pt>
                <c:pt idx="28">
                  <c:v>210.87790946232263</c:v>
                </c:pt>
                <c:pt idx="29">
                  <c:v>216.69912051454844</c:v>
                </c:pt>
              </c:numCache>
            </c:numRef>
          </c:xVal>
          <c:yVal>
            <c:numRef>
              <c:f>Diagrammdaten!$K$298:$K$327</c:f>
              <c:numCache>
                <c:formatCode>General</c:formatCode>
                <c:ptCount val="30"/>
                <c:pt idx="0">
                  <c:v>54.249178858911719</c:v>
                </c:pt>
                <c:pt idx="1">
                  <c:v>52.664363407576069</c:v>
                </c:pt>
                <c:pt idx="2">
                  <c:v>51.40003231788009</c:v>
                </c:pt>
                <c:pt idx="3">
                  <c:v>50.422039629483656</c:v>
                </c:pt>
                <c:pt idx="4">
                  <c:v>49.703056462019831</c:v>
                </c:pt>
                <c:pt idx="5">
                  <c:v>49.221145655561216</c:v>
                </c:pt>
                <c:pt idx="6">
                  <c:v>48.959101170097277</c:v>
                </c:pt>
                <c:pt idx="7">
                  <c:v>48.902828994722412</c:v>
                </c:pt>
                <c:pt idx="8">
                  <c:v>49.040237729303101</c:v>
                </c:pt>
                <c:pt idx="9">
                  <c:v>49.362146363389712</c:v>
                </c:pt>
                <c:pt idx="10">
                  <c:v>49.861173471192402</c:v>
                </c:pt>
                <c:pt idx="11">
                  <c:v>50.531397928398562</c:v>
                </c:pt>
                <c:pt idx="12">
                  <c:v>51.368765341961051</c:v>
                </c:pt>
                <c:pt idx="13">
                  <c:v>52.368889762331087</c:v>
                </c:pt>
                <c:pt idx="14">
                  <c:v>53.528518650089161</c:v>
                </c:pt>
                <c:pt idx="15">
                  <c:v>54.845101014529511</c:v>
                </c:pt>
                <c:pt idx="16">
                  <c:v>56.316468002074117</c:v>
                </c:pt>
                <c:pt idx="17">
                  <c:v>57.940872900767133</c:v>
                </c:pt>
                <c:pt idx="18">
                  <c:v>59.716932633410508</c:v>
                </c:pt>
                <c:pt idx="19">
                  <c:v>61.642103419846549</c:v>
                </c:pt>
                <c:pt idx="20">
                  <c:v>63.71401451613437</c:v>
                </c:pt>
                <c:pt idx="21">
                  <c:v>65.929211829067867</c:v>
                </c:pt>
                <c:pt idx="22">
                  <c:v>68.282233623562746</c:v>
                </c:pt>
                <c:pt idx="23">
                  <c:v>70.764954852547746</c:v>
                </c:pt>
                <c:pt idx="24">
                  <c:v>73.364513310303693</c:v>
                </c:pt>
                <c:pt idx="25">
                  <c:v>76.061587611447692</c:v>
                </c:pt>
                <c:pt idx="26">
                  <c:v>78.81922862244744</c:v>
                </c:pt>
                <c:pt idx="27">
                  <c:v>81.507379398410805</c:v>
                </c:pt>
                <c:pt idx="28">
                  <c:v>84.006386183492225</c:v>
                </c:pt>
                <c:pt idx="29">
                  <c:v>84.685344406773822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B924F44C-0CB6-4B97-AA84-F40707F40138}"/>
            </c:ext>
          </c:extLst>
        </c:ser>
        <c:ser>
          <c:idx val="8"/>
          <c:order val="8"/>
          <c:tx>
            <c:v>Taulinie − 3 bar (sicher gasförmig)</c:v>
          </c:tx>
          <c:spPr>
            <a:ln w="12700" cap="rnd">
              <a:solidFill>
                <a:srgbClr val="CA220E"/>
              </a:solidFill>
              <a:prstDash val="dash"/>
              <a:round/>
            </a:ln>
          </c:spPr>
          <c:marker>
            <c:symbol val="none"/>
          </c:marker>
          <c:xVal>
            <c:numRef>
              <c:f>Diagrammdaten!$L$329:$L$358</c:f>
              <c:numCache>
                <c:formatCode>General</c:formatCode>
                <c:ptCount val="30"/>
                <c:pt idx="0">
                  <c:v>47.884000000000071</c:v>
                </c:pt>
                <c:pt idx="1">
                  <c:v>53.722022368973626</c:v>
                </c:pt>
                <c:pt idx="2">
                  <c:v>59.56004473794718</c:v>
                </c:pt>
                <c:pt idx="3">
                  <c:v>65.39806710692072</c:v>
                </c:pt>
                <c:pt idx="4">
                  <c:v>71.236089475894275</c:v>
                </c:pt>
                <c:pt idx="5">
                  <c:v>77.074111844867829</c:v>
                </c:pt>
                <c:pt idx="6">
                  <c:v>82.91213421384137</c:v>
                </c:pt>
                <c:pt idx="7">
                  <c:v>88.750156582814924</c:v>
                </c:pt>
                <c:pt idx="8">
                  <c:v>94.588178951788478</c:v>
                </c:pt>
                <c:pt idx="9">
                  <c:v>100.42620132076203</c:v>
                </c:pt>
                <c:pt idx="10">
                  <c:v>106.26422368973559</c:v>
                </c:pt>
                <c:pt idx="11">
                  <c:v>112.10224605870913</c:v>
                </c:pt>
                <c:pt idx="12">
                  <c:v>117.94026842768268</c:v>
                </c:pt>
                <c:pt idx="13">
                  <c:v>123.77829079665624</c:v>
                </c:pt>
                <c:pt idx="14">
                  <c:v>129.61631316562978</c:v>
                </c:pt>
                <c:pt idx="15">
                  <c:v>135.45433553460333</c:v>
                </c:pt>
                <c:pt idx="16">
                  <c:v>141.29235790357689</c:v>
                </c:pt>
                <c:pt idx="17">
                  <c:v>147.13038027255044</c:v>
                </c:pt>
                <c:pt idx="18">
                  <c:v>152.96840264152399</c:v>
                </c:pt>
                <c:pt idx="19">
                  <c:v>158.80642501049755</c:v>
                </c:pt>
                <c:pt idx="20">
                  <c:v>164.6444473794711</c:v>
                </c:pt>
                <c:pt idx="21">
                  <c:v>170.48246974844466</c:v>
                </c:pt>
                <c:pt idx="22">
                  <c:v>176.32049211741818</c:v>
                </c:pt>
                <c:pt idx="23">
                  <c:v>182.15851448639174</c:v>
                </c:pt>
                <c:pt idx="24">
                  <c:v>187.99653685536529</c:v>
                </c:pt>
                <c:pt idx="25">
                  <c:v>193.83455922433885</c:v>
                </c:pt>
                <c:pt idx="26">
                  <c:v>199.6725815933124</c:v>
                </c:pt>
                <c:pt idx="27">
                  <c:v>205.51060396228596</c:v>
                </c:pt>
                <c:pt idx="28">
                  <c:v>211.34862633125948</c:v>
                </c:pt>
                <c:pt idx="29">
                  <c:v>217.18664870023304</c:v>
                </c:pt>
              </c:numCache>
            </c:numRef>
          </c:xVal>
          <c:yVal>
            <c:numRef>
              <c:f>Diagrammdaten!$K$329:$K$358</c:f>
              <c:numCache>
                <c:formatCode>General</c:formatCode>
                <c:ptCount val="30"/>
                <c:pt idx="0">
                  <c:v>2.4780051259929632</c:v>
                </c:pt>
                <c:pt idx="1">
                  <c:v>3.2104599332675336</c:v>
                </c:pt>
                <c:pt idx="2">
                  <c:v>4.0147345983788778</c:v>
                </c:pt>
                <c:pt idx="3">
                  <c:v>4.8949818046756448</c:v>
                </c:pt>
                <c:pt idx="4">
                  <c:v>5.8564245962950601</c:v>
                </c:pt>
                <c:pt idx="5">
                  <c:v>6.9029427794701999</c:v>
                </c:pt>
                <c:pt idx="6">
                  <c:v>8.0394947701484778</c:v>
                </c:pt>
                <c:pt idx="7">
                  <c:v>9.2713091561138921</c:v>
                </c:pt>
                <c:pt idx="8">
                  <c:v>10.603085389059821</c:v>
                </c:pt>
                <c:pt idx="9">
                  <c:v>12.039852172418426</c:v>
                </c:pt>
                <c:pt idx="10">
                  <c:v>13.586873765952987</c:v>
                </c:pt>
                <c:pt idx="11">
                  <c:v>15.249592936904534</c:v>
                </c:pt>
                <c:pt idx="12">
                  <c:v>17.033658727159636</c:v>
                </c:pt>
                <c:pt idx="13">
                  <c:v>18.945376817165933</c:v>
                </c:pt>
                <c:pt idx="14">
                  <c:v>20.990785665133657</c:v>
                </c:pt>
                <c:pt idx="15">
                  <c:v>23.176208762572006</c:v>
                </c:pt>
                <c:pt idx="16">
                  <c:v>25.508607393240041</c:v>
                </c:pt>
                <c:pt idx="17">
                  <c:v>27.995474228307575</c:v>
                </c:pt>
                <c:pt idx="18">
                  <c:v>30.644973518769611</c:v>
                </c:pt>
                <c:pt idx="19">
                  <c:v>33.466550208449242</c:v>
                </c:pt>
                <c:pt idx="20">
                  <c:v>36.470502620113258</c:v>
                </c:pt>
                <c:pt idx="21">
                  <c:v>39.668178690413654</c:v>
                </c:pt>
                <c:pt idx="22">
                  <c:v>43.073587576943865</c:v>
                </c:pt>
                <c:pt idx="23">
                  <c:v>46.703908661604409</c:v>
                </c:pt>
                <c:pt idx="24">
                  <c:v>50.58211318954023</c:v>
                </c:pt>
                <c:pt idx="25">
                  <c:v>54.739597871776695</c:v>
                </c:pt>
                <c:pt idx="26">
                  <c:v>59.295247173517502</c:v>
                </c:pt>
                <c:pt idx="27">
                  <c:v>64.156072857380096</c:v>
                </c:pt>
                <c:pt idx="28">
                  <c:v>69.693005578099459</c:v>
                </c:pt>
                <c:pt idx="29">
                  <c:v>77.896473762668705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67BD0CDD-E244-45B9-9C95-B9540A77C2B4}"/>
            </c:ext>
          </c:extLst>
        </c:ser>
        <c:ser>
          <c:idx val="14"/>
          <c:order val="9"/>
          <c:tx>
            <c:v>S2: verdichten → überkritisch kühlen → pumpen</c:v>
          </c:tx>
          <c:spPr>
            <a:ln w="28575">
              <a:solidFill>
                <a:srgbClr val="0476D9"/>
              </a:solidFill>
            </a:ln>
          </c:spPr>
          <c:marker>
            <c:symbol val="circle"/>
            <c:size val="6"/>
            <c:spPr>
              <a:solidFill>
                <a:srgbClr val="0476D9"/>
              </a:solidFill>
              <a:ln>
                <a:solidFill>
                  <a:srgbClr val="0476D9"/>
                </a:solidFill>
              </a:ln>
            </c:spPr>
          </c:marker>
          <c:xVal>
            <c:numRef>
              <c:f>Diagrammdaten!$L$128:$L$133</c:f>
              <c:numCache>
                <c:formatCode>General</c:formatCode>
                <c:ptCount val="6"/>
                <c:pt idx="0">
                  <c:v>191</c:v>
                </c:pt>
                <c:pt idx="1">
                  <c:v>275.99996894817946</c:v>
                </c:pt>
                <c:pt idx="2">
                  <c:v>213</c:v>
                </c:pt>
                <c:pt idx="3">
                  <c:v>315.75429467943798</c:v>
                </c:pt>
                <c:pt idx="4">
                  <c:v>213</c:v>
                </c:pt>
                <c:pt idx="5">
                  <c:v>224.49938892528485</c:v>
                </c:pt>
              </c:numCache>
            </c:numRef>
          </c:xVal>
          <c:yVal>
            <c:numRef>
              <c:f>Diagrammdaten!$K$128:$K$133</c:f>
              <c:numCache>
                <c:formatCode>General</c:formatCode>
                <c:ptCount val="6"/>
                <c:pt idx="0">
                  <c:v>30</c:v>
                </c:pt>
                <c:pt idx="1">
                  <c:v>50</c:v>
                </c:pt>
                <c:pt idx="2">
                  <c:v>50</c:v>
                </c:pt>
                <c:pt idx="3">
                  <c:v>91</c:v>
                </c:pt>
                <c:pt idx="4">
                  <c:v>91</c:v>
                </c:pt>
                <c:pt idx="5">
                  <c:v>114.93130198208927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497-47FC-8DC3-5ACFE91589D0}"/>
            </c:ext>
          </c:extLst>
        </c:ser>
        <c:ser>
          <c:idx val="9"/>
          <c:order val="10"/>
          <c:tx>
            <c:v>Sublimationslinie</c:v>
          </c:tx>
          <c:spPr>
            <a:ln w="19050">
              <a:solidFill>
                <a:srgbClr val="333333"/>
              </a:solidFill>
            </a:ln>
          </c:spPr>
          <c:marker>
            <c:symbol val="none"/>
          </c:marker>
          <c:xVal>
            <c:numRef>
              <c:f>Diagrammdaten!$L$79:$L$103</c:f>
              <c:numCache>
                <c:formatCode>General</c:formatCode>
                <c:ptCount val="25"/>
                <c:pt idx="0">
                  <c:v>1</c:v>
                </c:pt>
                <c:pt idx="1">
                  <c:v>2.9535999999999945</c:v>
                </c:pt>
                <c:pt idx="2">
                  <c:v>4.9070000000000107</c:v>
                </c:pt>
                <c:pt idx="3">
                  <c:v>6.8606000000000051</c:v>
                </c:pt>
                <c:pt idx="4">
                  <c:v>8.813999999999993</c:v>
                </c:pt>
                <c:pt idx="5">
                  <c:v>10.767599999999987</c:v>
                </c:pt>
                <c:pt idx="6">
                  <c:v>12.721000000000004</c:v>
                </c:pt>
                <c:pt idx="7">
                  <c:v>14.674599999999998</c:v>
                </c:pt>
                <c:pt idx="8">
                  <c:v>16.627999999999986</c:v>
                </c:pt>
                <c:pt idx="9">
                  <c:v>18.581600000000009</c:v>
                </c:pt>
                <c:pt idx="10">
                  <c:v>20.534999999999997</c:v>
                </c:pt>
                <c:pt idx="11">
                  <c:v>22.488599999999991</c:v>
                </c:pt>
                <c:pt idx="12">
                  <c:v>24.442000000000007</c:v>
                </c:pt>
                <c:pt idx="13">
                  <c:v>26.395600000000002</c:v>
                </c:pt>
                <c:pt idx="14">
                  <c:v>28.34899999999999</c:v>
                </c:pt>
                <c:pt idx="15">
                  <c:v>30.302600000000012</c:v>
                </c:pt>
                <c:pt idx="16">
                  <c:v>32.256</c:v>
                </c:pt>
                <c:pt idx="17">
                  <c:v>34.209599999999995</c:v>
                </c:pt>
                <c:pt idx="18">
                  <c:v>36.162999999999997</c:v>
                </c:pt>
                <c:pt idx="19">
                  <c:v>38.116600000000005</c:v>
                </c:pt>
                <c:pt idx="20">
                  <c:v>40.069999999999993</c:v>
                </c:pt>
                <c:pt idx="21">
                  <c:v>42.023600000000002</c:v>
                </c:pt>
                <c:pt idx="22">
                  <c:v>43.977000000000004</c:v>
                </c:pt>
                <c:pt idx="23">
                  <c:v>45.930599999999998</c:v>
                </c:pt>
                <c:pt idx="24">
                  <c:v>47.884</c:v>
                </c:pt>
              </c:numCache>
            </c:numRef>
          </c:xVal>
          <c:yVal>
            <c:numRef>
              <c:f>Diagrammdaten!$K$79:$K$103</c:f>
              <c:numCache>
                <c:formatCode>General</c:formatCode>
                <c:ptCount val="25"/>
                <c:pt idx="0">
                  <c:v>0.89239999999999997</c:v>
                </c:pt>
                <c:pt idx="1">
                  <c:v>0.9677</c:v>
                </c:pt>
                <c:pt idx="2">
                  <c:v>1.0486</c:v>
                </c:pt>
                <c:pt idx="3">
                  <c:v>1.1353</c:v>
                </c:pt>
                <c:pt idx="4">
                  <c:v>1.2282999999999999</c:v>
                </c:pt>
                <c:pt idx="5">
                  <c:v>1.3280000000000001</c:v>
                </c:pt>
                <c:pt idx="6">
                  <c:v>1.4346000000000001</c:v>
                </c:pt>
                <c:pt idx="7">
                  <c:v>1.5488</c:v>
                </c:pt>
                <c:pt idx="8">
                  <c:v>1.6709000000000001</c:v>
                </c:pt>
                <c:pt idx="9">
                  <c:v>1.8013999999999999</c:v>
                </c:pt>
                <c:pt idx="10">
                  <c:v>1.9408000000000001</c:v>
                </c:pt>
                <c:pt idx="11">
                  <c:v>2.0897000000000001</c:v>
                </c:pt>
                <c:pt idx="12">
                  <c:v>2.2484999999999999</c:v>
                </c:pt>
                <c:pt idx="13">
                  <c:v>2.4180000000000001</c:v>
                </c:pt>
                <c:pt idx="14">
                  <c:v>2.5985</c:v>
                </c:pt>
                <c:pt idx="15">
                  <c:v>2.7909999999999999</c:v>
                </c:pt>
                <c:pt idx="16">
                  <c:v>2.9958999999999998</c:v>
                </c:pt>
                <c:pt idx="17">
                  <c:v>3.214</c:v>
                </c:pt>
                <c:pt idx="18">
                  <c:v>3.4462000000000002</c:v>
                </c:pt>
                <c:pt idx="19">
                  <c:v>3.6930000000000001</c:v>
                </c:pt>
                <c:pt idx="20">
                  <c:v>3.9554999999999998</c:v>
                </c:pt>
                <c:pt idx="21">
                  <c:v>4.2343999999999999</c:v>
                </c:pt>
                <c:pt idx="22">
                  <c:v>4.5308000000000002</c:v>
                </c:pt>
                <c:pt idx="23">
                  <c:v>4.8455000000000004</c:v>
                </c:pt>
                <c:pt idx="24">
                  <c:v>5.1795999999999998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97-47FC-8DC3-5ACFE91589D0}"/>
            </c:ext>
          </c:extLst>
        </c:ser>
        <c:ser>
          <c:idx val="10"/>
          <c:order val="11"/>
          <c:tx>
            <c:v>Schmelzlinie</c:v>
          </c:tx>
          <c:spPr>
            <a:ln w="19050">
              <a:solidFill>
                <a:srgbClr val="5F2176"/>
              </a:solidFill>
            </a:ln>
          </c:spPr>
          <c:marker>
            <c:symbol val="none"/>
          </c:marker>
          <c:xVal>
            <c:numRef>
              <c:f>Diagrammdaten!$L$105:$L$119</c:f>
              <c:numCache>
                <c:formatCode>General</c:formatCode>
                <c:ptCount val="15"/>
                <c:pt idx="0">
                  <c:v>47.884</c:v>
                </c:pt>
                <c:pt idx="1">
                  <c:v>48.613799999999998</c:v>
                </c:pt>
                <c:pt idx="2">
                  <c:v>49.343599999999995</c:v>
                </c:pt>
                <c:pt idx="3">
                  <c:v>50.073400000000007</c:v>
                </c:pt>
                <c:pt idx="4">
                  <c:v>50.803200000000004</c:v>
                </c:pt>
                <c:pt idx="5">
                  <c:v>51.532799999999995</c:v>
                </c:pt>
                <c:pt idx="6">
                  <c:v>52.262600000000006</c:v>
                </c:pt>
                <c:pt idx="7">
                  <c:v>52.992400000000004</c:v>
                </c:pt>
                <c:pt idx="8">
                  <c:v>53.722200000000001</c:v>
                </c:pt>
                <c:pt idx="9">
                  <c:v>54.451999999999998</c:v>
                </c:pt>
                <c:pt idx="10">
                  <c:v>55.181799999999996</c:v>
                </c:pt>
                <c:pt idx="11">
                  <c:v>55.911600000000007</c:v>
                </c:pt>
                <c:pt idx="12">
                  <c:v>56.641400000000004</c:v>
                </c:pt>
                <c:pt idx="13">
                  <c:v>57.371200000000002</c:v>
                </c:pt>
                <c:pt idx="14">
                  <c:v>58.100800000000007</c:v>
                </c:pt>
              </c:numCache>
            </c:numRef>
          </c:xVal>
          <c:yVal>
            <c:numRef>
              <c:f>Diagrammdaten!$K$105:$K$119</c:f>
              <c:numCache>
                <c:formatCode>General</c:formatCode>
                <c:ptCount val="15"/>
                <c:pt idx="0">
                  <c:v>5.1795999999999998</c:v>
                </c:pt>
                <c:pt idx="1">
                  <c:v>22.274000000000001</c:v>
                </c:pt>
                <c:pt idx="2">
                  <c:v>39.428800000000003</c:v>
                </c:pt>
                <c:pt idx="3">
                  <c:v>56.643999999999998</c:v>
                </c:pt>
                <c:pt idx="4">
                  <c:v>73.919700000000006</c:v>
                </c:pt>
                <c:pt idx="5">
                  <c:v>91.255700000000004</c:v>
                </c:pt>
                <c:pt idx="6">
                  <c:v>108.6523</c:v>
                </c:pt>
                <c:pt idx="7">
                  <c:v>126.1092</c:v>
                </c:pt>
                <c:pt idx="8">
                  <c:v>143.6266</c:v>
                </c:pt>
                <c:pt idx="9">
                  <c:v>161.20439999999999</c:v>
                </c:pt>
                <c:pt idx="10">
                  <c:v>178.84270000000001</c:v>
                </c:pt>
                <c:pt idx="11">
                  <c:v>196.54130000000001</c:v>
                </c:pt>
                <c:pt idx="12">
                  <c:v>214.3005</c:v>
                </c:pt>
                <c:pt idx="13">
                  <c:v>232.12</c:v>
                </c:pt>
                <c:pt idx="14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497-47FC-8DC3-5ACFE91589D0}"/>
            </c:ext>
          </c:extLst>
        </c:ser>
        <c:ser>
          <c:idx val="11"/>
          <c:order val="12"/>
          <c:tx>
            <c:v>Tripelpunkt</c:v>
          </c:tx>
          <c:spPr>
            <a:ln>
              <a:noFill/>
            </a:ln>
          </c:spPr>
          <c:marker>
            <c:symbol val="circle"/>
            <c:size val="6"/>
            <c:spPr>
              <a:solidFill>
                <a:srgbClr val="000000"/>
              </a:solidFill>
              <a:ln>
                <a:solidFill>
                  <a:srgbClr val="000000"/>
                </a:solidFill>
              </a:ln>
            </c:spPr>
          </c:marker>
          <c:xVal>
            <c:numRef>
              <c:f>Diagrammdaten!$L$121</c:f>
              <c:numCache>
                <c:formatCode>General</c:formatCode>
                <c:ptCount val="1"/>
                <c:pt idx="0">
                  <c:v>47.884</c:v>
                </c:pt>
              </c:numCache>
            </c:numRef>
          </c:xVal>
          <c:yVal>
            <c:numRef>
              <c:f>Diagrammdaten!$K$121</c:f>
              <c:numCache>
                <c:formatCode>General</c:formatCode>
                <c:ptCount val="1"/>
                <c:pt idx="0">
                  <c:v>5.1795999999999998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497-47FC-8DC3-5ACFE91589D0}"/>
            </c:ext>
          </c:extLst>
        </c:ser>
        <c:ser>
          <c:idx val="12"/>
          <c:order val="13"/>
          <c:tx>
            <c:v>Kritischer Punkt Gemisch</c:v>
          </c:tx>
          <c:spPr>
            <a:ln>
              <a:noFill/>
            </a:ln>
          </c:spPr>
          <c:marker>
            <c:symbol val="circle"/>
            <c:size val="8"/>
            <c:spPr>
              <a:solidFill>
                <a:srgbClr val="CA220E"/>
              </a:solidFill>
              <a:ln>
                <a:solidFill>
                  <a:srgbClr val="CA220E"/>
                </a:solidFill>
              </a:ln>
            </c:spPr>
          </c:marker>
          <c:xVal>
            <c:numRef>
              <c:f>Diagrammdaten!$L$123</c:f>
              <c:numCache>
                <c:formatCode>General</c:formatCode>
                <c:ptCount val="1"/>
                <c:pt idx="0">
                  <c:v>216.90944254906549</c:v>
                </c:pt>
              </c:numCache>
            </c:numRef>
          </c:xVal>
          <c:yVal>
            <c:numRef>
              <c:f>Diagrammdaten!$K$123</c:f>
              <c:numCache>
                <c:formatCode>General</c:formatCode>
                <c:ptCount val="1"/>
                <c:pt idx="0">
                  <c:v>81.455055721913254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497-47FC-8DC3-5ACFE91589D0}"/>
            </c:ext>
          </c:extLst>
        </c:ser>
        <c:ser>
          <c:idx val="13"/>
          <c:order val="14"/>
          <c:tx>
            <c:v>S1: Pumpe</c:v>
          </c:tx>
          <c:spPr>
            <a:ln w="34925">
              <a:solidFill>
                <a:srgbClr val="007335"/>
              </a:solidFill>
            </a:ln>
          </c:spPr>
          <c:marker>
            <c:symbol val="diamond"/>
            <c:size val="8"/>
            <c:spPr>
              <a:solidFill>
                <a:srgbClr val="007335"/>
              </a:solidFill>
              <a:ln>
                <a:solidFill>
                  <a:srgbClr val="007335"/>
                </a:solidFill>
              </a:ln>
            </c:spPr>
          </c:marker>
          <c:xVal>
            <c:numRef>
              <c:f>Diagrammdaten!$L$125:$L$126</c:f>
              <c:numCache>
                <c:formatCode>General</c:formatCode>
                <c:ptCount val="2"/>
                <c:pt idx="0">
                  <c:v>191</c:v>
                </c:pt>
                <c:pt idx="1">
                  <c:v>197.79123845340376</c:v>
                </c:pt>
              </c:numCache>
            </c:numRef>
          </c:xVal>
          <c:yVal>
            <c:numRef>
              <c:f>Diagrammdaten!$K$125:$K$126</c:f>
              <c:numCache>
                <c:formatCode>General</c:formatCode>
                <c:ptCount val="2"/>
                <c:pt idx="0">
                  <c:v>91</c:v>
                </c:pt>
                <c:pt idx="1">
                  <c:v>114.93130198208927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497-47FC-8DC3-5ACFE91589D0}"/>
            </c:ext>
          </c:extLst>
        </c:ser>
        <c:ser>
          <c:idx val="16"/>
          <c:order val="15"/>
          <c:tx>
            <c:v>Vergleich: Durchverdichten (2 Stufen)</c:v>
          </c:tx>
          <c:spPr>
            <a:ln w="19050">
              <a:solidFill>
                <a:srgbClr val="7030A0"/>
              </a:solidFill>
              <a:prstDash val="dash"/>
            </a:ln>
          </c:spPr>
          <c:marker>
            <c:symbol val="circle"/>
            <c:size val="4"/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xVal>
            <c:numRef>
              <c:f>Diagrammdaten!$L$138:$L$142</c:f>
              <c:numCache>
                <c:formatCode>General</c:formatCode>
                <c:ptCount val="5"/>
                <c:pt idx="0">
                  <c:v>191</c:v>
                </c:pt>
                <c:pt idx="1">
                  <c:v>282.87678547992414</c:v>
                </c:pt>
                <c:pt idx="2">
                  <c:v>213</c:v>
                </c:pt>
                <c:pt idx="3">
                  <c:v>350.49146766260105</c:v>
                </c:pt>
                <c:pt idx="4">
                  <c:v>224.49938892528485</c:v>
                </c:pt>
              </c:numCache>
            </c:numRef>
          </c:xVal>
          <c:yVal>
            <c:numRef>
              <c:f>Diagrammdaten!$K$138:$K$142</c:f>
              <c:numCache>
                <c:formatCode>General</c:formatCode>
                <c:ptCount val="5"/>
                <c:pt idx="0">
                  <c:v>30</c:v>
                </c:pt>
                <c:pt idx="1">
                  <c:v>52</c:v>
                </c:pt>
                <c:pt idx="2">
                  <c:v>52</c:v>
                </c:pt>
                <c:pt idx="3">
                  <c:v>114.93130198208927</c:v>
                </c:pt>
                <c:pt idx="4">
                  <c:v>114.93130198208927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5497-47FC-8DC3-5ACFE91589D0}"/>
            </c:ext>
          </c:extLst>
        </c:ser>
        <c:ser>
          <c:idx val="17"/>
          <c:order val="16"/>
          <c:tx>
            <c:v>Beschriftung Phasengebiete E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404040"/>
                        </a:solidFill>
                      </a:rPr>
                      <a:t>fest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5497-47FC-8DC3-5ACFE91589D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404040"/>
                        </a:solidFill>
                      </a:rPr>
                      <a:t>flüssig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5497-47FC-8DC3-5ACFE91589D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404040"/>
                        </a:solidFill>
                      </a:rPr>
                      <a:t>gasförmig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5497-47FC-8DC3-5ACFE91589D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404040"/>
                        </a:solidFill>
                      </a:rPr>
                      <a:t>überkritisch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5497-47FC-8DC3-5ACFE91589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CA220E"/>
                        </a:solidFill>
                      </a:rPr>
                      <a:t>zweiphasig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F1C76B3A-1B70-4E0D-97B2-B0AE772C0073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Diagrammdaten!$L$144:$L$148</c:f>
              <c:numCache>
                <c:formatCode>General</c:formatCode>
                <c:ptCount val="5"/>
                <c:pt idx="0">
                  <c:v>19</c:v>
                </c:pt>
                <c:pt idx="1">
                  <c:v>101</c:v>
                </c:pt>
                <c:pt idx="2">
                  <c:v>305</c:v>
                </c:pt>
                <c:pt idx="3">
                  <c:v>331</c:v>
                </c:pt>
                <c:pt idx="4">
                  <c:v>117</c:v>
                </c:pt>
              </c:numCache>
            </c:numRef>
          </c:xVal>
          <c:yVal>
            <c:numRef>
              <c:f>Diagrammdaten!$K$144:$K$148</c:f>
              <c:numCache>
                <c:formatCode>General</c:formatCode>
                <c:ptCount val="5"/>
                <c:pt idx="0">
                  <c:v>70</c:v>
                </c:pt>
                <c:pt idx="1">
                  <c:v>105</c:v>
                </c:pt>
                <c:pt idx="2">
                  <c:v>12</c:v>
                </c:pt>
                <c:pt idx="3">
                  <c:v>120</c:v>
                </c:pt>
                <c:pt idx="4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497-47FC-8DC3-5ACFE91589D0}"/>
            </c:ext>
          </c:extLst>
        </c:ser>
        <c:ser>
          <c:idx val="18"/>
          <c:order val="17"/>
          <c:tx>
            <c:v>Beschriftung Punkte E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404040"/>
                        </a:solidFill>
                      </a:rPr>
                      <a:t>S1 Netzübergabe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5497-47FC-8DC3-5ACFE91589D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404040"/>
                        </a:solidFill>
                      </a:rPr>
                      <a:t>S2 Netzübergabe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5497-47FC-8DC3-5ACFE91589D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404040"/>
                        </a:solidFill>
                      </a:rPr>
                      <a:t>Verdichter 2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5497-47FC-8DC3-5ACFE91589D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404040"/>
                        </a:solidFill>
                      </a:rPr>
                      <a:t>Kühler 91 bar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5497-47FC-8DC3-5ACFE91589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404040"/>
                        </a:solidFill>
                      </a:rPr>
                      <a:t>Bohrlochkopf 114,9 bar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5497-47FC-8DC3-5ACFE91589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404040"/>
                        </a:solidFill>
                      </a:rPr>
                      <a:t>Verdichter 1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5497-47FC-8DC3-5ACFE91589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404040"/>
                        </a:solidFill>
                      </a:rPr>
                      <a:t>Zwischenkühler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5497-47FC-8DC3-5ACFE91589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404040"/>
                        </a:solidFill>
                      </a:rPr>
                      <a:t>Durchverdichten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5497-47FC-8DC3-5ACFE91589D0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Diagrammdaten!$L$149:$L$156</c:f>
              <c:numCache>
                <c:formatCode>General</c:formatCode>
                <c:ptCount val="8"/>
                <c:pt idx="0">
                  <c:v>163</c:v>
                </c:pt>
                <c:pt idx="1">
                  <c:v>191</c:v>
                </c:pt>
                <c:pt idx="2">
                  <c:v>337.75429467943798</c:v>
                </c:pt>
                <c:pt idx="3">
                  <c:v>257</c:v>
                </c:pt>
                <c:pt idx="4">
                  <c:v>207</c:v>
                </c:pt>
                <c:pt idx="5">
                  <c:v>295.99996894817946</c:v>
                </c:pt>
                <c:pt idx="6">
                  <c:v>241</c:v>
                </c:pt>
                <c:pt idx="7">
                  <c:v>355</c:v>
                </c:pt>
              </c:numCache>
            </c:numRef>
          </c:xVal>
          <c:yVal>
            <c:numRef>
              <c:f>Diagrammdaten!$K$149:$K$156</c:f>
              <c:numCache>
                <c:formatCode>General</c:formatCode>
                <c:ptCount val="8"/>
                <c:pt idx="0">
                  <c:v>91</c:v>
                </c:pt>
                <c:pt idx="1">
                  <c:v>25</c:v>
                </c:pt>
                <c:pt idx="2">
                  <c:v>86</c:v>
                </c:pt>
                <c:pt idx="3">
                  <c:v>95</c:v>
                </c:pt>
                <c:pt idx="4">
                  <c:v>120.93130198208927</c:v>
                </c:pt>
                <c:pt idx="5">
                  <c:v>45</c:v>
                </c:pt>
                <c:pt idx="6">
                  <c:v>54</c:v>
                </c:pt>
                <c:pt idx="7">
                  <c:v>106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5497-47FC-8DC3-5ACFE91589D0}"/>
            </c:ext>
          </c:extLst>
        </c:ser>
        <c:ser>
          <c:idx val="20"/>
          <c:order val="18"/>
          <c:tx>
            <c:v>ρ = 500 kg/m³ (Gemisch)</c:v>
          </c:tx>
          <c:spPr>
            <a:ln w="19050" cap="rnd">
              <a:solidFill>
                <a:srgbClr val="EE7203"/>
              </a:solidFill>
              <a:prstDash val="dot"/>
            </a:ln>
          </c:spPr>
          <c:marker>
            <c:symbol val="none"/>
          </c:marker>
          <c:xVal>
            <c:numRef>
              <c:f>Diagrammdaten!$L$367:$L$378</c:f>
              <c:numCache>
                <c:formatCode>General</c:formatCode>
                <c:ptCount val="12"/>
                <c:pt idx="0">
                  <c:v>217.85134356035329</c:v>
                </c:pt>
                <c:pt idx="1">
                  <c:v>222.00349837929957</c:v>
                </c:pt>
                <c:pt idx="2">
                  <c:v>226.12709398633615</c:v>
                </c:pt>
                <c:pt idx="3">
                  <c:v>230.22967074606737</c:v>
                </c:pt>
                <c:pt idx="4">
                  <c:v>234.31034545220444</c:v>
                </c:pt>
                <c:pt idx="5">
                  <c:v>238.37850541109458</c:v>
                </c:pt>
                <c:pt idx="6">
                  <c:v>242.43380590193343</c:v>
                </c:pt>
                <c:pt idx="7">
                  <c:v>246.47248541967753</c:v>
                </c:pt>
                <c:pt idx="8">
                  <c:v>250.50384302228866</c:v>
                </c:pt>
                <c:pt idx="9">
                  <c:v>254.52588197435807</c:v>
                </c:pt>
                <c:pt idx="10">
                  <c:v>258.53954055736733</c:v>
                </c:pt>
                <c:pt idx="11">
                  <c:v>262.54403313554269</c:v>
                </c:pt>
              </c:numCache>
            </c:numRef>
          </c:xVal>
          <c:yVal>
            <c:numRef>
              <c:f>Diagrammdaten!$K$367:$K$378</c:f>
              <c:numCache>
                <c:formatCode>General</c:formatCode>
                <c:ptCount val="12"/>
                <c:pt idx="0">
                  <c:v>84</c:v>
                </c:pt>
                <c:pt idx="1">
                  <c:v>88</c:v>
                </c:pt>
                <c:pt idx="2">
                  <c:v>92</c:v>
                </c:pt>
                <c:pt idx="3">
                  <c:v>96</c:v>
                </c:pt>
                <c:pt idx="4">
                  <c:v>100</c:v>
                </c:pt>
                <c:pt idx="5">
                  <c:v>104</c:v>
                </c:pt>
                <c:pt idx="6">
                  <c:v>108</c:v>
                </c:pt>
                <c:pt idx="7">
                  <c:v>112</c:v>
                </c:pt>
                <c:pt idx="8">
                  <c:v>116</c:v>
                </c:pt>
                <c:pt idx="9">
                  <c:v>120</c:v>
                </c:pt>
                <c:pt idx="10">
                  <c:v>124</c:v>
                </c:pt>
                <c:pt idx="11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5B-45C4-BC33-2207877AA8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080001"/>
        <c:axId val="60080002"/>
      </c:scatterChart>
      <c:catAx>
        <c:axId val="5008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aseline="0"/>
                </a:pPr>
                <a:r>
                  <a:rPr lang="en-US" sz="1000" baseline="0"/>
                  <a:t>Temperatur [°C]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900" baseline="0"/>
            </a:pPr>
            <a:endParaRPr lang="en-US"/>
          </a:p>
        </c:txPr>
        <c:crossAx val="50080002"/>
        <c:crosses val="autoZero"/>
        <c:auto val="1"/>
        <c:lblAlgn val="ctr"/>
        <c:lblOffset val="100"/>
        <c:tickLblSkip val="40"/>
        <c:tickMarkSkip val="40"/>
        <c:noMultiLvlLbl val="0"/>
      </c:catAx>
      <c:valAx>
        <c:axId val="50080002"/>
        <c:scaling>
          <c:orientation val="minMax"/>
          <c:max val="130"/>
          <c:min val="0"/>
        </c:scaling>
        <c:delete val="0"/>
        <c:axPos val="l"/>
        <c:majorGridlines>
          <c:spPr>
            <a:ln w="6350">
              <a:solidFill>
                <a:srgbClr val="FFFFFF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aseline="0"/>
                </a:pPr>
                <a:r>
                  <a:rPr lang="en-US" sz="1000" baseline="0"/>
                  <a:t>Druck [bar]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80001"/>
        <c:crosses val="autoZero"/>
        <c:crossBetween val="between"/>
        <c:majorUnit val="10"/>
      </c:valAx>
      <c:valAx>
        <c:axId val="60080002"/>
        <c:scaling>
          <c:orientation val="minMax"/>
          <c:max val="130"/>
          <c:min val="0"/>
        </c:scaling>
        <c:delete val="1"/>
        <c:axPos val="r"/>
        <c:numFmt formatCode="General" sourceLinked="1"/>
        <c:majorTickMark val="out"/>
        <c:minorTickMark val="none"/>
        <c:tickLblPos val="nextTo"/>
        <c:crossAx val="60080001"/>
        <c:crosses val="max"/>
        <c:crossBetween val="midCat"/>
      </c:valAx>
      <c:valAx>
        <c:axId val="6008000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60080002"/>
        <c:crosses val="autoZero"/>
        <c:crossBetween val="midCat"/>
      </c:valAx>
    </c:plotArea>
    <c:legend>
      <c:legendPos val="r"/>
      <c:overlay val="0"/>
      <c:txPr>
        <a:bodyPr/>
        <a:lstStyle/>
        <a:p>
          <a:pPr>
            <a:defRPr sz="900" baseline="0"/>
          </a:pPr>
          <a:endParaRPr lang="en-US"/>
        </a:p>
      </c:txPr>
    </c:legend>
    <c:plotVisOnly val="1"/>
    <c:dispBlanksAs val="zero"/>
    <c:showDLblsOverMax val="0"/>
  </c:chart>
  <c:spPr>
    <a:ln>
      <a:solidFill>
        <a:srgbClr val="BFBFBF"/>
      </a:solidFill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>
                <a:solidFill>
                  <a:srgbClr val="00304F"/>
                </a:solidFill>
              </a:defRPr>
            </a:pPr>
            <a:r>
              <a:rPr lang="en-US" sz="1200" b="1" baseline="0">
                <a:solidFill>
                  <a:srgbClr val="00304F"/>
                </a:solidFill>
              </a:rPr>
              <a:t>NUR STILLSTAND – Bohrloch und Kaverne V1: Gassäulen für voll, Grenzfall und leer (nach Q-028, Fig. 3) – Worst-Case-Gemisch</a:t>
            </a:r>
          </a:p>
        </c:rich>
      </c:tx>
      <c:overlay val="0"/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Diagrammdaten!$D$7</c:f>
              <c:strCache>
                <c:ptCount val="1"/>
                <c:pt idx="0">
                  <c:v>gasförmig [bar]</c:v>
                </c:pt>
              </c:strCache>
            </c:strRef>
          </c:tx>
          <c:spPr>
            <a:solidFill>
              <a:srgbClr val="CFE2F3"/>
            </a:solidFill>
            <a:ln>
              <a:noFill/>
            </a:ln>
          </c:spPr>
          <c:cat>
            <c:strRef>
              <c:f>Diagrammdaten!$C$8:$C$388</c:f>
              <c:strCache>
                <c:ptCount val="361"/>
                <c:pt idx="0">
                  <c:v>-80</c:v>
                </c:pt>
                <c:pt idx="40">
                  <c:v>-60</c:v>
                </c:pt>
                <c:pt idx="80">
                  <c:v>-40</c:v>
                </c:pt>
                <c:pt idx="120">
                  <c:v>-20</c:v>
                </c:pt>
                <c:pt idx="160">
                  <c:v>0</c:v>
                </c:pt>
                <c:pt idx="200">
                  <c:v>20</c:v>
                </c:pt>
                <c:pt idx="240">
                  <c:v>40</c:v>
                </c:pt>
                <c:pt idx="280">
                  <c:v>60</c:v>
                </c:pt>
                <c:pt idx="320">
                  <c:v>80</c:v>
                </c:pt>
                <c:pt idx="360">
                  <c:v>100</c:v>
                </c:pt>
              </c:strCache>
            </c:strRef>
          </c:cat>
          <c:val>
            <c:numRef>
              <c:f>Diagrammdaten!$D$8:$D$388</c:f>
              <c:numCache>
                <c:formatCode>General</c:formatCode>
                <c:ptCount val="381"/>
                <c:pt idx="0">
                  <c:v>0.89241567971802016</c:v>
                </c:pt>
                <c:pt idx="1">
                  <c:v>0.93029797403040304</c:v>
                </c:pt>
                <c:pt idx="2">
                  <c:v>0.96958837381022944</c:v>
                </c:pt>
                <c:pt idx="3">
                  <c:v>1.010331934508877</c:v>
                </c:pt>
                <c:pt idx="4">
                  <c:v>1.0525749397826214</c:v>
                </c:pt>
                <c:pt idx="5">
                  <c:v>1.0963649308553405</c:v>
                </c:pt>
                <c:pt idx="6">
                  <c:v>1.1417507366031867</c:v>
                </c:pt>
                <c:pt idx="7">
                  <c:v>1.1887825043863187</c:v>
                </c:pt>
                <c:pt idx="8">
                  <c:v>1.2375117316542428</c:v>
                </c:pt>
                <c:pt idx="9">
                  <c:v>1.2879912983528754</c:v>
                </c:pt>
                <c:pt idx="10">
                  <c:v>1.340275500163288</c:v>
                </c:pt>
                <c:pt idx="11">
                  <c:v>1.3944200826039743</c:v>
                </c:pt>
                <c:pt idx="12">
                  <c:v>1.4504822760307026</c:v>
                </c:pt>
                <c:pt idx="13">
                  <c:v>1.5085208315704552</c:v>
                </c:pt>
                <c:pt idx="14">
                  <c:v>1.5685960580286391</c:v>
                </c:pt>
                <c:pt idx="15">
                  <c:v>1.6307698598119242</c:v>
                </c:pt>
                <c:pt idx="16">
                  <c:v>1.6951057759124981</c:v>
                </c:pt>
                <c:pt idx="17">
                  <c:v>1.7616690200035732</c:v>
                </c:pt>
                <c:pt idx="18">
                  <c:v>1.8305265217005857</c:v>
                </c:pt>
                <c:pt idx="19">
                  <c:v>1.901746969047835</c:v>
                </c:pt>
                <c:pt idx="20">
                  <c:v>1.9754008522965969</c:v>
                </c:pt>
                <c:pt idx="21">
                  <c:v>2.0515605090479743</c:v>
                </c:pt>
                <c:pt idx="22">
                  <c:v>2.1303001708424727</c:v>
                </c:pt>
                <c:pt idx="23">
                  <c:v>2.2116960112886028</c:v>
                </c:pt>
                <c:pt idx="24">
                  <c:v>2.2958261958352479</c:v>
                </c:pt>
                <c:pt idx="25">
                  <c:v>2.3827709333077967</c:v>
                </c:pt>
                <c:pt idx="26">
                  <c:v>2.4726125293466135</c:v>
                </c:pt>
                <c:pt idx="27">
                  <c:v>2.5654354419096896</c:v>
                </c:pt>
                <c:pt idx="28">
                  <c:v>2.6613263390304978</c:v>
                </c:pt>
                <c:pt idx="29">
                  <c:v>2.7603741590594004</c:v>
                </c:pt>
                <c:pt idx="30">
                  <c:v>2.862670173664994</c:v>
                </c:pt>
                <c:pt idx="31">
                  <c:v>2.9683080539352531</c:v>
                </c:pt>
                <c:pt idx="32">
                  <c:v>3.0773839400026244</c:v>
                </c:pt>
                <c:pt idx="33">
                  <c:v>3.1899965147323135</c:v>
                </c:pt>
                <c:pt idx="34">
                  <c:v>3.3062470821726935</c:v>
                </c:pt>
                <c:pt idx="35">
                  <c:v>3.426239651693705</c:v>
                </c:pt>
                <c:pt idx="36">
                  <c:v>3.5500810290707134</c:v>
                </c:pt>
                <c:pt idx="37">
                  <c:v>3.6778809162695403</c:v>
                </c:pt>
                <c:pt idx="38">
                  <c:v>3.8097520224647976</c:v>
                </c:pt>
                <c:pt idx="39">
                  <c:v>3.9458101900827693</c:v>
                </c:pt>
                <c:pt idx="40">
                  <c:v>4.0861745418042217</c:v>
                </c:pt>
                <c:pt idx="41">
                  <c:v>4.2309676583365281</c:v>
                </c:pt>
                <c:pt idx="42">
                  <c:v>4.3803158042993156</c:v>
                </c:pt>
                <c:pt idx="43">
                  <c:v>4.5343492356916677</c:v>
                </c:pt>
                <c:pt idx="44">
                  <c:v>4.6932026616762457</c:v>
                </c:pt>
                <c:pt idx="45">
                  <c:v>4.8570160489607197</c:v>
                </c:pt>
                <c:pt idx="46">
                  <c:v>5.0259364249698981</c:v>
                </c:pt>
                <c:pt idx="47">
                  <c:v>5.4919860799449749</c:v>
                </c:pt>
                <c:pt idx="48">
                  <c:v>5.6127439371801966</c:v>
                </c:pt>
                <c:pt idx="49">
                  <c:v>5.7355076682387329</c:v>
                </c:pt>
                <c:pt idx="50">
                  <c:v>5.8602987779670137</c:v>
                </c:pt>
                <c:pt idx="51">
                  <c:v>5.9871388591800443</c:v>
                </c:pt>
                <c:pt idx="52">
                  <c:v>6.1160495926643224</c:v>
                </c:pt>
                <c:pt idx="53">
                  <c:v>6.2470527471981425</c:v>
                </c:pt>
                <c:pt idx="54">
                  <c:v>6.3801701795764982</c:v>
                </c:pt>
                <c:pt idx="55">
                  <c:v>6.5154238347897238</c:v>
                </c:pt>
                <c:pt idx="56">
                  <c:v>6.6528357460767671</c:v>
                </c:pt>
                <c:pt idx="57">
                  <c:v>6.7924280351432822</c:v>
                </c:pt>
                <c:pt idx="58">
                  <c:v>6.9342229123897052</c:v>
                </c:pt>
                <c:pt idx="59">
                  <c:v>7.0782426771019722</c:v>
                </c:pt>
                <c:pt idx="60">
                  <c:v>7.2245097178489024</c:v>
                </c:pt>
                <c:pt idx="61">
                  <c:v>7.3730465127103502</c:v>
                </c:pt>
                <c:pt idx="62">
                  <c:v>7.5238756297246789</c:v>
                </c:pt>
                <c:pt idx="63">
                  <c:v>7.6770197272943728</c:v>
                </c:pt>
                <c:pt idx="64">
                  <c:v>7.8324218604236382</c:v>
                </c:pt>
                <c:pt idx="65">
                  <c:v>7.9903439524663922</c:v>
                </c:pt>
                <c:pt idx="66">
                  <c:v>8.1505698531683723</c:v>
                </c:pt>
                <c:pt idx="67">
                  <c:v>8.3132022818456477</c:v>
                </c:pt>
                <c:pt idx="68">
                  <c:v>8.4782643567241394</c:v>
                </c:pt>
                <c:pt idx="69">
                  <c:v>8.6457792899035155</c:v>
                </c:pt>
                <c:pt idx="70">
                  <c:v>8.8157703881778495</c:v>
                </c:pt>
                <c:pt idx="71">
                  <c:v>8.9882610537478094</c:v>
                </c:pt>
                <c:pt idx="72">
                  <c:v>9.1632747851362311</c:v>
                </c:pt>
                <c:pt idx="73">
                  <c:v>9.3408351781147942</c:v>
                </c:pt>
                <c:pt idx="74">
                  <c:v>9.5209659265827469</c:v>
                </c:pt>
                <c:pt idx="75">
                  <c:v>9.7036908236466317</c:v>
                </c:pt>
                <c:pt idx="76">
                  <c:v>9.889033762673316</c:v>
                </c:pt>
                <c:pt idx="77">
                  <c:v>10.077018738400762</c:v>
                </c:pt>
                <c:pt idx="78">
                  <c:v>10.267669848055281</c:v>
                </c:pt>
                <c:pt idx="79">
                  <c:v>10.461011292705777</c:v>
                </c:pt>
                <c:pt idx="80">
                  <c:v>10.65706737848825</c:v>
                </c:pt>
                <c:pt idx="81">
                  <c:v>10.855862517881613</c:v>
                </c:pt>
                <c:pt idx="82">
                  <c:v>11.057421231298767</c:v>
                </c:pt>
                <c:pt idx="83">
                  <c:v>11.261768148424618</c:v>
                </c:pt>
                <c:pt idx="84">
                  <c:v>11.46892800980112</c:v>
                </c:pt>
                <c:pt idx="85">
                  <c:v>11.678925668469054</c:v>
                </c:pt>
                <c:pt idx="86">
                  <c:v>11.891786091679583</c:v>
                </c:pt>
                <c:pt idx="87">
                  <c:v>12.107534362600649</c:v>
                </c:pt>
                <c:pt idx="88">
                  <c:v>12.326195682274205</c:v>
                </c:pt>
                <c:pt idx="89">
                  <c:v>12.547795371500028</c:v>
                </c:pt>
                <c:pt idx="90">
                  <c:v>12.772358872889802</c:v>
                </c:pt>
                <c:pt idx="91">
                  <c:v>12.999911753042955</c:v>
                </c:pt>
                <c:pt idx="92">
                  <c:v>13.230479704752533</c:v>
                </c:pt>
                <c:pt idx="93">
                  <c:v>13.464088549338307</c:v>
                </c:pt>
                <c:pt idx="94">
                  <c:v>13.700764239189271</c:v>
                </c:pt>
                <c:pt idx="95">
                  <c:v>13.940532860287671</c:v>
                </c:pt>
                <c:pt idx="96">
                  <c:v>14.183351703185131</c:v>
                </c:pt>
                <c:pt idx="97">
                  <c:v>14.429453924659507</c:v>
                </c:pt>
                <c:pt idx="98">
                  <c:v>14.678659233038044</c:v>
                </c:pt>
                <c:pt idx="99">
                  <c:v>14.931063208978326</c:v>
                </c:pt>
                <c:pt idx="100">
                  <c:v>15.186692649944018</c:v>
                </c:pt>
                <c:pt idx="101">
                  <c:v>15.445574505341019</c:v>
                </c:pt>
                <c:pt idx="102">
                  <c:v>15.707735880186359</c:v>
                </c:pt>
                <c:pt idx="103">
                  <c:v>15.973204038727578</c:v>
                </c:pt>
                <c:pt idx="104">
                  <c:v>16.242006408537232</c:v>
                </c:pt>
                <c:pt idx="105">
                  <c:v>16.514170584509827</c:v>
                </c:pt>
                <c:pt idx="106">
                  <c:v>16.789724333197771</c:v>
                </c:pt>
                <c:pt idx="107">
                  <c:v>17.06869559729407</c:v>
                </c:pt>
                <c:pt idx="108">
                  <c:v>17.351112500347501</c:v>
                </c:pt>
                <c:pt idx="109">
                  <c:v>17.637003351619452</c:v>
                </c:pt>
                <c:pt idx="110">
                  <c:v>17.926396651249259</c:v>
                </c:pt>
                <c:pt idx="111">
                  <c:v>18.219321095572891</c:v>
                </c:pt>
                <c:pt idx="112">
                  <c:v>18.515805582712161</c:v>
                </c:pt>
                <c:pt idx="113">
                  <c:v>18.815879218407041</c:v>
                </c:pt>
                <c:pt idx="114">
                  <c:v>19.119571322090206</c:v>
                </c:pt>
                <c:pt idx="115">
                  <c:v>19.426911433245074</c:v>
                </c:pt>
                <c:pt idx="116">
                  <c:v>19.737929318057201</c:v>
                </c:pt>
                <c:pt idx="117">
                  <c:v>20.052654976276475</c:v>
                </c:pt>
                <c:pt idx="118">
                  <c:v>20.371118648517893</c:v>
                </c:pt>
                <c:pt idx="119">
                  <c:v>20.693350823792674</c:v>
                </c:pt>
                <c:pt idx="120">
                  <c:v>21.019382247337123</c:v>
                </c:pt>
                <c:pt idx="121">
                  <c:v>21.349243928996074</c:v>
                </c:pt>
                <c:pt idx="122">
                  <c:v>21.682967151690651</c:v>
                </c:pt>
                <c:pt idx="123">
                  <c:v>22.020583480496693</c:v>
                </c:pt>
                <c:pt idx="124">
                  <c:v>22.362124772082222</c:v>
                </c:pt>
                <c:pt idx="125">
                  <c:v>22.707623184526081</c:v>
                </c:pt>
                <c:pt idx="126">
                  <c:v>23.057111187672984</c:v>
                </c:pt>
                <c:pt idx="127">
                  <c:v>23.410621573866361</c:v>
                </c:pt>
                <c:pt idx="128">
                  <c:v>23.768187469338002</c:v>
                </c:pt>
                <c:pt idx="129">
                  <c:v>24.12984234599627</c:v>
                </c:pt>
                <c:pt idx="130">
                  <c:v>24.495620033870402</c:v>
                </c:pt>
                <c:pt idx="131">
                  <c:v>24.865534504483001</c:v>
                </c:pt>
                <c:pt idx="132">
                  <c:v>25.239681032717183</c:v>
                </c:pt>
                <c:pt idx="133">
                  <c:v>25.618033914754317</c:v>
                </c:pt>
                <c:pt idx="134">
                  <c:v>26.000648779532593</c:v>
                </c:pt>
                <c:pt idx="135">
                  <c:v>26.387561456360864</c:v>
                </c:pt>
                <c:pt idx="136">
                  <c:v>26.77880822122118</c:v>
                </c:pt>
                <c:pt idx="137">
                  <c:v>27.174425814219134</c:v>
                </c:pt>
                <c:pt idx="138">
                  <c:v>27.574451458074829</c:v>
                </c:pt>
                <c:pt idx="139">
                  <c:v>27.978922877476542</c:v>
                </c:pt>
                <c:pt idx="140">
                  <c:v>28.387878319565097</c:v>
                </c:pt>
                <c:pt idx="141">
                  <c:v>28.801356575535983</c:v>
                </c:pt>
                <c:pt idx="142">
                  <c:v>29.21966600247509</c:v>
                </c:pt>
                <c:pt idx="143">
                  <c:v>29.644089510561468</c:v>
                </c:pt>
                <c:pt idx="144">
                  <c:v>30.069598596144392</c:v>
                </c:pt>
                <c:pt idx="145">
                  <c:v>30.503380530925153</c:v>
                </c:pt>
                <c:pt idx="146">
                  <c:v>30.937988822707315</c:v>
                </c:pt>
                <c:pt idx="147">
                  <c:v>31.379452087235325</c:v>
                </c:pt>
                <c:pt idx="148">
                  <c:v>31.82572702823888</c:v>
                </c:pt>
                <c:pt idx="149">
                  <c:v>32.276857732169212</c:v>
                </c:pt>
                <c:pt idx="150">
                  <c:v>32.732889090722054</c:v>
                </c:pt>
                <c:pt idx="151">
                  <c:v>33.193866839690045</c:v>
                </c:pt>
                <c:pt idx="152">
                  <c:v>33.659837600410995</c:v>
                </c:pt>
                <c:pt idx="153">
                  <c:v>34.130848923988133</c:v>
                </c:pt>
                <c:pt idx="154">
                  <c:v>34.606949338621241</c:v>
                </c:pt>
                <c:pt idx="155">
                  <c:v>35.088188400233264</c:v>
                </c:pt>
                <c:pt idx="156">
                  <c:v>35.574616746776918</c:v>
                </c:pt>
                <c:pt idx="157">
                  <c:v>36.066286156425733</c:v>
                </c:pt>
                <c:pt idx="158">
                  <c:v>36.563249610200728</c:v>
                </c:pt>
                <c:pt idx="159">
                  <c:v>37.065561359218584</c:v>
                </c:pt>
                <c:pt idx="160">
                  <c:v>37.573276997210179</c:v>
                </c:pt>
                <c:pt idx="161">
                  <c:v>38.086453538633471</c:v>
                </c:pt>
                <c:pt idx="162">
                  <c:v>38.60514950304249</c:v>
                </c:pt>
                <c:pt idx="163">
                  <c:v>39.129425006292543</c:v>
                </c:pt>
                <c:pt idx="164">
                  <c:v>39.659341859162808</c:v>
                </c:pt>
                <c:pt idx="165">
                  <c:v>40.19496367434504</c:v>
                </c:pt>
                <c:pt idx="166">
                  <c:v>40.736355982418857</c:v>
                </c:pt>
                <c:pt idx="167">
                  <c:v>41.283586357901441</c:v>
                </c:pt>
                <c:pt idx="168">
                  <c:v>41.836420633447588</c:v>
                </c:pt>
                <c:pt idx="169">
                  <c:v>42.3958426640854</c:v>
                </c:pt>
                <c:pt idx="170">
                  <c:v>42.961015260630354</c:v>
                </c:pt>
                <c:pt idx="171">
                  <c:v>43.532319597590259</c:v>
                </c:pt>
                <c:pt idx="172">
                  <c:v>44.109835793581581</c:v>
                </c:pt>
                <c:pt idx="173">
                  <c:v>44.693647048409758</c:v>
                </c:pt>
                <c:pt idx="174">
                  <c:v>45.283839878592119</c:v>
                </c:pt>
                <c:pt idx="175">
                  <c:v>45.880504376789766</c:v>
                </c:pt>
                <c:pt idx="176">
                  <c:v>46.483734498420105</c:v>
                </c:pt>
                <c:pt idx="177">
                  <c:v>47.093628379086717</c:v>
                </c:pt>
                <c:pt idx="178">
                  <c:v>47.710288687124077</c:v>
                </c:pt>
                <c:pt idx="179">
                  <c:v>48.333823016385388</c:v>
                </c:pt>
                <c:pt idx="180">
                  <c:v>48.964344325289865</c:v>
                </c:pt>
                <c:pt idx="181">
                  <c:v>49.601909301745991</c:v>
                </c:pt>
                <c:pt idx="182">
                  <c:v>50.246829555681302</c:v>
                </c:pt>
                <c:pt idx="183">
                  <c:v>50.899050970206332</c:v>
                </c:pt>
                <c:pt idx="184">
                  <c:v>51.558775689360345</c:v>
                </c:pt>
                <c:pt idx="185">
                  <c:v>52.226152292085246</c:v>
                </c:pt>
                <c:pt idx="186">
                  <c:v>52.901338850141386</c:v>
                </c:pt>
                <c:pt idx="187">
                  <c:v>53.584503999302882</c:v>
                </c:pt>
                <c:pt idx="188">
                  <c:v>54.275828179093409</c:v>
                </c:pt>
                <c:pt idx="189">
                  <c:v>54.975505075157592</c:v>
                </c:pt>
                <c:pt idx="190">
                  <c:v>55.683743306690538</c:v>
                </c:pt>
                <c:pt idx="191">
                  <c:v>56.400768411846606</c:v>
                </c:pt>
                <c:pt idx="192">
                  <c:v>57.126825197876414</c:v>
                </c:pt>
                <c:pt idx="193">
                  <c:v>57.862180540579779</c:v>
                </c:pt>
                <c:pt idx="194">
                  <c:v>58.607126741337744</c:v>
                </c:pt>
                <c:pt idx="195">
                  <c:v>59.361985581713512</c:v>
                </c:pt>
                <c:pt idx="196">
                  <c:v>60.131197783688393</c:v>
                </c:pt>
                <c:pt idx="197">
                  <c:v>60.94092026147699</c:v>
                </c:pt>
                <c:pt idx="198">
                  <c:v>61.750642739265587</c:v>
                </c:pt>
                <c:pt idx="199">
                  <c:v>62.560365217054184</c:v>
                </c:pt>
                <c:pt idx="200">
                  <c:v>63.37008769484278</c:v>
                </c:pt>
                <c:pt idx="201">
                  <c:v>64.179810172631377</c:v>
                </c:pt>
                <c:pt idx="202">
                  <c:v>64.989532650419974</c:v>
                </c:pt>
                <c:pt idx="203">
                  <c:v>65.817354559425965</c:v>
                </c:pt>
                <c:pt idx="204">
                  <c:v>66.703568505223032</c:v>
                </c:pt>
                <c:pt idx="205">
                  <c:v>67.589782451020099</c:v>
                </c:pt>
                <c:pt idx="206">
                  <c:v>68.475996396817166</c:v>
                </c:pt>
                <c:pt idx="207">
                  <c:v>69.40522495773665</c:v>
                </c:pt>
                <c:pt idx="208">
                  <c:v>70.363800093024707</c:v>
                </c:pt>
                <c:pt idx="209">
                  <c:v>71.322375228312765</c:v>
                </c:pt>
                <c:pt idx="210">
                  <c:v>72.325229642539654</c:v>
                </c:pt>
                <c:pt idx="211">
                  <c:v>73.38015838022605</c:v>
                </c:pt>
                <c:pt idx="212">
                  <c:v>74.43508711791246</c:v>
                </c:pt>
                <c:pt idx="213">
                  <c:v>75.61815476681673</c:v>
                </c:pt>
                <c:pt idx="214">
                  <c:v>76.817922880286346</c:v>
                </c:pt>
                <c:pt idx="215">
                  <c:v>78.254414833855236</c:v>
                </c:pt>
                <c:pt idx="216">
                  <c:v>81.455055721913254</c:v>
                </c:pt>
                <c:pt idx="217">
                  <c:v>81.455055721913254</c:v>
                </c:pt>
                <c:pt idx="218">
                  <c:v>81.455055721913254</c:v>
                </c:pt>
                <c:pt idx="219">
                  <c:v>81.455055721913254</c:v>
                </c:pt>
                <c:pt idx="220">
                  <c:v>81.455055721913254</c:v>
                </c:pt>
                <c:pt idx="221">
                  <c:v>81.455055721913254</c:v>
                </c:pt>
                <c:pt idx="222">
                  <c:v>81.455055721913254</c:v>
                </c:pt>
                <c:pt idx="223">
                  <c:v>81.455055721913254</c:v>
                </c:pt>
                <c:pt idx="224">
                  <c:v>81.455055721913254</c:v>
                </c:pt>
                <c:pt idx="225">
                  <c:v>81.455055721913254</c:v>
                </c:pt>
                <c:pt idx="226">
                  <c:v>81.455055721913254</c:v>
                </c:pt>
                <c:pt idx="227">
                  <c:v>81.455055721913254</c:v>
                </c:pt>
                <c:pt idx="228">
                  <c:v>81.455055721913254</c:v>
                </c:pt>
                <c:pt idx="229">
                  <c:v>81.455055721913254</c:v>
                </c:pt>
                <c:pt idx="230">
                  <c:v>81.455055721913254</c:v>
                </c:pt>
                <c:pt idx="231">
                  <c:v>81.455055721913254</c:v>
                </c:pt>
                <c:pt idx="232">
                  <c:v>81.455055721913254</c:v>
                </c:pt>
                <c:pt idx="233">
                  <c:v>81.455055721913254</c:v>
                </c:pt>
                <c:pt idx="234">
                  <c:v>81.455055721913254</c:v>
                </c:pt>
                <c:pt idx="235">
                  <c:v>81.455055721913254</c:v>
                </c:pt>
                <c:pt idx="236">
                  <c:v>81.455055721913254</c:v>
                </c:pt>
                <c:pt idx="237">
                  <c:v>81.455055721913254</c:v>
                </c:pt>
                <c:pt idx="238">
                  <c:v>81.455055721913254</c:v>
                </c:pt>
                <c:pt idx="239">
                  <c:v>81.455055721913254</c:v>
                </c:pt>
                <c:pt idx="240">
                  <c:v>81.455055721913254</c:v>
                </c:pt>
                <c:pt idx="241">
                  <c:v>81.455055721913254</c:v>
                </c:pt>
                <c:pt idx="242">
                  <c:v>81.455055721913254</c:v>
                </c:pt>
                <c:pt idx="243">
                  <c:v>81.455055721913254</c:v>
                </c:pt>
                <c:pt idx="244">
                  <c:v>81.455055721913254</c:v>
                </c:pt>
                <c:pt idx="245">
                  <c:v>81.455055721913254</c:v>
                </c:pt>
                <c:pt idx="246">
                  <c:v>81.455055721913254</c:v>
                </c:pt>
                <c:pt idx="247">
                  <c:v>81.455055721913254</c:v>
                </c:pt>
                <c:pt idx="248">
                  <c:v>81.455055721913254</c:v>
                </c:pt>
                <c:pt idx="249">
                  <c:v>81.455055721913254</c:v>
                </c:pt>
                <c:pt idx="250">
                  <c:v>81.455055721913254</c:v>
                </c:pt>
                <c:pt idx="251">
                  <c:v>81.455055721913254</c:v>
                </c:pt>
                <c:pt idx="252">
                  <c:v>81.455055721913254</c:v>
                </c:pt>
                <c:pt idx="253">
                  <c:v>81.455055721913254</c:v>
                </c:pt>
                <c:pt idx="254">
                  <c:v>81.455055721913254</c:v>
                </c:pt>
                <c:pt idx="255">
                  <c:v>81.455055721913254</c:v>
                </c:pt>
                <c:pt idx="256">
                  <c:v>81.455055721913254</c:v>
                </c:pt>
                <c:pt idx="257">
                  <c:v>81.455055721913254</c:v>
                </c:pt>
                <c:pt idx="258">
                  <c:v>81.455055721913254</c:v>
                </c:pt>
                <c:pt idx="259">
                  <c:v>81.455055721913254</c:v>
                </c:pt>
                <c:pt idx="260">
                  <c:v>81.455055721913254</c:v>
                </c:pt>
                <c:pt idx="261">
                  <c:v>81.455055721913254</c:v>
                </c:pt>
                <c:pt idx="262">
                  <c:v>81.455055721913254</c:v>
                </c:pt>
                <c:pt idx="263">
                  <c:v>81.455055721913254</c:v>
                </c:pt>
                <c:pt idx="264">
                  <c:v>81.455055721913254</c:v>
                </c:pt>
                <c:pt idx="265">
                  <c:v>81.455055721913254</c:v>
                </c:pt>
                <c:pt idx="266">
                  <c:v>81.455055721913254</c:v>
                </c:pt>
                <c:pt idx="267">
                  <c:v>81.455055721913254</c:v>
                </c:pt>
                <c:pt idx="268">
                  <c:v>81.455055721913254</c:v>
                </c:pt>
                <c:pt idx="269">
                  <c:v>81.455055721913254</c:v>
                </c:pt>
                <c:pt idx="270">
                  <c:v>81.455055721913254</c:v>
                </c:pt>
                <c:pt idx="271">
                  <c:v>81.455055721913254</c:v>
                </c:pt>
                <c:pt idx="272">
                  <c:v>81.455055721913254</c:v>
                </c:pt>
                <c:pt idx="273">
                  <c:v>81.455055721913254</c:v>
                </c:pt>
                <c:pt idx="274">
                  <c:v>81.455055721913254</c:v>
                </c:pt>
                <c:pt idx="275">
                  <c:v>81.455055721913254</c:v>
                </c:pt>
                <c:pt idx="276">
                  <c:v>81.455055721913254</c:v>
                </c:pt>
                <c:pt idx="277">
                  <c:v>81.455055721913254</c:v>
                </c:pt>
                <c:pt idx="278">
                  <c:v>81.455055721913254</c:v>
                </c:pt>
                <c:pt idx="279">
                  <c:v>81.455055721913254</c:v>
                </c:pt>
                <c:pt idx="280">
                  <c:v>81.455055721913254</c:v>
                </c:pt>
                <c:pt idx="281">
                  <c:v>81.455055721913254</c:v>
                </c:pt>
                <c:pt idx="282">
                  <c:v>81.455055721913254</c:v>
                </c:pt>
                <c:pt idx="283">
                  <c:v>81.455055721913254</c:v>
                </c:pt>
                <c:pt idx="284">
                  <c:v>81.455055721913254</c:v>
                </c:pt>
                <c:pt idx="285">
                  <c:v>81.455055721913254</c:v>
                </c:pt>
                <c:pt idx="286">
                  <c:v>81.455055721913254</c:v>
                </c:pt>
                <c:pt idx="287">
                  <c:v>81.455055721913254</c:v>
                </c:pt>
                <c:pt idx="288">
                  <c:v>81.455055721913254</c:v>
                </c:pt>
                <c:pt idx="289">
                  <c:v>81.455055721913254</c:v>
                </c:pt>
                <c:pt idx="290">
                  <c:v>81.455055721913254</c:v>
                </c:pt>
                <c:pt idx="291">
                  <c:v>81.455055721913254</c:v>
                </c:pt>
                <c:pt idx="292">
                  <c:v>81.455055721913254</c:v>
                </c:pt>
                <c:pt idx="293">
                  <c:v>81.455055721913254</c:v>
                </c:pt>
                <c:pt idx="294">
                  <c:v>81.455055721913254</c:v>
                </c:pt>
                <c:pt idx="295">
                  <c:v>81.455055721913254</c:v>
                </c:pt>
                <c:pt idx="296">
                  <c:v>81.455055721913254</c:v>
                </c:pt>
                <c:pt idx="297">
                  <c:v>81.455055721913254</c:v>
                </c:pt>
                <c:pt idx="298">
                  <c:v>81.455055721913254</c:v>
                </c:pt>
                <c:pt idx="299">
                  <c:v>81.455055721913254</c:v>
                </c:pt>
                <c:pt idx="300">
                  <c:v>81.455055721913254</c:v>
                </c:pt>
                <c:pt idx="301">
                  <c:v>81.455055721913254</c:v>
                </c:pt>
                <c:pt idx="302">
                  <c:v>81.455055721913254</c:v>
                </c:pt>
                <c:pt idx="303">
                  <c:v>81.455055721913254</c:v>
                </c:pt>
                <c:pt idx="304">
                  <c:v>81.455055721913254</c:v>
                </c:pt>
                <c:pt idx="305">
                  <c:v>81.455055721913254</c:v>
                </c:pt>
                <c:pt idx="306">
                  <c:v>81.455055721913254</c:v>
                </c:pt>
                <c:pt idx="307">
                  <c:v>81.455055721913254</c:v>
                </c:pt>
                <c:pt idx="308">
                  <c:v>81.455055721913254</c:v>
                </c:pt>
                <c:pt idx="309">
                  <c:v>81.455055721913254</c:v>
                </c:pt>
                <c:pt idx="310">
                  <c:v>81.455055721913254</c:v>
                </c:pt>
                <c:pt idx="311">
                  <c:v>81.455055721913254</c:v>
                </c:pt>
                <c:pt idx="312">
                  <c:v>81.455055721913254</c:v>
                </c:pt>
                <c:pt idx="313">
                  <c:v>81.455055721913254</c:v>
                </c:pt>
                <c:pt idx="314">
                  <c:v>81.455055721913254</c:v>
                </c:pt>
                <c:pt idx="315">
                  <c:v>81.455055721913254</c:v>
                </c:pt>
                <c:pt idx="316">
                  <c:v>81.455055721913254</c:v>
                </c:pt>
                <c:pt idx="317">
                  <c:v>81.455055721913254</c:v>
                </c:pt>
                <c:pt idx="318">
                  <c:v>81.455055721913254</c:v>
                </c:pt>
                <c:pt idx="319">
                  <c:v>81.455055721913254</c:v>
                </c:pt>
                <c:pt idx="320">
                  <c:v>81.455055721913254</c:v>
                </c:pt>
                <c:pt idx="321">
                  <c:v>81.455055721913254</c:v>
                </c:pt>
                <c:pt idx="322">
                  <c:v>81.455055721913254</c:v>
                </c:pt>
                <c:pt idx="323">
                  <c:v>81.455055721913254</c:v>
                </c:pt>
                <c:pt idx="324">
                  <c:v>81.455055721913254</c:v>
                </c:pt>
                <c:pt idx="325">
                  <c:v>81.455055721913254</c:v>
                </c:pt>
                <c:pt idx="326">
                  <c:v>81.455055721913254</c:v>
                </c:pt>
                <c:pt idx="327">
                  <c:v>81.455055721913254</c:v>
                </c:pt>
                <c:pt idx="328">
                  <c:v>81.455055721913254</c:v>
                </c:pt>
                <c:pt idx="329">
                  <c:v>81.455055721913254</c:v>
                </c:pt>
                <c:pt idx="330">
                  <c:v>81.455055721913254</c:v>
                </c:pt>
                <c:pt idx="331">
                  <c:v>81.455055721913254</c:v>
                </c:pt>
                <c:pt idx="332">
                  <c:v>81.455055721913254</c:v>
                </c:pt>
                <c:pt idx="333">
                  <c:v>81.455055721913254</c:v>
                </c:pt>
                <c:pt idx="334">
                  <c:v>81.455055721913254</c:v>
                </c:pt>
                <c:pt idx="335">
                  <c:v>81.455055721913254</c:v>
                </c:pt>
                <c:pt idx="336">
                  <c:v>81.455055721913254</c:v>
                </c:pt>
                <c:pt idx="337">
                  <c:v>81.455055721913254</c:v>
                </c:pt>
                <c:pt idx="338">
                  <c:v>81.455055721913254</c:v>
                </c:pt>
                <c:pt idx="339">
                  <c:v>81.455055721913254</c:v>
                </c:pt>
                <c:pt idx="340">
                  <c:v>81.455055721913254</c:v>
                </c:pt>
                <c:pt idx="341">
                  <c:v>81.455055721913254</c:v>
                </c:pt>
                <c:pt idx="342">
                  <c:v>81.455055721913254</c:v>
                </c:pt>
                <c:pt idx="343">
                  <c:v>81.455055721913254</c:v>
                </c:pt>
                <c:pt idx="344">
                  <c:v>81.455055721913254</c:v>
                </c:pt>
                <c:pt idx="345">
                  <c:v>81.455055721913254</c:v>
                </c:pt>
                <c:pt idx="346">
                  <c:v>81.455055721913254</c:v>
                </c:pt>
                <c:pt idx="347">
                  <c:v>81.455055721913254</c:v>
                </c:pt>
                <c:pt idx="348">
                  <c:v>81.455055721913254</c:v>
                </c:pt>
                <c:pt idx="349">
                  <c:v>81.455055721913254</c:v>
                </c:pt>
                <c:pt idx="350">
                  <c:v>81.455055721913254</c:v>
                </c:pt>
                <c:pt idx="351">
                  <c:v>81.455055721913254</c:v>
                </c:pt>
                <c:pt idx="352">
                  <c:v>81.455055721913254</c:v>
                </c:pt>
                <c:pt idx="353">
                  <c:v>81.455055721913254</c:v>
                </c:pt>
                <c:pt idx="354">
                  <c:v>81.455055721913254</c:v>
                </c:pt>
                <c:pt idx="355">
                  <c:v>81.455055721913254</c:v>
                </c:pt>
                <c:pt idx="356">
                  <c:v>81.455055721913254</c:v>
                </c:pt>
                <c:pt idx="357">
                  <c:v>81.455055721913254</c:v>
                </c:pt>
                <c:pt idx="358">
                  <c:v>81.455055721913254</c:v>
                </c:pt>
                <c:pt idx="359">
                  <c:v>81.455055721913254</c:v>
                </c:pt>
                <c:pt idx="360">
                  <c:v>81.455055721913254</c:v>
                </c:pt>
                <c:pt idx="361">
                  <c:v>81.455055721913254</c:v>
                </c:pt>
                <c:pt idx="362">
                  <c:v>81.455055721913254</c:v>
                </c:pt>
                <c:pt idx="363">
                  <c:v>81.455055721913254</c:v>
                </c:pt>
                <c:pt idx="364">
                  <c:v>81.455055721913254</c:v>
                </c:pt>
                <c:pt idx="365">
                  <c:v>81.455055721913254</c:v>
                </c:pt>
                <c:pt idx="366">
                  <c:v>81.455055721913254</c:v>
                </c:pt>
                <c:pt idx="367">
                  <c:v>81.455055721913254</c:v>
                </c:pt>
                <c:pt idx="368">
                  <c:v>81.455055721913254</c:v>
                </c:pt>
                <c:pt idx="369">
                  <c:v>81.455055721913254</c:v>
                </c:pt>
                <c:pt idx="370">
                  <c:v>81.455055721913254</c:v>
                </c:pt>
                <c:pt idx="371">
                  <c:v>81.455055721913254</c:v>
                </c:pt>
                <c:pt idx="372">
                  <c:v>81.455055721913254</c:v>
                </c:pt>
                <c:pt idx="373">
                  <c:v>81.455055721913254</c:v>
                </c:pt>
                <c:pt idx="374">
                  <c:v>81.455055721913254</c:v>
                </c:pt>
                <c:pt idx="375">
                  <c:v>81.455055721913254</c:v>
                </c:pt>
                <c:pt idx="376">
                  <c:v>81.455055721913254</c:v>
                </c:pt>
                <c:pt idx="377">
                  <c:v>81.455055721913254</c:v>
                </c:pt>
                <c:pt idx="378">
                  <c:v>81.455055721913254</c:v>
                </c:pt>
                <c:pt idx="379">
                  <c:v>81.455055721913254</c:v>
                </c:pt>
                <c:pt idx="380">
                  <c:v>81.455055721913254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23-464D-940D-AFDE62BF7178}"/>
            </c:ext>
          </c:extLst>
        </c:ser>
        <c:ser>
          <c:idx val="1"/>
          <c:order val="1"/>
          <c:tx>
            <c:strRef>
              <c:f>Diagrammdaten!$H$7</c:f>
              <c:strCache>
                <c:ptCount val="1"/>
                <c:pt idx="0">
                  <c:v>zweiphasig [bar]</c:v>
                </c:pt>
              </c:strCache>
            </c:strRef>
          </c:tx>
          <c:spPr>
            <a:solidFill>
              <a:srgbClr val="F4B6B0"/>
            </a:solidFill>
            <a:ln>
              <a:noFill/>
            </a:ln>
          </c:spPr>
          <c:cat>
            <c:strRef>
              <c:f>Diagrammdaten!$C$8:$C$388</c:f>
              <c:strCache>
                <c:ptCount val="361"/>
                <c:pt idx="0">
                  <c:v>-80</c:v>
                </c:pt>
                <c:pt idx="40">
                  <c:v>-60</c:v>
                </c:pt>
                <c:pt idx="80">
                  <c:v>-40</c:v>
                </c:pt>
                <c:pt idx="120">
                  <c:v>-20</c:v>
                </c:pt>
                <c:pt idx="160">
                  <c:v>0</c:v>
                </c:pt>
                <c:pt idx="200">
                  <c:v>20</c:v>
                </c:pt>
                <c:pt idx="240">
                  <c:v>40</c:v>
                </c:pt>
                <c:pt idx="280">
                  <c:v>60</c:v>
                </c:pt>
                <c:pt idx="320">
                  <c:v>80</c:v>
                </c:pt>
                <c:pt idx="360">
                  <c:v>100</c:v>
                </c:pt>
              </c:strCache>
            </c:strRef>
          </c:cat>
          <c:val>
            <c:numRef>
              <c:f>Diagrammdaten!$H$8:$H$388</c:f>
              <c:numCache>
                <c:formatCode>General</c:formatCode>
                <c:ptCount val="3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45.722748286743055</c:v>
                </c:pt>
                <c:pt idx="48">
                  <c:v>45.306270291151449</c:v>
                </c:pt>
                <c:pt idx="49">
                  <c:v>44.898235173784293</c:v>
                </c:pt>
                <c:pt idx="50">
                  <c:v>44.498393260020549</c:v>
                </c:pt>
                <c:pt idx="51">
                  <c:v>44.106503675875182</c:v>
                </c:pt>
                <c:pt idx="52">
                  <c:v>43.722333963520306</c:v>
                </c:pt>
                <c:pt idx="53">
                  <c:v>43.345659478670214</c:v>
                </c:pt>
                <c:pt idx="54">
                  <c:v>42.976262222351501</c:v>
                </c:pt>
                <c:pt idx="55">
                  <c:v>42.6139365062973</c:v>
                </c:pt>
                <c:pt idx="56">
                  <c:v>42.25847791084562</c:v>
                </c:pt>
                <c:pt idx="57">
                  <c:v>41.909690947254987</c:v>
                </c:pt>
                <c:pt idx="58">
                  <c:v>41.567386607581334</c:v>
                </c:pt>
                <c:pt idx="59">
                  <c:v>41.231141055279281</c:v>
                </c:pt>
                <c:pt idx="60">
                  <c:v>40.901500569575866</c:v>
                </c:pt>
                <c:pt idx="61">
                  <c:v>40.577570899131587</c:v>
                </c:pt>
                <c:pt idx="62">
                  <c:v>40.25942743081113</c:v>
                </c:pt>
                <c:pt idx="63">
                  <c:v>39.946909766333974</c:v>
                </c:pt>
                <c:pt idx="64">
                  <c:v>39.639942244418144</c:v>
                </c:pt>
                <c:pt idx="65">
                  <c:v>39.33813526683506</c:v>
                </c:pt>
                <c:pt idx="66">
                  <c:v>39.04158204727181</c:v>
                </c:pt>
                <c:pt idx="67">
                  <c:v>38.750061483626425</c:v>
                </c:pt>
                <c:pt idx="68">
                  <c:v>38.463436452320316</c:v>
                </c:pt>
                <c:pt idx="69">
                  <c:v>38.181573944657551</c:v>
                </c:pt>
                <c:pt idx="70">
                  <c:v>37.904344904643793</c:v>
                </c:pt>
                <c:pt idx="71">
                  <c:v>37.631624073852237</c:v>
                </c:pt>
                <c:pt idx="72">
                  <c:v>37.36328984263298</c:v>
                </c:pt>
                <c:pt idx="73">
                  <c:v>37.099224107551983</c:v>
                </c:pt>
                <c:pt idx="74">
                  <c:v>36.839312134809603</c:v>
                </c:pt>
                <c:pt idx="75">
                  <c:v>36.583442429088898</c:v>
                </c:pt>
                <c:pt idx="76">
                  <c:v>36.331506607769825</c:v>
                </c:pt>
                <c:pt idx="77">
                  <c:v>36.083399280192502</c:v>
                </c:pt>
                <c:pt idx="78">
                  <c:v>35.839017931772077</c:v>
                </c:pt>
                <c:pt idx="79">
                  <c:v>35.598262812509311</c:v>
                </c:pt>
                <c:pt idx="80">
                  <c:v>35.361036830034898</c:v>
                </c:pt>
                <c:pt idx="81">
                  <c:v>35.127245446821036</c:v>
                </c:pt>
                <c:pt idx="82">
                  <c:v>34.896796581102883</c:v>
                </c:pt>
                <c:pt idx="83">
                  <c:v>34.669600511912378</c:v>
                </c:pt>
                <c:pt idx="84">
                  <c:v>34.445569787533124</c:v>
                </c:pt>
                <c:pt idx="85">
                  <c:v>34.224619137410848</c:v>
                </c:pt>
                <c:pt idx="86">
                  <c:v>34.006665387376245</c:v>
                </c:pt>
                <c:pt idx="87">
                  <c:v>33.791627378081984</c:v>
                </c:pt>
                <c:pt idx="88">
                  <c:v>33.579425886285762</c:v>
                </c:pt>
                <c:pt idx="89">
                  <c:v>33.369983549139207</c:v>
                </c:pt>
                <c:pt idx="90">
                  <c:v>33.163224791116974</c:v>
                </c:pt>
                <c:pt idx="91">
                  <c:v>32.959075753560001</c:v>
                </c:pt>
                <c:pt idx="92">
                  <c:v>32.757464226709367</c:v>
                </c:pt>
                <c:pt idx="93">
                  <c:v>32.558319584086718</c:v>
                </c:pt>
                <c:pt idx="94">
                  <c:v>32.361572719033006</c:v>
                </c:pt>
                <c:pt idx="95">
                  <c:v>32.167155983437041</c:v>
                </c:pt>
                <c:pt idx="96">
                  <c:v>31.975072060162574</c:v>
                </c:pt>
                <c:pt idx="97">
                  <c:v>31.785049246815383</c:v>
                </c:pt>
                <c:pt idx="98">
                  <c:v>31.597230717687562</c:v>
                </c:pt>
                <c:pt idx="99">
                  <c:v>31.411485152131501</c:v>
                </c:pt>
                <c:pt idx="100">
                  <c:v>31.22775134086918</c:v>
                </c:pt>
                <c:pt idx="101">
                  <c:v>31.045969203280194</c:v>
                </c:pt>
                <c:pt idx="102">
                  <c:v>30.866079737680554</c:v>
                </c:pt>
                <c:pt idx="103">
                  <c:v>30.688024973069787</c:v>
                </c:pt>
                <c:pt idx="104">
                  <c:v>30.511747837508988</c:v>
                </c:pt>
                <c:pt idx="105">
                  <c:v>30.337191814848332</c:v>
                </c:pt>
                <c:pt idx="106">
                  <c:v>30.164302996482316</c:v>
                </c:pt>
                <c:pt idx="107">
                  <c:v>29.993024995588339</c:v>
                </c:pt>
                <c:pt idx="108">
                  <c:v>29.823308954804144</c:v>
                </c:pt>
                <c:pt idx="109">
                  <c:v>29.65509689830397</c:v>
                </c:pt>
                <c:pt idx="110">
                  <c:v>29.488338763241014</c:v>
                </c:pt>
                <c:pt idx="111">
                  <c:v>29.322983206880078</c:v>
                </c:pt>
                <c:pt idx="112">
                  <c:v>29.158979519316084</c:v>
                </c:pt>
                <c:pt idx="113">
                  <c:v>28.996277459847995</c:v>
                </c:pt>
                <c:pt idx="114">
                  <c:v>28.834826720754894</c:v>
                </c:pt>
                <c:pt idx="115">
                  <c:v>28.674580252176824</c:v>
                </c:pt>
                <c:pt idx="116">
                  <c:v>28.515488540561048</c:v>
                </c:pt>
                <c:pt idx="117">
                  <c:v>28.357504110865033</c:v>
                </c:pt>
                <c:pt idx="118">
                  <c:v>28.20057764630419</c:v>
                </c:pt>
                <c:pt idx="119">
                  <c:v>28.044662753537356</c:v>
                </c:pt>
                <c:pt idx="120">
                  <c:v>27.889712345938602</c:v>
                </c:pt>
                <c:pt idx="121">
                  <c:v>27.7356797829489</c:v>
                </c:pt>
                <c:pt idx="122">
                  <c:v>27.582518633945266</c:v>
                </c:pt>
                <c:pt idx="123">
                  <c:v>27.430182685894895</c:v>
                </c:pt>
                <c:pt idx="124">
                  <c:v>27.278625924175163</c:v>
                </c:pt>
                <c:pt idx="125">
                  <c:v>27.127802485424557</c:v>
                </c:pt>
                <c:pt idx="126">
                  <c:v>26.977666626624814</c:v>
                </c:pt>
                <c:pt idx="127">
                  <c:v>26.828172689814085</c:v>
                </c:pt>
                <c:pt idx="128">
                  <c:v>26.679275067686859</c:v>
                </c:pt>
                <c:pt idx="129">
                  <c:v>26.530928169258171</c:v>
                </c:pt>
                <c:pt idx="130">
                  <c:v>26.383086385531215</c:v>
                </c:pt>
                <c:pt idx="131">
                  <c:v>26.235724284797229</c:v>
                </c:pt>
                <c:pt idx="132">
                  <c:v>26.088735429977124</c:v>
                </c:pt>
                <c:pt idx="133">
                  <c:v>25.942134640404841</c:v>
                </c:pt>
                <c:pt idx="134">
                  <c:v>25.795855660508817</c:v>
                </c:pt>
                <c:pt idx="135">
                  <c:v>25.649852272701452</c:v>
                </c:pt>
                <c:pt idx="136">
                  <c:v>25.504078031716734</c:v>
                </c:pt>
                <c:pt idx="137">
                  <c:v>25.358486228024951</c:v>
                </c:pt>
                <c:pt idx="138">
                  <c:v>25.213029850092948</c:v>
                </c:pt>
                <c:pt idx="139">
                  <c:v>25.067661545601041</c:v>
                </c:pt>
                <c:pt idx="140">
                  <c:v>24.922333581097384</c:v>
                </c:pt>
                <c:pt idx="141">
                  <c:v>24.776997799896648</c:v>
                </c:pt>
                <c:pt idx="142">
                  <c:v>24.631336578838134</c:v>
                </c:pt>
                <c:pt idx="143">
                  <c:v>24.484057818450818</c:v>
                </c:pt>
                <c:pt idx="144">
                  <c:v>24.339976664075426</c:v>
                </c:pt>
                <c:pt idx="145">
                  <c:v>24.192509398302992</c:v>
                </c:pt>
                <c:pt idx="146">
                  <c:v>24.048480736166471</c:v>
                </c:pt>
                <c:pt idx="147">
                  <c:v>23.902057137392948</c:v>
                </c:pt>
                <c:pt idx="148">
                  <c:v>23.755272683840936</c:v>
                </c:pt>
                <c:pt idx="149">
                  <c:v>23.608073967583614</c:v>
                </c:pt>
                <c:pt idx="150">
                  <c:v>23.460406625214745</c:v>
                </c:pt>
                <c:pt idx="151">
                  <c:v>23.312215250677021</c:v>
                </c:pt>
                <c:pt idx="152">
                  <c:v>23.163443299727874</c:v>
                </c:pt>
                <c:pt idx="153">
                  <c:v>23.014032985302606</c:v>
                </c:pt>
                <c:pt idx="154">
                  <c:v>22.86392516272636</c:v>
                </c:pt>
                <c:pt idx="155">
                  <c:v>22.713059204025228</c:v>
                </c:pt>
                <c:pt idx="156">
                  <c:v>22.561372860469525</c:v>
                </c:pt>
                <c:pt idx="157">
                  <c:v>22.408802112505327</c:v>
                </c:pt>
                <c:pt idx="158">
                  <c:v>22.255281006314725</c:v>
                </c:pt>
                <c:pt idx="159">
                  <c:v>22.100741476466304</c:v>
                </c:pt>
                <c:pt idx="160">
                  <c:v>21.945113153903144</c:v>
                </c:pt>
                <c:pt idx="161">
                  <c:v>21.788323159090801</c:v>
                </c:pt>
                <c:pt idx="162">
                  <c:v>21.630295879975947</c:v>
                </c:pt>
                <c:pt idx="163">
                  <c:v>21.470952734567852</c:v>
                </c:pt>
                <c:pt idx="164">
                  <c:v>21.310211918655718</c:v>
                </c:pt>
                <c:pt idx="165">
                  <c:v>21.147988138551462</c:v>
                </c:pt>
                <c:pt idx="166">
                  <c:v>20.984192329795583</c:v>
                </c:pt>
                <c:pt idx="167">
                  <c:v>20.818731362358008</c:v>
                </c:pt>
                <c:pt idx="168">
                  <c:v>20.651811656141327</c:v>
                </c:pt>
                <c:pt idx="169">
                  <c:v>20.482419247103287</c:v>
                </c:pt>
                <c:pt idx="170">
                  <c:v>20.311161067758604</c:v>
                </c:pt>
                <c:pt idx="171">
                  <c:v>20.138213473714643</c:v>
                </c:pt>
                <c:pt idx="172">
                  <c:v>19.962865316287264</c:v>
                </c:pt>
                <c:pt idx="173">
                  <c:v>19.785189851884226</c:v>
                </c:pt>
                <c:pt idx="174">
                  <c:v>19.605056274126355</c:v>
                </c:pt>
                <c:pt idx="175">
                  <c:v>19.422326947044688</c:v>
                </c:pt>
                <c:pt idx="176">
                  <c:v>19.236856999637254</c:v>
                </c:pt>
                <c:pt idx="177">
                  <c:v>19.048493893594831</c:v>
                </c:pt>
                <c:pt idx="178">
                  <c:v>18.857076953167322</c:v>
                </c:pt>
                <c:pt idx="179">
                  <c:v>18.662436841669852</c:v>
                </c:pt>
                <c:pt idx="180">
                  <c:v>18.464394963440107</c:v>
                </c:pt>
                <c:pt idx="181">
                  <c:v>18.262824890968815</c:v>
                </c:pt>
                <c:pt idx="182">
                  <c:v>18.057340887726184</c:v>
                </c:pt>
                <c:pt idx="183">
                  <c:v>17.847918159776697</c:v>
                </c:pt>
                <c:pt idx="184">
                  <c:v>17.634270313168798</c:v>
                </c:pt>
                <c:pt idx="185">
                  <c:v>17.416158411818969</c:v>
                </c:pt>
                <c:pt idx="186">
                  <c:v>17.193326871870781</c:v>
                </c:pt>
                <c:pt idx="187">
                  <c:v>16.965496087201018</c:v>
                </c:pt>
                <c:pt idx="188">
                  <c:v>16.732383826169155</c:v>
                </c:pt>
                <c:pt idx="189">
                  <c:v>16.493652415254395</c:v>
                </c:pt>
                <c:pt idx="190">
                  <c:v>16.248952980994012</c:v>
                </c:pt>
                <c:pt idx="191">
                  <c:v>15.997895168462172</c:v>
                </c:pt>
                <c:pt idx="192">
                  <c:v>15.740045012259728</c:v>
                </c:pt>
                <c:pt idx="193">
                  <c:v>15.474916485412827</c:v>
                </c:pt>
                <c:pt idx="194">
                  <c:v>15.202028549938014</c:v>
                </c:pt>
                <c:pt idx="195">
                  <c:v>14.921069231022145</c:v>
                </c:pt>
                <c:pt idx="196">
                  <c:v>14.62589851865242</c:v>
                </c:pt>
                <c:pt idx="197">
                  <c:v>14.291299425644738</c:v>
                </c:pt>
                <c:pt idx="198">
                  <c:v>13.956700332637055</c:v>
                </c:pt>
                <c:pt idx="199">
                  <c:v>13.622101239629387</c:v>
                </c:pt>
                <c:pt idx="200">
                  <c:v>13.280763404159487</c:v>
                </c:pt>
                <c:pt idx="201">
                  <c:v>12.928686063309783</c:v>
                </c:pt>
                <c:pt idx="202">
                  <c:v>12.576608722460065</c:v>
                </c:pt>
                <c:pt idx="203">
                  <c:v>12.206431950392968</c:v>
                </c:pt>
                <c:pt idx="204">
                  <c:v>11.777863141534795</c:v>
                </c:pt>
                <c:pt idx="205">
                  <c:v>11.349294332676607</c:v>
                </c:pt>
                <c:pt idx="206">
                  <c:v>10.920725523818433</c:v>
                </c:pt>
                <c:pt idx="207">
                  <c:v>10.449142099837843</c:v>
                </c:pt>
                <c:pt idx="208">
                  <c:v>9.8918304676368791</c:v>
                </c:pt>
                <c:pt idx="209">
                  <c:v>9.3330379831599544</c:v>
                </c:pt>
                <c:pt idx="210">
                  <c:v>8.7299662197441847</c:v>
                </c:pt>
                <c:pt idx="211">
                  <c:v>8.0059258842833714</c:v>
                </c:pt>
                <c:pt idx="212">
                  <c:v>7.2811354116850566</c:v>
                </c:pt>
                <c:pt idx="213">
                  <c:v>6.3423787961515785</c:v>
                </c:pt>
                <c:pt idx="214">
                  <c:v>5.334659025849902</c:v>
                </c:pt>
                <c:pt idx="215">
                  <c:v>3.8451784074934778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23-464D-940D-AFDE62BF7178}"/>
            </c:ext>
          </c:extLst>
        </c:ser>
        <c:ser>
          <c:idx val="2"/>
          <c:order val="2"/>
          <c:tx>
            <c:strRef>
              <c:f>Diagrammdaten!$E$7</c:f>
              <c:strCache>
                <c:ptCount val="1"/>
                <c:pt idx="0">
                  <c:v>flüssig [bar]</c:v>
                </c:pt>
              </c:strCache>
            </c:strRef>
          </c:tx>
          <c:spPr>
            <a:solidFill>
              <a:srgbClr val="D9EAD3"/>
            </a:solidFill>
            <a:ln>
              <a:noFill/>
            </a:ln>
          </c:spPr>
          <c:cat>
            <c:strRef>
              <c:f>Diagrammdaten!$C$8:$C$388</c:f>
              <c:strCache>
                <c:ptCount val="361"/>
                <c:pt idx="0">
                  <c:v>-80</c:v>
                </c:pt>
                <c:pt idx="40">
                  <c:v>-60</c:v>
                </c:pt>
                <c:pt idx="80">
                  <c:v>-40</c:v>
                </c:pt>
                <c:pt idx="120">
                  <c:v>-20</c:v>
                </c:pt>
                <c:pt idx="160">
                  <c:v>0</c:v>
                </c:pt>
                <c:pt idx="200">
                  <c:v>20</c:v>
                </c:pt>
                <c:pt idx="240">
                  <c:v>40</c:v>
                </c:pt>
                <c:pt idx="280">
                  <c:v>60</c:v>
                </c:pt>
                <c:pt idx="320">
                  <c:v>80</c:v>
                </c:pt>
                <c:pt idx="360">
                  <c:v>100</c:v>
                </c:pt>
              </c:strCache>
            </c:strRef>
          </c:cat>
          <c:val>
            <c:numRef>
              <c:f>Diagrammdaten!$E$8:$E$388</c:f>
              <c:numCache>
                <c:formatCode>General</c:formatCode>
                <c:ptCount val="3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-43.321938775399936</c:v>
                </c:pt>
                <c:pt idx="48">
                  <c:v>-19.573657769234739</c:v>
                </c:pt>
                <c:pt idx="49">
                  <c:v>4.2776478480946309</c:v>
                </c:pt>
                <c:pt idx="50">
                  <c:v>28.232206246358245</c:v>
                </c:pt>
                <c:pt idx="51">
                  <c:v>52.290236706728436</c:v>
                </c:pt>
                <c:pt idx="52">
                  <c:v>76.451950006248808</c:v>
                </c:pt>
                <c:pt idx="53">
                  <c:v>100.71754902042227</c:v>
                </c:pt>
                <c:pt idx="54">
                  <c:v>125.08722989143178</c:v>
                </c:pt>
                <c:pt idx="55">
                  <c:v>149.56117636254928</c:v>
                </c:pt>
                <c:pt idx="56">
                  <c:v>174.13957082020011</c:v>
                </c:pt>
                <c:pt idx="57">
                  <c:v>198.82258663142241</c:v>
                </c:pt>
                <c:pt idx="58">
                  <c:v>201.49839048002895</c:v>
                </c:pt>
                <c:pt idx="59">
                  <c:v>201.69061626761874</c:v>
                </c:pt>
                <c:pt idx="60">
                  <c:v>201.87398971257522</c:v>
                </c:pt>
                <c:pt idx="61">
                  <c:v>202.04938258815807</c:v>
                </c:pt>
                <c:pt idx="62">
                  <c:v>202.21669693946419</c:v>
                </c:pt>
                <c:pt idx="63">
                  <c:v>202.37607050637166</c:v>
                </c:pt>
                <c:pt idx="64">
                  <c:v>202.52763589515823</c:v>
                </c:pt>
                <c:pt idx="65">
                  <c:v>202.67152078069856</c:v>
                </c:pt>
                <c:pt idx="66">
                  <c:v>202.80784809955981</c:v>
                </c:pt>
                <c:pt idx="67">
                  <c:v>202.93673623452793</c:v>
                </c:pt>
                <c:pt idx="68">
                  <c:v>203.05829919095555</c:v>
                </c:pt>
                <c:pt idx="69">
                  <c:v>203.17264676543894</c:v>
                </c:pt>
                <c:pt idx="70">
                  <c:v>203.27988470717835</c:v>
                </c:pt>
                <c:pt idx="71">
                  <c:v>203.38011487239996</c:v>
                </c:pt>
                <c:pt idx="72">
                  <c:v>203.4734353722308</c:v>
                </c:pt>
                <c:pt idx="73">
                  <c:v>203.55994071433321</c:v>
                </c:pt>
                <c:pt idx="74">
                  <c:v>203.63972193860764</c:v>
                </c:pt>
                <c:pt idx="75">
                  <c:v>203.71286674726446</c:v>
                </c:pt>
                <c:pt idx="76">
                  <c:v>203.77945962955687</c:v>
                </c:pt>
                <c:pt idx="77">
                  <c:v>203.83958198140675</c:v>
                </c:pt>
                <c:pt idx="78">
                  <c:v>203.89331222017265</c:v>
                </c:pt>
                <c:pt idx="79">
                  <c:v>203.94072589478492</c:v>
                </c:pt>
                <c:pt idx="80">
                  <c:v>203.98189579147686</c:v>
                </c:pt>
                <c:pt idx="81">
                  <c:v>204.01689203529736</c:v>
                </c:pt>
                <c:pt idx="82">
                  <c:v>204.04578218759835</c:v>
                </c:pt>
                <c:pt idx="83">
                  <c:v>204.068631339663</c:v>
                </c:pt>
                <c:pt idx="84">
                  <c:v>204.08550220266577</c:v>
                </c:pt>
                <c:pt idx="85">
                  <c:v>204.0964551941201</c:v>
                </c:pt>
                <c:pt idx="86">
                  <c:v>204.10154852094416</c:v>
                </c:pt>
                <c:pt idx="87">
                  <c:v>204.10083825931736</c:v>
                </c:pt>
                <c:pt idx="88">
                  <c:v>204.09437843144002</c:v>
                </c:pt>
                <c:pt idx="89">
                  <c:v>204.08222107936075</c:v>
                </c:pt>
                <c:pt idx="90">
                  <c:v>204.06441633599323</c:v>
                </c:pt>
                <c:pt idx="91">
                  <c:v>204.04101249339703</c:v>
                </c:pt>
                <c:pt idx="92">
                  <c:v>204.0120560685381</c:v>
                </c:pt>
                <c:pt idx="93">
                  <c:v>203.97759186657498</c:v>
                </c:pt>
                <c:pt idx="94">
                  <c:v>203.93766304177774</c:v>
                </c:pt>
                <c:pt idx="95">
                  <c:v>203.8923111562753</c:v>
                </c:pt>
                <c:pt idx="96">
                  <c:v>203.84157623665229</c:v>
                </c:pt>
                <c:pt idx="97">
                  <c:v>203.78549682852511</c:v>
                </c:pt>
                <c:pt idx="98">
                  <c:v>203.7241100492744</c:v>
                </c:pt>
                <c:pt idx="99">
                  <c:v>203.65745163889017</c:v>
                </c:pt>
                <c:pt idx="100">
                  <c:v>203.5855560091868</c:v>
                </c:pt>
                <c:pt idx="101">
                  <c:v>203.50845629137879</c:v>
                </c:pt>
                <c:pt idx="102">
                  <c:v>203.4261843821331</c:v>
                </c:pt>
                <c:pt idx="103">
                  <c:v>203.33877098820264</c:v>
                </c:pt>
                <c:pt idx="104">
                  <c:v>203.24624575395379</c:v>
                </c:pt>
                <c:pt idx="105">
                  <c:v>203.14863760064185</c:v>
                </c:pt>
                <c:pt idx="106">
                  <c:v>203.04597267031991</c:v>
                </c:pt>
                <c:pt idx="107">
                  <c:v>202.93827940711759</c:v>
                </c:pt>
                <c:pt idx="108">
                  <c:v>202.82557854484836</c:v>
                </c:pt>
                <c:pt idx="109">
                  <c:v>202.70789975007659</c:v>
                </c:pt>
                <c:pt idx="110">
                  <c:v>202.58526458550972</c:v>
                </c:pt>
                <c:pt idx="111">
                  <c:v>202.45769569754702</c:v>
                </c:pt>
                <c:pt idx="112">
                  <c:v>202.32521489797176</c:v>
                </c:pt>
                <c:pt idx="113">
                  <c:v>202.18784332174496</c:v>
                </c:pt>
                <c:pt idx="114">
                  <c:v>202.0456019571549</c:v>
                </c:pt>
                <c:pt idx="115">
                  <c:v>201.89850831457809</c:v>
                </c:pt>
                <c:pt idx="116">
                  <c:v>201.74658214138174</c:v>
                </c:pt>
                <c:pt idx="117">
                  <c:v>201.58984091285851</c:v>
                </c:pt>
                <c:pt idx="118">
                  <c:v>201.42830370517791</c:v>
                </c:pt>
                <c:pt idx="119">
                  <c:v>201.26198642266996</c:v>
                </c:pt>
                <c:pt idx="120">
                  <c:v>201.09090540672429</c:v>
                </c:pt>
                <c:pt idx="121">
                  <c:v>200.91507628805502</c:v>
                </c:pt>
                <c:pt idx="122">
                  <c:v>200.73451421436408</c:v>
                </c:pt>
                <c:pt idx="123">
                  <c:v>200.54923383360841</c:v>
                </c:pt>
                <c:pt idx="124">
                  <c:v>200.35924930374262</c:v>
                </c:pt>
                <c:pt idx="125">
                  <c:v>200.16457433004936</c:v>
                </c:pt>
                <c:pt idx="126">
                  <c:v>199.9652221857022</c:v>
                </c:pt>
                <c:pt idx="127">
                  <c:v>199.76120573631954</c:v>
                </c:pt>
                <c:pt idx="128">
                  <c:v>199.55253746297512</c:v>
                </c:pt>
                <c:pt idx="129">
                  <c:v>199.33922948474554</c:v>
                </c:pt>
                <c:pt idx="130">
                  <c:v>199.12129358059838</c:v>
                </c:pt>
                <c:pt idx="131">
                  <c:v>198.89874121071978</c:v>
                </c:pt>
                <c:pt idx="132">
                  <c:v>198.67158353730571</c:v>
                </c:pt>
                <c:pt idx="133">
                  <c:v>198.43983144484085</c:v>
                </c:pt>
                <c:pt idx="134">
                  <c:v>198.20349555995858</c:v>
                </c:pt>
                <c:pt idx="135">
                  <c:v>197.96258627093769</c:v>
                </c:pt>
                <c:pt idx="136">
                  <c:v>197.71711374706209</c:v>
                </c:pt>
                <c:pt idx="137">
                  <c:v>197.46708795775592</c:v>
                </c:pt>
                <c:pt idx="138">
                  <c:v>197.21251869183223</c:v>
                </c:pt>
                <c:pt idx="139">
                  <c:v>196.95341557692242</c:v>
                </c:pt>
                <c:pt idx="140">
                  <c:v>196.68978809933753</c:v>
                </c:pt>
                <c:pt idx="141">
                  <c:v>196.42164562456736</c:v>
                </c:pt>
                <c:pt idx="142">
                  <c:v>196.14899741868678</c:v>
                </c:pt>
                <c:pt idx="143">
                  <c:v>195.87185267098772</c:v>
                </c:pt>
                <c:pt idx="144">
                  <c:v>195.59042473978019</c:v>
                </c:pt>
                <c:pt idx="145">
                  <c:v>195.30411007077186</c:v>
                </c:pt>
                <c:pt idx="146">
                  <c:v>195.01353044112622</c:v>
                </c:pt>
                <c:pt idx="147">
                  <c:v>194.71849077537172</c:v>
                </c:pt>
                <c:pt idx="148">
                  <c:v>194.4190002879202</c:v>
                </c:pt>
                <c:pt idx="149">
                  <c:v>194.11506830024717</c:v>
                </c:pt>
                <c:pt idx="150">
                  <c:v>193.80670428406319</c:v>
                </c:pt>
                <c:pt idx="151">
                  <c:v>193.49391790963293</c:v>
                </c:pt>
                <c:pt idx="152">
                  <c:v>193.17671909986115</c:v>
                </c:pt>
                <c:pt idx="153">
                  <c:v>192.85511809070925</c:v>
                </c:pt>
                <c:pt idx="154">
                  <c:v>192.52912549865241</c:v>
                </c:pt>
                <c:pt idx="155">
                  <c:v>192.19875239574151</c:v>
                </c:pt>
                <c:pt idx="156">
                  <c:v>191.86401039275356</c:v>
                </c:pt>
                <c:pt idx="157">
                  <c:v>191.52491173106893</c:v>
                </c:pt>
                <c:pt idx="158">
                  <c:v>191.18146938348454</c:v>
                </c:pt>
                <c:pt idx="159">
                  <c:v>190.83369716431511</c:v>
                </c:pt>
                <c:pt idx="160">
                  <c:v>190.48160984888668</c:v>
                </c:pt>
                <c:pt idx="161">
                  <c:v>190.12522330227574</c:v>
                </c:pt>
                <c:pt idx="162">
                  <c:v>189.76455461698157</c:v>
                </c:pt>
                <c:pt idx="163">
                  <c:v>189.39962225913962</c:v>
                </c:pt>
                <c:pt idx="164">
                  <c:v>189.03044622218147</c:v>
                </c:pt>
                <c:pt idx="165">
                  <c:v>188.6570481871035</c:v>
                </c:pt>
                <c:pt idx="166">
                  <c:v>188.27945168778555</c:v>
                </c:pt>
                <c:pt idx="167">
                  <c:v>187.89768227974054</c:v>
                </c:pt>
                <c:pt idx="168">
                  <c:v>187.51176771041108</c:v>
                </c:pt>
                <c:pt idx="169">
                  <c:v>187.1217380888113</c:v>
                </c:pt>
                <c:pt idx="170">
                  <c:v>186.72782367161105</c:v>
                </c:pt>
                <c:pt idx="171">
                  <c:v>186.3294669286951</c:v>
                </c:pt>
                <c:pt idx="172">
                  <c:v>185.92729889013117</c:v>
                </c:pt>
                <c:pt idx="173">
                  <c:v>185.52116309970603</c:v>
                </c:pt>
                <c:pt idx="174">
                  <c:v>185.11110384728153</c:v>
                </c:pt>
                <c:pt idx="175">
                  <c:v>184.69716867616555</c:v>
                </c:pt>
                <c:pt idx="176">
                  <c:v>184.27940850194264</c:v>
                </c:pt>
                <c:pt idx="177">
                  <c:v>183.85787772731845</c:v>
                </c:pt>
                <c:pt idx="178">
                  <c:v>183.4326343597086</c:v>
                </c:pt>
                <c:pt idx="179">
                  <c:v>183.00374014194477</c:v>
                </c:pt>
                <c:pt idx="180">
                  <c:v>182.57126071127004</c:v>
                </c:pt>
                <c:pt idx="181">
                  <c:v>182.13526580728518</c:v>
                </c:pt>
                <c:pt idx="182">
                  <c:v>181.69582955659251</c:v>
                </c:pt>
                <c:pt idx="183">
                  <c:v>181.25303087001697</c:v>
                </c:pt>
                <c:pt idx="184">
                  <c:v>180.80695399747086</c:v>
                </c:pt>
                <c:pt idx="185">
                  <c:v>180.35768929609577</c:v>
                </c:pt>
                <c:pt idx="186">
                  <c:v>179.90533427798783</c:v>
                </c:pt>
                <c:pt idx="187">
                  <c:v>179.4499999134961</c:v>
                </c:pt>
                <c:pt idx="188">
                  <c:v>178.99178799473742</c:v>
                </c:pt>
                <c:pt idx="189">
                  <c:v>178.53084250958801</c:v>
                </c:pt>
                <c:pt idx="190">
                  <c:v>178.06730371231544</c:v>
                </c:pt>
                <c:pt idx="191">
                  <c:v>177.60133641969122</c:v>
                </c:pt>
                <c:pt idx="192">
                  <c:v>177.13312978986386</c:v>
                </c:pt>
                <c:pt idx="193">
                  <c:v>176.66290297400741</c:v>
                </c:pt>
                <c:pt idx="194">
                  <c:v>176.19084470872423</c:v>
                </c:pt>
                <c:pt idx="195">
                  <c:v>175.71694518726434</c:v>
                </c:pt>
                <c:pt idx="196">
                  <c:v>175.24290369765919</c:v>
                </c:pt>
                <c:pt idx="197">
                  <c:v>174.76778031287827</c:v>
                </c:pt>
                <c:pt idx="198">
                  <c:v>174.29265692809736</c:v>
                </c:pt>
                <c:pt idx="199">
                  <c:v>173.81753354331642</c:v>
                </c:pt>
                <c:pt idx="200">
                  <c:v>173.34914890099773</c:v>
                </c:pt>
                <c:pt idx="201">
                  <c:v>172.89150376405883</c:v>
                </c:pt>
                <c:pt idx="202">
                  <c:v>172.43385862711995</c:v>
                </c:pt>
                <c:pt idx="203">
                  <c:v>171.97621349018107</c:v>
                </c:pt>
                <c:pt idx="204">
                  <c:v>171.51856835324219</c:v>
                </c:pt>
                <c:pt idx="205">
                  <c:v>171.06092321630331</c:v>
                </c:pt>
                <c:pt idx="206">
                  <c:v>170.6032780793644</c:v>
                </c:pt>
                <c:pt idx="207">
                  <c:v>170.14563294242549</c:v>
                </c:pt>
                <c:pt idx="208">
                  <c:v>169.74436943933841</c:v>
                </c:pt>
                <c:pt idx="209">
                  <c:v>169.34458678852729</c:v>
                </c:pt>
                <c:pt idx="210">
                  <c:v>168.94480413771618</c:v>
                </c:pt>
                <c:pt idx="211">
                  <c:v>168.61391573549059</c:v>
                </c:pt>
                <c:pt idx="212">
                  <c:v>168.28377747040247</c:v>
                </c:pt>
                <c:pt idx="213">
                  <c:v>168.03946643703171</c:v>
                </c:pt>
                <c:pt idx="214">
                  <c:v>167.84741809386375</c:v>
                </c:pt>
                <c:pt idx="215">
                  <c:v>167.90040675865129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79AE4295-7AA2-446F-9E0B-6019E9C6F8C5}"/>
            </c:ext>
          </c:extLst>
        </c:ser>
        <c:ser>
          <c:idx val="3"/>
          <c:order val="3"/>
          <c:tx>
            <c:strRef>
              <c:f>Diagrammdaten!$F$7</c:f>
              <c:strCache>
                <c:ptCount val="1"/>
                <c:pt idx="0">
                  <c:v>überkritisch [bar]</c:v>
                </c:pt>
              </c:strCache>
            </c:strRef>
          </c:tx>
          <c:spPr>
            <a:solidFill>
              <a:srgbClr val="FCE5CD"/>
            </a:solidFill>
            <a:ln>
              <a:noFill/>
            </a:ln>
          </c:spPr>
          <c:cat>
            <c:strRef>
              <c:f>Diagrammdaten!$C$8:$C$388</c:f>
              <c:strCache>
                <c:ptCount val="361"/>
                <c:pt idx="0">
                  <c:v>-80</c:v>
                </c:pt>
                <c:pt idx="40">
                  <c:v>-60</c:v>
                </c:pt>
                <c:pt idx="80">
                  <c:v>-40</c:v>
                </c:pt>
                <c:pt idx="120">
                  <c:v>-20</c:v>
                </c:pt>
                <c:pt idx="160">
                  <c:v>0</c:v>
                </c:pt>
                <c:pt idx="200">
                  <c:v>20</c:v>
                </c:pt>
                <c:pt idx="240">
                  <c:v>40</c:v>
                </c:pt>
                <c:pt idx="280">
                  <c:v>60</c:v>
                </c:pt>
                <c:pt idx="320">
                  <c:v>80</c:v>
                </c:pt>
                <c:pt idx="360">
                  <c:v>100</c:v>
                </c:pt>
              </c:strCache>
            </c:strRef>
          </c:cat>
          <c:val>
            <c:numRef>
              <c:f>Diagrammdaten!$F$8:$F$388</c:f>
              <c:numCache>
                <c:formatCode>General</c:formatCode>
                <c:ptCount val="3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168.54494427808675</c:v>
                </c:pt>
                <c:pt idx="217">
                  <c:v>168.54494427808675</c:v>
                </c:pt>
                <c:pt idx="218">
                  <c:v>168.54494427808675</c:v>
                </c:pt>
                <c:pt idx="219">
                  <c:v>168.54494427808675</c:v>
                </c:pt>
                <c:pt idx="220">
                  <c:v>168.54494427808675</c:v>
                </c:pt>
                <c:pt idx="221">
                  <c:v>168.54494427808675</c:v>
                </c:pt>
                <c:pt idx="222">
                  <c:v>168.54494427808675</c:v>
                </c:pt>
                <c:pt idx="223">
                  <c:v>168.54494427808675</c:v>
                </c:pt>
                <c:pt idx="224">
                  <c:v>168.54494427808675</c:v>
                </c:pt>
                <c:pt idx="225">
                  <c:v>168.54494427808675</c:v>
                </c:pt>
                <c:pt idx="226">
                  <c:v>168.54494427808675</c:v>
                </c:pt>
                <c:pt idx="227">
                  <c:v>168.54494427808675</c:v>
                </c:pt>
                <c:pt idx="228">
                  <c:v>168.54494427808675</c:v>
                </c:pt>
                <c:pt idx="229">
                  <c:v>168.54494427808675</c:v>
                </c:pt>
                <c:pt idx="230">
                  <c:v>168.54494427808675</c:v>
                </c:pt>
                <c:pt idx="231">
                  <c:v>168.54494427808675</c:v>
                </c:pt>
                <c:pt idx="232">
                  <c:v>168.54494427808675</c:v>
                </c:pt>
                <c:pt idx="233">
                  <c:v>168.54494427808675</c:v>
                </c:pt>
                <c:pt idx="234">
                  <c:v>168.54494427808675</c:v>
                </c:pt>
                <c:pt idx="235">
                  <c:v>168.54494427808675</c:v>
                </c:pt>
                <c:pt idx="236">
                  <c:v>168.54494427808675</c:v>
                </c:pt>
                <c:pt idx="237">
                  <c:v>168.54494427808675</c:v>
                </c:pt>
                <c:pt idx="238">
                  <c:v>168.54494427808675</c:v>
                </c:pt>
                <c:pt idx="239">
                  <c:v>168.54494427808675</c:v>
                </c:pt>
                <c:pt idx="240">
                  <c:v>168.54494427808675</c:v>
                </c:pt>
                <c:pt idx="241">
                  <c:v>168.54494427808675</c:v>
                </c:pt>
                <c:pt idx="242">
                  <c:v>168.54494427808675</c:v>
                </c:pt>
                <c:pt idx="243">
                  <c:v>168.54494427808675</c:v>
                </c:pt>
                <c:pt idx="244">
                  <c:v>168.54494427808675</c:v>
                </c:pt>
                <c:pt idx="245">
                  <c:v>168.54494427808675</c:v>
                </c:pt>
                <c:pt idx="246">
                  <c:v>168.54494427808675</c:v>
                </c:pt>
                <c:pt idx="247">
                  <c:v>168.54494427808675</c:v>
                </c:pt>
                <c:pt idx="248">
                  <c:v>168.54494427808675</c:v>
                </c:pt>
                <c:pt idx="249">
                  <c:v>168.54494427808675</c:v>
                </c:pt>
                <c:pt idx="250">
                  <c:v>168.54494427808675</c:v>
                </c:pt>
                <c:pt idx="251">
                  <c:v>168.54494427808675</c:v>
                </c:pt>
                <c:pt idx="252">
                  <c:v>168.54494427808675</c:v>
                </c:pt>
                <c:pt idx="253">
                  <c:v>168.54494427808675</c:v>
                </c:pt>
                <c:pt idx="254">
                  <c:v>168.54494427808675</c:v>
                </c:pt>
                <c:pt idx="255">
                  <c:v>168.54494427808675</c:v>
                </c:pt>
                <c:pt idx="256">
                  <c:v>168.54494427808675</c:v>
                </c:pt>
                <c:pt idx="257">
                  <c:v>168.54494427808675</c:v>
                </c:pt>
                <c:pt idx="258">
                  <c:v>168.54494427808675</c:v>
                </c:pt>
                <c:pt idx="259">
                  <c:v>168.54494427808675</c:v>
                </c:pt>
                <c:pt idx="260">
                  <c:v>168.54494427808675</c:v>
                </c:pt>
                <c:pt idx="261">
                  <c:v>168.54494427808675</c:v>
                </c:pt>
                <c:pt idx="262">
                  <c:v>168.54494427808675</c:v>
                </c:pt>
                <c:pt idx="263">
                  <c:v>168.54494427808675</c:v>
                </c:pt>
                <c:pt idx="264">
                  <c:v>168.54494427808675</c:v>
                </c:pt>
                <c:pt idx="265">
                  <c:v>168.54494427808675</c:v>
                </c:pt>
                <c:pt idx="266">
                  <c:v>168.54494427808675</c:v>
                </c:pt>
                <c:pt idx="267">
                  <c:v>168.54494427808675</c:v>
                </c:pt>
                <c:pt idx="268">
                  <c:v>168.54494427808675</c:v>
                </c:pt>
                <c:pt idx="269">
                  <c:v>168.54494427808675</c:v>
                </c:pt>
                <c:pt idx="270">
                  <c:v>168.54494427808675</c:v>
                </c:pt>
                <c:pt idx="271">
                  <c:v>168.54494427808675</c:v>
                </c:pt>
                <c:pt idx="272">
                  <c:v>168.54494427808675</c:v>
                </c:pt>
                <c:pt idx="273">
                  <c:v>168.54494427808675</c:v>
                </c:pt>
                <c:pt idx="274">
                  <c:v>168.54494427808675</c:v>
                </c:pt>
                <c:pt idx="275">
                  <c:v>168.54494427808675</c:v>
                </c:pt>
                <c:pt idx="276">
                  <c:v>168.54494427808675</c:v>
                </c:pt>
                <c:pt idx="277">
                  <c:v>168.54494427808675</c:v>
                </c:pt>
                <c:pt idx="278">
                  <c:v>168.54494427808675</c:v>
                </c:pt>
                <c:pt idx="279">
                  <c:v>168.54494427808675</c:v>
                </c:pt>
                <c:pt idx="280">
                  <c:v>168.54494427808675</c:v>
                </c:pt>
                <c:pt idx="281">
                  <c:v>168.54494427808675</c:v>
                </c:pt>
                <c:pt idx="282">
                  <c:v>168.54494427808675</c:v>
                </c:pt>
                <c:pt idx="283">
                  <c:v>168.54494427808675</c:v>
                </c:pt>
                <c:pt idx="284">
                  <c:v>168.54494427808675</c:v>
                </c:pt>
                <c:pt idx="285">
                  <c:v>168.54494427808675</c:v>
                </c:pt>
                <c:pt idx="286">
                  <c:v>168.54494427808675</c:v>
                </c:pt>
                <c:pt idx="287">
                  <c:v>168.54494427808675</c:v>
                </c:pt>
                <c:pt idx="288">
                  <c:v>168.54494427808675</c:v>
                </c:pt>
                <c:pt idx="289">
                  <c:v>168.54494427808675</c:v>
                </c:pt>
                <c:pt idx="290">
                  <c:v>168.54494427808675</c:v>
                </c:pt>
                <c:pt idx="291">
                  <c:v>168.54494427808675</c:v>
                </c:pt>
                <c:pt idx="292">
                  <c:v>168.54494427808675</c:v>
                </c:pt>
                <c:pt idx="293">
                  <c:v>168.54494427808675</c:v>
                </c:pt>
                <c:pt idx="294">
                  <c:v>168.54494427808675</c:v>
                </c:pt>
                <c:pt idx="295">
                  <c:v>168.54494427808675</c:v>
                </c:pt>
                <c:pt idx="296">
                  <c:v>168.54494427808675</c:v>
                </c:pt>
                <c:pt idx="297">
                  <c:v>168.54494427808675</c:v>
                </c:pt>
                <c:pt idx="298">
                  <c:v>168.54494427808675</c:v>
                </c:pt>
                <c:pt idx="299">
                  <c:v>168.54494427808675</c:v>
                </c:pt>
                <c:pt idx="300">
                  <c:v>168.54494427808675</c:v>
                </c:pt>
                <c:pt idx="301">
                  <c:v>168.54494427808675</c:v>
                </c:pt>
                <c:pt idx="302">
                  <c:v>168.54494427808675</c:v>
                </c:pt>
                <c:pt idx="303">
                  <c:v>168.54494427808675</c:v>
                </c:pt>
                <c:pt idx="304">
                  <c:v>168.54494427808675</c:v>
                </c:pt>
                <c:pt idx="305">
                  <c:v>168.54494427808675</c:v>
                </c:pt>
                <c:pt idx="306">
                  <c:v>168.54494427808675</c:v>
                </c:pt>
                <c:pt idx="307">
                  <c:v>168.54494427808675</c:v>
                </c:pt>
                <c:pt idx="308">
                  <c:v>168.54494427808675</c:v>
                </c:pt>
                <c:pt idx="309">
                  <c:v>168.54494427808675</c:v>
                </c:pt>
                <c:pt idx="310">
                  <c:v>168.54494427808675</c:v>
                </c:pt>
                <c:pt idx="311">
                  <c:v>168.54494427808675</c:v>
                </c:pt>
                <c:pt idx="312">
                  <c:v>168.54494427808675</c:v>
                </c:pt>
                <c:pt idx="313">
                  <c:v>168.54494427808675</c:v>
                </c:pt>
                <c:pt idx="314">
                  <c:v>168.54494427808675</c:v>
                </c:pt>
                <c:pt idx="315">
                  <c:v>168.54494427808675</c:v>
                </c:pt>
                <c:pt idx="316">
                  <c:v>168.54494427808675</c:v>
                </c:pt>
                <c:pt idx="317">
                  <c:v>168.54494427808675</c:v>
                </c:pt>
                <c:pt idx="318">
                  <c:v>168.54494427808675</c:v>
                </c:pt>
                <c:pt idx="319">
                  <c:v>168.54494427808675</c:v>
                </c:pt>
                <c:pt idx="320">
                  <c:v>168.54494427808675</c:v>
                </c:pt>
                <c:pt idx="321">
                  <c:v>168.54494427808675</c:v>
                </c:pt>
                <c:pt idx="322">
                  <c:v>168.54494427808675</c:v>
                </c:pt>
                <c:pt idx="323">
                  <c:v>168.54494427808675</c:v>
                </c:pt>
                <c:pt idx="324">
                  <c:v>168.54494427808675</c:v>
                </c:pt>
                <c:pt idx="325">
                  <c:v>168.54494427808675</c:v>
                </c:pt>
                <c:pt idx="326">
                  <c:v>168.54494427808675</c:v>
                </c:pt>
                <c:pt idx="327">
                  <c:v>168.54494427808675</c:v>
                </c:pt>
                <c:pt idx="328">
                  <c:v>168.54494427808675</c:v>
                </c:pt>
                <c:pt idx="329">
                  <c:v>168.54494427808675</c:v>
                </c:pt>
                <c:pt idx="330">
                  <c:v>168.54494427808675</c:v>
                </c:pt>
                <c:pt idx="331">
                  <c:v>168.54494427808675</c:v>
                </c:pt>
                <c:pt idx="332">
                  <c:v>168.54494427808675</c:v>
                </c:pt>
                <c:pt idx="333">
                  <c:v>168.54494427808675</c:v>
                </c:pt>
                <c:pt idx="334">
                  <c:v>168.54494427808675</c:v>
                </c:pt>
                <c:pt idx="335">
                  <c:v>168.54494427808675</c:v>
                </c:pt>
                <c:pt idx="336">
                  <c:v>168.54494427808675</c:v>
                </c:pt>
                <c:pt idx="337">
                  <c:v>168.54494427808675</c:v>
                </c:pt>
                <c:pt idx="338">
                  <c:v>168.54494427808675</c:v>
                </c:pt>
                <c:pt idx="339">
                  <c:v>168.54494427808675</c:v>
                </c:pt>
                <c:pt idx="340">
                  <c:v>168.54494427808675</c:v>
                </c:pt>
                <c:pt idx="341">
                  <c:v>168.54494427808675</c:v>
                </c:pt>
                <c:pt idx="342">
                  <c:v>168.54494427808675</c:v>
                </c:pt>
                <c:pt idx="343">
                  <c:v>168.54494427808675</c:v>
                </c:pt>
                <c:pt idx="344">
                  <c:v>168.54494427808675</c:v>
                </c:pt>
                <c:pt idx="345">
                  <c:v>168.54494427808675</c:v>
                </c:pt>
                <c:pt idx="346">
                  <c:v>168.54494427808675</c:v>
                </c:pt>
                <c:pt idx="347">
                  <c:v>168.54494427808675</c:v>
                </c:pt>
                <c:pt idx="348">
                  <c:v>168.54494427808675</c:v>
                </c:pt>
                <c:pt idx="349">
                  <c:v>168.54494427808675</c:v>
                </c:pt>
                <c:pt idx="350">
                  <c:v>168.54494427808675</c:v>
                </c:pt>
                <c:pt idx="351">
                  <c:v>168.54494427808675</c:v>
                </c:pt>
                <c:pt idx="352">
                  <c:v>168.54494427808675</c:v>
                </c:pt>
                <c:pt idx="353">
                  <c:v>168.54494427808675</c:v>
                </c:pt>
                <c:pt idx="354">
                  <c:v>168.54494427808675</c:v>
                </c:pt>
                <c:pt idx="355">
                  <c:v>168.54494427808675</c:v>
                </c:pt>
                <c:pt idx="356">
                  <c:v>168.54494427808675</c:v>
                </c:pt>
                <c:pt idx="357">
                  <c:v>168.54494427808675</c:v>
                </c:pt>
                <c:pt idx="358">
                  <c:v>168.54494427808675</c:v>
                </c:pt>
                <c:pt idx="359">
                  <c:v>168.54494427808675</c:v>
                </c:pt>
                <c:pt idx="360">
                  <c:v>168.54494427808675</c:v>
                </c:pt>
                <c:pt idx="361">
                  <c:v>168.54494427808675</c:v>
                </c:pt>
                <c:pt idx="362">
                  <c:v>168.54494427808675</c:v>
                </c:pt>
                <c:pt idx="363">
                  <c:v>168.54494427808675</c:v>
                </c:pt>
                <c:pt idx="364">
                  <c:v>168.54494427808675</c:v>
                </c:pt>
                <c:pt idx="365">
                  <c:v>168.54494427808675</c:v>
                </c:pt>
                <c:pt idx="366">
                  <c:v>168.54494427808675</c:v>
                </c:pt>
                <c:pt idx="367">
                  <c:v>168.54494427808675</c:v>
                </c:pt>
                <c:pt idx="368">
                  <c:v>168.54494427808675</c:v>
                </c:pt>
                <c:pt idx="369">
                  <c:v>168.54494427808675</c:v>
                </c:pt>
                <c:pt idx="370">
                  <c:v>168.54494427808675</c:v>
                </c:pt>
                <c:pt idx="371">
                  <c:v>168.54494427808675</c:v>
                </c:pt>
                <c:pt idx="372">
                  <c:v>168.54494427808675</c:v>
                </c:pt>
                <c:pt idx="373">
                  <c:v>168.54494427808675</c:v>
                </c:pt>
                <c:pt idx="374">
                  <c:v>168.54494427808675</c:v>
                </c:pt>
                <c:pt idx="375">
                  <c:v>168.54494427808675</c:v>
                </c:pt>
                <c:pt idx="376">
                  <c:v>168.54494427808675</c:v>
                </c:pt>
                <c:pt idx="377">
                  <c:v>168.54494427808675</c:v>
                </c:pt>
                <c:pt idx="378">
                  <c:v>168.54494427808675</c:v>
                </c:pt>
                <c:pt idx="379">
                  <c:v>168.54494427808675</c:v>
                </c:pt>
                <c:pt idx="380">
                  <c:v>168.54494427808675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23-464D-940D-AFDE62BF7178}"/>
            </c:ext>
          </c:extLst>
        </c:ser>
        <c:ser>
          <c:idx val="4"/>
          <c:order val="4"/>
          <c:tx>
            <c:strRef>
              <c:f>Diagrammdaten!$G$7</c:f>
              <c:strCache>
                <c:ptCount val="1"/>
                <c:pt idx="0">
                  <c:v>fest [bar]</c:v>
                </c:pt>
              </c:strCache>
            </c:strRef>
          </c:tx>
          <c:spPr>
            <a:solidFill>
              <a:srgbClr val="D9D2E9"/>
            </a:solidFill>
            <a:ln>
              <a:noFill/>
            </a:ln>
          </c:spPr>
          <c:cat>
            <c:strRef>
              <c:f>Diagrammdaten!$C$8:$C$388</c:f>
              <c:strCache>
                <c:ptCount val="361"/>
                <c:pt idx="0">
                  <c:v>-80</c:v>
                </c:pt>
                <c:pt idx="40">
                  <c:v>-60</c:v>
                </c:pt>
                <c:pt idx="80">
                  <c:v>-40</c:v>
                </c:pt>
                <c:pt idx="120">
                  <c:v>-20</c:v>
                </c:pt>
                <c:pt idx="160">
                  <c:v>0</c:v>
                </c:pt>
                <c:pt idx="200">
                  <c:v>20</c:v>
                </c:pt>
                <c:pt idx="240">
                  <c:v>40</c:v>
                </c:pt>
                <c:pt idx="280">
                  <c:v>60</c:v>
                </c:pt>
                <c:pt idx="320">
                  <c:v>80</c:v>
                </c:pt>
                <c:pt idx="360">
                  <c:v>100</c:v>
                </c:pt>
              </c:strCache>
            </c:strRef>
          </c:cat>
          <c:val>
            <c:numRef>
              <c:f>Diagrammdaten!$G$8:$G$388</c:f>
              <c:numCache>
                <c:formatCode>General</c:formatCode>
                <c:ptCount val="381"/>
                <c:pt idx="0">
                  <c:v>249.10758432028197</c:v>
                </c:pt>
                <c:pt idx="1">
                  <c:v>249.0697020259696</c:v>
                </c:pt>
                <c:pt idx="2">
                  <c:v>249.03041162618976</c:v>
                </c:pt>
                <c:pt idx="3">
                  <c:v>248.98966806549112</c:v>
                </c:pt>
                <c:pt idx="4">
                  <c:v>248.94742506021737</c:v>
                </c:pt>
                <c:pt idx="5">
                  <c:v>248.90363506914466</c:v>
                </c:pt>
                <c:pt idx="6">
                  <c:v>248.8582492633968</c:v>
                </c:pt>
                <c:pt idx="7">
                  <c:v>248.81121749561368</c:v>
                </c:pt>
                <c:pt idx="8">
                  <c:v>248.76248826834575</c:v>
                </c:pt>
                <c:pt idx="9">
                  <c:v>248.71200870164714</c:v>
                </c:pt>
                <c:pt idx="10">
                  <c:v>248.6597244998367</c:v>
                </c:pt>
                <c:pt idx="11">
                  <c:v>248.60557991739603</c:v>
                </c:pt>
                <c:pt idx="12">
                  <c:v>248.5495177239693</c:v>
                </c:pt>
                <c:pt idx="13">
                  <c:v>248.49147916842955</c:v>
                </c:pt>
                <c:pt idx="14">
                  <c:v>248.43140394197135</c:v>
                </c:pt>
                <c:pt idx="15">
                  <c:v>248.36923014018808</c:v>
                </c:pt>
                <c:pt idx="16">
                  <c:v>248.30489422408749</c:v>
                </c:pt>
                <c:pt idx="17">
                  <c:v>248.23833097999642</c:v>
                </c:pt>
                <c:pt idx="18">
                  <c:v>248.16947347829941</c:v>
                </c:pt>
                <c:pt idx="19">
                  <c:v>248.09825303095215</c:v>
                </c:pt>
                <c:pt idx="20">
                  <c:v>248.02459914770341</c:v>
                </c:pt>
                <c:pt idx="21">
                  <c:v>247.94843949095201</c:v>
                </c:pt>
                <c:pt idx="22">
                  <c:v>247.86969982915753</c:v>
                </c:pt>
                <c:pt idx="23">
                  <c:v>247.78830398871139</c:v>
                </c:pt>
                <c:pt idx="24">
                  <c:v>247.70417380416475</c:v>
                </c:pt>
                <c:pt idx="25">
                  <c:v>247.6172290666922</c:v>
                </c:pt>
                <c:pt idx="26">
                  <c:v>247.52738747065339</c:v>
                </c:pt>
                <c:pt idx="27">
                  <c:v>247.4345645580903</c:v>
                </c:pt>
                <c:pt idx="28">
                  <c:v>247.3386736609695</c:v>
                </c:pt>
                <c:pt idx="29">
                  <c:v>247.23962584094059</c:v>
                </c:pt>
                <c:pt idx="30">
                  <c:v>247.13732982633502</c:v>
                </c:pt>
                <c:pt idx="31">
                  <c:v>247.03169194606474</c:v>
                </c:pt>
                <c:pt idx="32">
                  <c:v>246.92261605999738</c:v>
                </c:pt>
                <c:pt idx="33">
                  <c:v>246.81000348526769</c:v>
                </c:pt>
                <c:pt idx="34">
                  <c:v>246.69375291782731</c:v>
                </c:pt>
                <c:pt idx="35">
                  <c:v>246.57376034830631</c:v>
                </c:pt>
                <c:pt idx="36">
                  <c:v>246.44991897092928</c:v>
                </c:pt>
                <c:pt idx="37">
                  <c:v>246.32211908373046</c:v>
                </c:pt>
                <c:pt idx="38">
                  <c:v>246.19024797753519</c:v>
                </c:pt>
                <c:pt idx="39">
                  <c:v>246.05418980991723</c:v>
                </c:pt>
                <c:pt idx="40">
                  <c:v>245.91382545819579</c:v>
                </c:pt>
                <c:pt idx="41">
                  <c:v>245.76903234166346</c:v>
                </c:pt>
                <c:pt idx="42">
                  <c:v>245.61968419570067</c:v>
                </c:pt>
                <c:pt idx="43">
                  <c:v>245.46565076430832</c:v>
                </c:pt>
                <c:pt idx="44">
                  <c:v>245.30679733832375</c:v>
                </c:pt>
                <c:pt idx="45">
                  <c:v>245.14298395103927</c:v>
                </c:pt>
                <c:pt idx="46">
                  <c:v>244.9740635750301</c:v>
                </c:pt>
                <c:pt idx="47">
                  <c:v>242.10720440871191</c:v>
                </c:pt>
                <c:pt idx="48">
                  <c:v>218.65464354090309</c:v>
                </c:pt>
                <c:pt idx="49">
                  <c:v>195.08860930988234</c:v>
                </c:pt>
                <c:pt idx="50">
                  <c:v>171.40910171565417</c:v>
                </c:pt>
                <c:pt idx="51">
                  <c:v>147.61612075821634</c:v>
                </c:pt>
                <c:pt idx="52">
                  <c:v>123.70966643756657</c:v>
                </c:pt>
                <c:pt idx="53">
                  <c:v>99.689738753709378</c:v>
                </c:pt>
                <c:pt idx="54">
                  <c:v>75.556337706640221</c:v>
                </c:pt>
                <c:pt idx="55">
                  <c:v>51.309463296363703</c:v>
                </c:pt>
                <c:pt idx="56">
                  <c:v>26.94911552287752</c:v>
                </c:pt>
                <c:pt idx="57">
                  <c:v>2.4752943861793142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823-464D-940D-AFDE62BF71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90001"/>
        <c:axId val="50090002"/>
      </c:areaChart>
      <c:scatterChart>
        <c:scatterStyle val="lineMarker"/>
        <c:varyColors val="0"/>
        <c:ser>
          <c:idx val="5"/>
          <c:order val="5"/>
          <c:tx>
            <c:v>Phasengrenze Gemisch (Tau-/Blasenlinie)</c:v>
          </c:tx>
          <c:spPr>
            <a:ln w="22225">
              <a:solidFill>
                <a:srgbClr val="CA220E"/>
              </a:solidFill>
            </a:ln>
          </c:spPr>
          <c:marker>
            <c:symbol val="none"/>
          </c:marker>
          <c:xVal>
            <c:numRef>
              <c:f>Diagrammdaten!$L$8:$L$77</c:f>
              <c:numCache>
                <c:formatCode>General</c:formatCode>
                <c:ptCount val="70"/>
                <c:pt idx="0">
                  <c:v>47.884000000000071</c:v>
                </c:pt>
                <c:pt idx="1">
                  <c:v>53.996053427743234</c:v>
                </c:pt>
                <c:pt idx="2">
                  <c:v>60.108106855486398</c:v>
                </c:pt>
                <c:pt idx="3">
                  <c:v>66.220160283229561</c:v>
                </c:pt>
                <c:pt idx="4">
                  <c:v>72.332213710972724</c:v>
                </c:pt>
                <c:pt idx="5">
                  <c:v>78.444267138715887</c:v>
                </c:pt>
                <c:pt idx="6">
                  <c:v>84.55632056645905</c:v>
                </c:pt>
                <c:pt idx="7">
                  <c:v>90.668373994202227</c:v>
                </c:pt>
                <c:pt idx="8">
                  <c:v>96.780427421945376</c:v>
                </c:pt>
                <c:pt idx="9">
                  <c:v>102.89248084968855</c:v>
                </c:pt>
                <c:pt idx="10">
                  <c:v>109.0045342774317</c:v>
                </c:pt>
                <c:pt idx="11">
                  <c:v>115.11658770517488</c:v>
                </c:pt>
                <c:pt idx="12">
                  <c:v>121.22864113291804</c:v>
                </c:pt>
                <c:pt idx="13">
                  <c:v>127.34069456066121</c:v>
                </c:pt>
                <c:pt idx="14">
                  <c:v>133.45274798840438</c:v>
                </c:pt>
                <c:pt idx="15">
                  <c:v>139.56480141614753</c:v>
                </c:pt>
                <c:pt idx="16">
                  <c:v>145.67685484389068</c:v>
                </c:pt>
                <c:pt idx="17">
                  <c:v>151.78890827163386</c:v>
                </c:pt>
                <c:pt idx="18">
                  <c:v>157.90096169937704</c:v>
                </c:pt>
                <c:pt idx="19">
                  <c:v>164.01301512712018</c:v>
                </c:pt>
                <c:pt idx="20">
                  <c:v>170.12506855486333</c:v>
                </c:pt>
                <c:pt idx="21">
                  <c:v>176.23712198260651</c:v>
                </c:pt>
                <c:pt idx="22">
                  <c:v>182.34917541034969</c:v>
                </c:pt>
                <c:pt idx="23">
                  <c:v>188.46122883809284</c:v>
                </c:pt>
                <c:pt idx="24">
                  <c:v>194.57328226583601</c:v>
                </c:pt>
                <c:pt idx="25">
                  <c:v>200.68533569357916</c:v>
                </c:pt>
                <c:pt idx="26">
                  <c:v>206.79738912132234</c:v>
                </c:pt>
                <c:pt idx="27">
                  <c:v>212.90944254906549</c:v>
                </c:pt>
                <c:pt idx="28">
                  <c:v>213.11530334534405</c:v>
                </c:pt>
                <c:pt idx="29">
                  <c:v>215.09671087318316</c:v>
                </c:pt>
                <c:pt idx="30">
                  <c:v>216.46977996825069</c:v>
                </c:pt>
                <c:pt idx="31">
                  <c:v>217.14708372948724</c:v>
                </c:pt>
                <c:pt idx="32">
                  <c:v>217.18664870023304</c:v>
                </c:pt>
                <c:pt idx="33">
                  <c:v>217.11976458358242</c:v>
                </c:pt>
                <c:pt idx="34">
                  <c:v>216.69912051454844</c:v>
                </c:pt>
                <c:pt idx="35">
                  <c:v>216.53333128843872</c:v>
                </c:pt>
                <c:pt idx="36">
                  <c:v>216.09101257175962</c:v>
                </c:pt>
                <c:pt idx="37">
                  <c:v>215.89566713390104</c:v>
                </c:pt>
                <c:pt idx="38">
                  <c:v>215.42623598676914</c:v>
                </c:pt>
                <c:pt idx="39">
                  <c:v>214.8293647044818</c:v>
                </c:pt>
                <c:pt idx="40">
                  <c:v>213.22434190975093</c:v>
                </c:pt>
                <c:pt idx="41">
                  <c:v>212.90944254906549</c:v>
                </c:pt>
                <c:pt idx="42">
                  <c:v>207.01567674374172</c:v>
                </c:pt>
                <c:pt idx="43">
                  <c:v>201.12191093841795</c:v>
                </c:pt>
                <c:pt idx="44">
                  <c:v>195.22814513309419</c:v>
                </c:pt>
                <c:pt idx="45">
                  <c:v>189.33437932777042</c:v>
                </c:pt>
                <c:pt idx="46">
                  <c:v>183.44061352244665</c:v>
                </c:pt>
                <c:pt idx="47">
                  <c:v>177.54684771712289</c:v>
                </c:pt>
                <c:pt idx="48">
                  <c:v>171.65308191179912</c:v>
                </c:pt>
                <c:pt idx="49">
                  <c:v>165.75931610647535</c:v>
                </c:pt>
                <c:pt idx="50">
                  <c:v>159.86555030115159</c:v>
                </c:pt>
                <c:pt idx="51">
                  <c:v>153.97178449582782</c:v>
                </c:pt>
                <c:pt idx="52">
                  <c:v>148.07801869050405</c:v>
                </c:pt>
                <c:pt idx="53">
                  <c:v>142.18425288518031</c:v>
                </c:pt>
                <c:pt idx="54">
                  <c:v>136.29048707985655</c:v>
                </c:pt>
                <c:pt idx="55">
                  <c:v>130.39672127453278</c:v>
                </c:pt>
                <c:pt idx="56">
                  <c:v>124.50295546920901</c:v>
                </c:pt>
                <c:pt idx="57">
                  <c:v>118.60918966388525</c:v>
                </c:pt>
                <c:pt idx="58">
                  <c:v>112.71542385856148</c:v>
                </c:pt>
                <c:pt idx="59">
                  <c:v>106.82165805323771</c:v>
                </c:pt>
                <c:pt idx="60">
                  <c:v>100.92789224791395</c:v>
                </c:pt>
                <c:pt idx="61">
                  <c:v>95.034126442590178</c:v>
                </c:pt>
                <c:pt idx="62">
                  <c:v>89.140360637266426</c:v>
                </c:pt>
                <c:pt idx="63">
                  <c:v>83.246594831942645</c:v>
                </c:pt>
                <c:pt idx="64">
                  <c:v>77.352829026618878</c:v>
                </c:pt>
                <c:pt idx="65">
                  <c:v>71.459063221295139</c:v>
                </c:pt>
                <c:pt idx="66">
                  <c:v>65.565297415971372</c:v>
                </c:pt>
                <c:pt idx="67">
                  <c:v>59.671531610647605</c:v>
                </c:pt>
                <c:pt idx="68">
                  <c:v>53.777765805323838</c:v>
                </c:pt>
                <c:pt idx="69">
                  <c:v>47.884000000000071</c:v>
                </c:pt>
              </c:numCache>
            </c:numRef>
          </c:xVal>
          <c:yVal>
            <c:numRef>
              <c:f>Diagrammdaten!$K$8:$K$77</c:f>
              <c:numCache>
                <c:formatCode>General</c:formatCode>
                <c:ptCount val="70"/>
                <c:pt idx="0">
                  <c:v>5.4780051259929632</c:v>
                </c:pt>
                <c:pt idx="1">
                  <c:v>6.2465283664309963</c:v>
                </c:pt>
                <c:pt idx="2">
                  <c:v>7.094026716138905</c:v>
                </c:pt>
                <c:pt idx="3">
                  <c:v>8.0255579412624787</c:v>
                </c:pt>
                <c:pt idx="4">
                  <c:v>9.0463049806261271</c:v>
                </c:pt>
                <c:pt idx="5">
                  <c:v>10.161580260227899</c:v>
                </c:pt>
                <c:pt idx="6">
                  <c:v>11.376832494554185</c:v>
                </c:pt>
                <c:pt idx="7">
                  <c:v>12.697656236143098</c:v>
                </c:pt>
                <c:pt idx="8">
                  <c:v>14.129804656079587</c:v>
                </c:pt>
                <c:pt idx="9">
                  <c:v>15.67923451447156</c:v>
                </c:pt>
                <c:pt idx="10">
                  <c:v>17.352406968327372</c:v>
                </c:pt>
                <c:pt idx="11">
                  <c:v>19.155353708527862</c:v>
                </c:pt>
                <c:pt idx="12">
                  <c:v>21.094699875721581</c:v>
                </c:pt>
                <c:pt idx="13">
                  <c:v>23.177390130610402</c:v>
                </c:pt>
                <c:pt idx="14">
                  <c:v>25.410755922853671</c:v>
                </c:pt>
                <c:pt idx="15">
                  <c:v>27.802604003304531</c:v>
                </c:pt>
                <c:pt idx="16">
                  <c:v>30.363205999893026</c:v>
                </c:pt>
                <c:pt idx="17">
                  <c:v>33.096101826227539</c:v>
                </c:pt>
                <c:pt idx="18">
                  <c:v>36.017129110207115</c:v>
                </c:pt>
                <c:pt idx="19">
                  <c:v>39.136313339837116</c:v>
                </c:pt>
                <c:pt idx="20">
                  <c:v>42.466439159222979</c:v>
                </c:pt>
                <c:pt idx="21">
                  <c:v>46.023360530623989</c:v>
                </c:pt>
                <c:pt idx="22">
                  <c:v>49.826593298424697</c:v>
                </c:pt>
                <c:pt idx="23">
                  <c:v>53.902917038676897</c:v>
                </c:pt>
                <c:pt idx="24">
                  <c:v>58.288588500852839</c:v>
                </c:pt>
                <c:pt idx="25">
                  <c:v>63.115296932976065</c:v>
                </c:pt>
                <c:pt idx="26">
                  <c:v>68.296439810562831</c:v>
                </c:pt>
                <c:pt idx="27">
                  <c:v>74.339555460510013</c:v>
                </c:pt>
                <c:pt idx="28">
                  <c:v>74.556723930467271</c:v>
                </c:pt>
                <c:pt idx="29">
                  <c:v>76.933953502157294</c:v>
                </c:pt>
                <c:pt idx="30">
                  <c:v>78.941156502790562</c:v>
                </c:pt>
                <c:pt idx="31">
                  <c:v>80.494760566134005</c:v>
                </c:pt>
                <c:pt idx="32">
                  <c:v>80.896473762668705</c:v>
                </c:pt>
                <c:pt idx="33">
                  <c:v>81.224767037052715</c:v>
                </c:pt>
                <c:pt idx="34">
                  <c:v>81.685344406773822</c:v>
                </c:pt>
                <c:pt idx="35">
                  <c:v>81.838319578037911</c:v>
                </c:pt>
                <c:pt idx="36">
                  <c:v>82.075301596995402</c:v>
                </c:pt>
                <c:pt idx="37">
                  <c:v>82.127440129186695</c:v>
                </c:pt>
                <c:pt idx="38">
                  <c:v>82.17759431791859</c:v>
                </c:pt>
                <c:pt idx="39">
                  <c:v>82.142568673071494</c:v>
                </c:pt>
                <c:pt idx="40">
                  <c:v>81.790286378469247</c:v>
                </c:pt>
                <c:pt idx="41">
                  <c:v>81.686326049855197</c:v>
                </c:pt>
                <c:pt idx="42">
                  <c:v>79.403896306172044</c:v>
                </c:pt>
                <c:pt idx="43">
                  <c:v>76.706643047108898</c:v>
                </c:pt>
                <c:pt idx="44">
                  <c:v>73.917273160672508</c:v>
                </c:pt>
                <c:pt idx="45">
                  <c:v>71.162241328121723</c:v>
                </c:pt>
                <c:pt idx="46">
                  <c:v>68.499105449613097</c:v>
                </c:pt>
                <c:pt idx="47">
                  <c:v>65.950868682966799</c:v>
                </c:pt>
                <c:pt idx="48">
                  <c:v>63.532027644965225</c:v>
                </c:pt>
                <c:pt idx="49">
                  <c:v>61.252710857907914</c:v>
                </c:pt>
                <c:pt idx="50">
                  <c:v>59.119111530194637</c:v>
                </c:pt>
                <c:pt idx="51">
                  <c:v>57.135698205735828</c:v>
                </c:pt>
                <c:pt idx="52">
                  <c:v>55.304834874033894</c:v>
                </c:pt>
                <c:pt idx="53">
                  <c:v>53.628494465250789</c:v>
                </c:pt>
                <c:pt idx="54">
                  <c:v>52.108566858257042</c:v>
                </c:pt>
                <c:pt idx="55">
                  <c:v>50.747017816934239</c:v>
                </c:pt>
                <c:pt idx="56">
                  <c:v>49.546046180813249</c:v>
                </c:pt>
                <c:pt idx="57">
                  <c:v>48.508227960961797</c:v>
                </c:pt>
                <c:pt idx="58">
                  <c:v>47.636678138918917</c:v>
                </c:pt>
                <c:pt idx="59">
                  <c:v>46.935238191457664</c:v>
                </c:pt>
                <c:pt idx="60">
                  <c:v>46.40892779619076</c:v>
                </c:pt>
                <c:pt idx="61">
                  <c:v>46.063863329321116</c:v>
                </c:pt>
                <c:pt idx="62">
                  <c:v>45.907235940758852</c:v>
                </c:pt>
                <c:pt idx="63">
                  <c:v>45.948412119295952</c:v>
                </c:pt>
                <c:pt idx="64">
                  <c:v>46.199065481880361</c:v>
                </c:pt>
                <c:pt idx="65">
                  <c:v>46.673734775122661</c:v>
                </c:pt>
                <c:pt idx="66">
                  <c:v>47.390529862815043</c:v>
                </c:pt>
                <c:pt idx="67">
                  <c:v>48.372032320327683</c:v>
                </c:pt>
                <c:pt idx="68">
                  <c:v>49.646459563221228</c:v>
                </c:pt>
                <c:pt idx="69">
                  <c:v>51.249178858911719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823-464D-940D-AFDE62BF7178}"/>
            </c:ext>
          </c:extLst>
        </c:ser>
        <c:ser>
          <c:idx val="6"/>
          <c:order val="6"/>
          <c:tx>
            <c:v>Sättigungslinie reines CO₂ (Vergleich)</c:v>
          </c:tx>
          <c:spPr>
            <a:ln w="12700" cap="rnd">
              <a:solidFill>
                <a:srgbClr val="808080"/>
              </a:solidFill>
              <a:round/>
            </a:ln>
          </c:spPr>
          <c:marker>
            <c:symbol val="none"/>
          </c:marker>
          <c:xVal>
            <c:numRef>
              <c:f>Diagrammdaten!$L$256:$L$296</c:f>
              <c:numCache>
                <c:formatCode>General</c:formatCode>
                <c:ptCount val="41"/>
                <c:pt idx="0">
                  <c:v>47.884000000000071</c:v>
                </c:pt>
                <c:pt idx="1">
                  <c:v>52.260760000149105</c:v>
                </c:pt>
                <c:pt idx="2">
                  <c:v>56.637520000298139</c:v>
                </c:pt>
                <c:pt idx="3">
                  <c:v>61.014280000447172</c:v>
                </c:pt>
                <c:pt idx="4">
                  <c:v>65.391040000596206</c:v>
                </c:pt>
                <c:pt idx="5">
                  <c:v>69.76780000074524</c:v>
                </c:pt>
                <c:pt idx="6">
                  <c:v>74.144560000894273</c:v>
                </c:pt>
                <c:pt idx="7">
                  <c:v>78.521320001043307</c:v>
                </c:pt>
                <c:pt idx="8">
                  <c:v>82.898080001192341</c:v>
                </c:pt>
                <c:pt idx="9">
                  <c:v>87.274840001341374</c:v>
                </c:pt>
                <c:pt idx="10">
                  <c:v>91.651600001490408</c:v>
                </c:pt>
                <c:pt idx="11">
                  <c:v>96.028360001639442</c:v>
                </c:pt>
                <c:pt idx="12">
                  <c:v>100.40512000178848</c:v>
                </c:pt>
                <c:pt idx="13">
                  <c:v>104.78188000193751</c:v>
                </c:pt>
                <c:pt idx="14">
                  <c:v>109.1586400020866</c:v>
                </c:pt>
                <c:pt idx="15">
                  <c:v>113.53540000223563</c:v>
                </c:pt>
                <c:pt idx="16">
                  <c:v>117.91216000238467</c:v>
                </c:pt>
                <c:pt idx="17">
                  <c:v>122.2889200025337</c:v>
                </c:pt>
                <c:pt idx="18">
                  <c:v>126.66568000268273</c:v>
                </c:pt>
                <c:pt idx="19">
                  <c:v>131.04244000283177</c:v>
                </c:pt>
                <c:pt idx="20">
                  <c:v>135.4192000029808</c:v>
                </c:pt>
                <c:pt idx="21">
                  <c:v>139.79596000312984</c:v>
                </c:pt>
                <c:pt idx="22">
                  <c:v>144.17272000327887</c:v>
                </c:pt>
                <c:pt idx="23">
                  <c:v>148.5494800034279</c:v>
                </c:pt>
                <c:pt idx="24">
                  <c:v>152.92624000357694</c:v>
                </c:pt>
                <c:pt idx="25">
                  <c:v>157.30300000372597</c:v>
                </c:pt>
                <c:pt idx="26">
                  <c:v>161.679760003875</c:v>
                </c:pt>
                <c:pt idx="27">
                  <c:v>166.05652000402404</c:v>
                </c:pt>
                <c:pt idx="28">
                  <c:v>170.43328000417307</c:v>
                </c:pt>
                <c:pt idx="29">
                  <c:v>174.8100400043221</c:v>
                </c:pt>
                <c:pt idx="30">
                  <c:v>179.18680000447114</c:v>
                </c:pt>
                <c:pt idx="31">
                  <c:v>183.56356000462017</c:v>
                </c:pt>
                <c:pt idx="32">
                  <c:v>187.94032000476921</c:v>
                </c:pt>
                <c:pt idx="33">
                  <c:v>192.31708000491824</c:v>
                </c:pt>
                <c:pt idx="34">
                  <c:v>196.69384000506727</c:v>
                </c:pt>
                <c:pt idx="35">
                  <c:v>201.07060000521631</c:v>
                </c:pt>
                <c:pt idx="36">
                  <c:v>205.44736000536534</c:v>
                </c:pt>
                <c:pt idx="37">
                  <c:v>209.82412000551437</c:v>
                </c:pt>
                <c:pt idx="38">
                  <c:v>214.20088000566341</c:v>
                </c:pt>
                <c:pt idx="39">
                  <c:v>218.57764000581244</c:v>
                </c:pt>
                <c:pt idx="40">
                  <c:v>222.95440000596147</c:v>
                </c:pt>
              </c:numCache>
            </c:numRef>
          </c:xVal>
          <c:yVal>
            <c:numRef>
              <c:f>Diagrammdaten!$K$256:$K$296</c:f>
              <c:numCache>
                <c:formatCode>General</c:formatCode>
                <c:ptCount val="41"/>
                <c:pt idx="0">
                  <c:v>5.179643433349451</c:v>
                </c:pt>
                <c:pt idx="1">
                  <c:v>5.690561898357319</c:v>
                </c:pt>
                <c:pt idx="2">
                  <c:v>6.2385925725646123</c:v>
                </c:pt>
                <c:pt idx="3">
                  <c:v>6.825395560929695</c:v>
                </c:pt>
                <c:pt idx="4">
                  <c:v>7.4526521748979997</c:v>
                </c:pt>
                <c:pt idx="5">
                  <c:v>8.1220643662310241</c:v>
                </c:pt>
                <c:pt idx="6">
                  <c:v>8.8353543202131775</c:v>
                </c:pt>
                <c:pt idx="7">
                  <c:v>9.5942642191494194</c:v>
                </c:pt>
                <c:pt idx="8">
                  <c:v>10.400556183845032</c:v>
                </c:pt>
                <c:pt idx="9">
                  <c:v>11.256012395801237</c:v>
                </c:pt>
                <c:pt idx="10">
                  <c:v>12.162435399008638</c:v>
                </c:pt>
                <c:pt idx="11">
                  <c:v>13.12164858209297</c:v>
                </c:pt>
                <c:pt idx="12">
                  <c:v>14.135496853100509</c:v>
                </c:pt>
                <c:pt idx="13">
                  <c:v>15.205847540490653</c:v>
                </c:pt>
                <c:pt idx="14">
                  <c:v>16.334591579694806</c:v>
                </c:pt>
                <c:pt idx="15">
                  <c:v>17.523645066186731</c:v>
                </c:pt>
                <c:pt idx="16">
                  <c:v>18.774951265593533</c:v>
                </c:pt>
                <c:pt idx="17">
                  <c:v>20.09048316632229</c:v>
                </c:pt>
                <c:pt idx="18">
                  <c:v>21.472246644534383</c:v>
                </c:pt>
                <c:pt idx="19">
                  <c:v>22.922284294019239</c:v>
                </c:pt>
                <c:pt idx="20">
                  <c:v>24.442679965043133</c:v>
                </c:pt>
                <c:pt idx="21">
                  <c:v>26.035564065652519</c:v>
                </c:pt>
                <c:pt idx="22">
                  <c:v>27.703119713043016</c:v>
                </c:pt>
                <c:pt idx="23">
                  <c:v>29.447589887066314</c:v>
                </c:pt>
                <c:pt idx="24">
                  <c:v>31.271285838462976</c:v>
                </c:pt>
                <c:pt idx="25">
                  <c:v>33.176597146455947</c:v>
                </c:pt>
                <c:pt idx="26">
                  <c:v>35.166004004476882</c:v>
                </c:pt>
                <c:pt idx="27">
                  <c:v>37.242092524682882</c:v>
                </c:pt>
                <c:pt idx="28">
                  <c:v>39.40757405146131</c:v>
                </c:pt>
                <c:pt idx="29">
                  <c:v>41.665309602075148</c:v>
                </c:pt>
                <c:pt idx="30">
                  <c:v>44.018340595742728</c:v>
                </c:pt>
                <c:pt idx="31">
                  <c:v>46.46992720935107</c:v>
                </c:pt>
                <c:pt idx="32">
                  <c:v>49.023596810330844</c:v>
                </c:pt>
                <c:pt idx="33">
                  <c:v>51.683208775895139</c:v>
                </c:pt>
                <c:pt idx="34">
                  <c:v>54.453051446377017</c:v>
                </c:pt>
                <c:pt idx="35">
                  <c:v>57.338004121264795</c:v>
                </c:pt>
                <c:pt idx="36">
                  <c:v>60.343818172330835</c:v>
                </c:pt>
                <c:pt idx="37">
                  <c:v>63.4775854036277</c:v>
                </c:pt>
                <c:pt idx="38">
                  <c:v>66.748524248563641</c:v>
                </c:pt>
                <c:pt idx="39">
                  <c:v>70.169980059503217</c:v>
                </c:pt>
                <c:pt idx="40">
                  <c:v>73.771278108842608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84E97742-3EE4-4656-8FC2-740CA744D32C}"/>
            </c:ext>
          </c:extLst>
        </c:ser>
        <c:ser>
          <c:idx val="7"/>
          <c:order val="7"/>
          <c:tx>
            <c:v>Blasenlinie + 3 bar (sicher flüssig)</c:v>
          </c:tx>
          <c:spPr>
            <a:ln w="12700" cap="rnd">
              <a:solidFill>
                <a:srgbClr val="CA220E"/>
              </a:solidFill>
              <a:prstDash val="dash"/>
              <a:round/>
            </a:ln>
          </c:spPr>
          <c:marker>
            <c:symbol val="none"/>
          </c:marker>
          <c:xVal>
            <c:numRef>
              <c:f>Diagrammdaten!$L$298:$L$327</c:f>
              <c:numCache>
                <c:formatCode>General</c:formatCode>
                <c:ptCount val="30"/>
                <c:pt idx="0">
                  <c:v>47.884000000000071</c:v>
                </c:pt>
                <c:pt idx="1">
                  <c:v>53.705211052225877</c:v>
                </c:pt>
                <c:pt idx="2">
                  <c:v>59.526422104451683</c:v>
                </c:pt>
                <c:pt idx="3">
                  <c:v>65.347633156677489</c:v>
                </c:pt>
                <c:pt idx="4">
                  <c:v>71.168844208903295</c:v>
                </c:pt>
                <c:pt idx="5">
                  <c:v>76.9900552611291</c:v>
                </c:pt>
                <c:pt idx="6">
                  <c:v>82.811266313354906</c:v>
                </c:pt>
                <c:pt idx="7">
                  <c:v>88.632477365580712</c:v>
                </c:pt>
                <c:pt idx="8">
                  <c:v>94.453688417806518</c:v>
                </c:pt>
                <c:pt idx="9">
                  <c:v>100.27489947003232</c:v>
                </c:pt>
                <c:pt idx="10">
                  <c:v>106.09611052225813</c:v>
                </c:pt>
                <c:pt idx="11">
                  <c:v>111.91732157448394</c:v>
                </c:pt>
                <c:pt idx="12">
                  <c:v>117.73853262670974</c:v>
                </c:pt>
                <c:pt idx="13">
                  <c:v>123.55974367893555</c:v>
                </c:pt>
                <c:pt idx="14">
                  <c:v>129.38095473116135</c:v>
                </c:pt>
                <c:pt idx="15">
                  <c:v>135.20216578338716</c:v>
                </c:pt>
                <c:pt idx="16">
                  <c:v>141.02337683561296</c:v>
                </c:pt>
                <c:pt idx="17">
                  <c:v>146.84458788783877</c:v>
                </c:pt>
                <c:pt idx="18">
                  <c:v>152.66579894006458</c:v>
                </c:pt>
                <c:pt idx="19">
                  <c:v>158.48700999229038</c:v>
                </c:pt>
                <c:pt idx="20">
                  <c:v>164.30822104451619</c:v>
                </c:pt>
                <c:pt idx="21">
                  <c:v>170.12943209674199</c:v>
                </c:pt>
                <c:pt idx="22">
                  <c:v>175.9506431489678</c:v>
                </c:pt>
                <c:pt idx="23">
                  <c:v>181.77185420119361</c:v>
                </c:pt>
                <c:pt idx="24">
                  <c:v>187.59306525341941</c:v>
                </c:pt>
                <c:pt idx="25">
                  <c:v>193.41427630564522</c:v>
                </c:pt>
                <c:pt idx="26">
                  <c:v>199.23548735787102</c:v>
                </c:pt>
                <c:pt idx="27">
                  <c:v>205.05669841009683</c:v>
                </c:pt>
                <c:pt idx="28">
                  <c:v>210.87790946232263</c:v>
                </c:pt>
                <c:pt idx="29">
                  <c:v>216.69912051454844</c:v>
                </c:pt>
              </c:numCache>
            </c:numRef>
          </c:xVal>
          <c:yVal>
            <c:numRef>
              <c:f>Diagrammdaten!$K$298:$K$327</c:f>
              <c:numCache>
                <c:formatCode>General</c:formatCode>
                <c:ptCount val="30"/>
                <c:pt idx="0">
                  <c:v>54.249178858911719</c:v>
                </c:pt>
                <c:pt idx="1">
                  <c:v>52.664363407576069</c:v>
                </c:pt>
                <c:pt idx="2">
                  <c:v>51.40003231788009</c:v>
                </c:pt>
                <c:pt idx="3">
                  <c:v>50.422039629483656</c:v>
                </c:pt>
                <c:pt idx="4">
                  <c:v>49.703056462019831</c:v>
                </c:pt>
                <c:pt idx="5">
                  <c:v>49.221145655561216</c:v>
                </c:pt>
                <c:pt idx="6">
                  <c:v>48.959101170097277</c:v>
                </c:pt>
                <c:pt idx="7">
                  <c:v>48.902828994722412</c:v>
                </c:pt>
                <c:pt idx="8">
                  <c:v>49.040237729303101</c:v>
                </c:pt>
                <c:pt idx="9">
                  <c:v>49.362146363389712</c:v>
                </c:pt>
                <c:pt idx="10">
                  <c:v>49.861173471192402</c:v>
                </c:pt>
                <c:pt idx="11">
                  <c:v>50.531397928398562</c:v>
                </c:pt>
                <c:pt idx="12">
                  <c:v>51.368765341961051</c:v>
                </c:pt>
                <c:pt idx="13">
                  <c:v>52.368889762331087</c:v>
                </c:pt>
                <c:pt idx="14">
                  <c:v>53.528518650089161</c:v>
                </c:pt>
                <c:pt idx="15">
                  <c:v>54.845101014529511</c:v>
                </c:pt>
                <c:pt idx="16">
                  <c:v>56.316468002074117</c:v>
                </c:pt>
                <c:pt idx="17">
                  <c:v>57.940872900767133</c:v>
                </c:pt>
                <c:pt idx="18">
                  <c:v>59.716932633410508</c:v>
                </c:pt>
                <c:pt idx="19">
                  <c:v>61.642103419846549</c:v>
                </c:pt>
                <c:pt idx="20">
                  <c:v>63.71401451613437</c:v>
                </c:pt>
                <c:pt idx="21">
                  <c:v>65.929211829067867</c:v>
                </c:pt>
                <c:pt idx="22">
                  <c:v>68.282233623562746</c:v>
                </c:pt>
                <c:pt idx="23">
                  <c:v>70.764954852547746</c:v>
                </c:pt>
                <c:pt idx="24">
                  <c:v>73.364513310303693</c:v>
                </c:pt>
                <c:pt idx="25">
                  <c:v>76.061587611447692</c:v>
                </c:pt>
                <c:pt idx="26">
                  <c:v>78.81922862244744</c:v>
                </c:pt>
                <c:pt idx="27">
                  <c:v>81.507379398410805</c:v>
                </c:pt>
                <c:pt idx="28">
                  <c:v>84.006386183492225</c:v>
                </c:pt>
                <c:pt idx="29">
                  <c:v>84.685344406773822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1929A488-D642-46C3-A9D5-2416841400B5}"/>
            </c:ext>
          </c:extLst>
        </c:ser>
        <c:ser>
          <c:idx val="8"/>
          <c:order val="8"/>
          <c:tx>
            <c:v>Taulinie − 3 bar (sicher gasförmig)</c:v>
          </c:tx>
          <c:spPr>
            <a:ln w="12700" cap="rnd">
              <a:solidFill>
                <a:srgbClr val="CA220E"/>
              </a:solidFill>
              <a:prstDash val="dash"/>
              <a:round/>
            </a:ln>
          </c:spPr>
          <c:marker>
            <c:symbol val="none"/>
          </c:marker>
          <c:xVal>
            <c:numRef>
              <c:f>Diagrammdaten!$L$329:$L$358</c:f>
              <c:numCache>
                <c:formatCode>General</c:formatCode>
                <c:ptCount val="30"/>
                <c:pt idx="0">
                  <c:v>47.884000000000071</c:v>
                </c:pt>
                <c:pt idx="1">
                  <c:v>53.722022368973626</c:v>
                </c:pt>
                <c:pt idx="2">
                  <c:v>59.56004473794718</c:v>
                </c:pt>
                <c:pt idx="3">
                  <c:v>65.39806710692072</c:v>
                </c:pt>
                <c:pt idx="4">
                  <c:v>71.236089475894275</c:v>
                </c:pt>
                <c:pt idx="5">
                  <c:v>77.074111844867829</c:v>
                </c:pt>
                <c:pt idx="6">
                  <c:v>82.91213421384137</c:v>
                </c:pt>
                <c:pt idx="7">
                  <c:v>88.750156582814924</c:v>
                </c:pt>
                <c:pt idx="8">
                  <c:v>94.588178951788478</c:v>
                </c:pt>
                <c:pt idx="9">
                  <c:v>100.42620132076203</c:v>
                </c:pt>
                <c:pt idx="10">
                  <c:v>106.26422368973559</c:v>
                </c:pt>
                <c:pt idx="11">
                  <c:v>112.10224605870913</c:v>
                </c:pt>
                <c:pt idx="12">
                  <c:v>117.94026842768268</c:v>
                </c:pt>
                <c:pt idx="13">
                  <c:v>123.77829079665624</c:v>
                </c:pt>
                <c:pt idx="14">
                  <c:v>129.61631316562978</c:v>
                </c:pt>
                <c:pt idx="15">
                  <c:v>135.45433553460333</c:v>
                </c:pt>
                <c:pt idx="16">
                  <c:v>141.29235790357689</c:v>
                </c:pt>
                <c:pt idx="17">
                  <c:v>147.13038027255044</c:v>
                </c:pt>
                <c:pt idx="18">
                  <c:v>152.96840264152399</c:v>
                </c:pt>
                <c:pt idx="19">
                  <c:v>158.80642501049755</c:v>
                </c:pt>
                <c:pt idx="20">
                  <c:v>164.6444473794711</c:v>
                </c:pt>
                <c:pt idx="21">
                  <c:v>170.48246974844466</c:v>
                </c:pt>
                <c:pt idx="22">
                  <c:v>176.32049211741818</c:v>
                </c:pt>
                <c:pt idx="23">
                  <c:v>182.15851448639174</c:v>
                </c:pt>
                <c:pt idx="24">
                  <c:v>187.99653685536529</c:v>
                </c:pt>
                <c:pt idx="25">
                  <c:v>193.83455922433885</c:v>
                </c:pt>
                <c:pt idx="26">
                  <c:v>199.6725815933124</c:v>
                </c:pt>
                <c:pt idx="27">
                  <c:v>205.51060396228596</c:v>
                </c:pt>
                <c:pt idx="28">
                  <c:v>211.34862633125948</c:v>
                </c:pt>
                <c:pt idx="29">
                  <c:v>217.18664870023304</c:v>
                </c:pt>
              </c:numCache>
            </c:numRef>
          </c:xVal>
          <c:yVal>
            <c:numRef>
              <c:f>Diagrammdaten!$K$329:$K$358</c:f>
              <c:numCache>
                <c:formatCode>General</c:formatCode>
                <c:ptCount val="30"/>
                <c:pt idx="0">
                  <c:v>2.4780051259929632</c:v>
                </c:pt>
                <c:pt idx="1">
                  <c:v>3.2104599332675336</c:v>
                </c:pt>
                <c:pt idx="2">
                  <c:v>4.0147345983788778</c:v>
                </c:pt>
                <c:pt idx="3">
                  <c:v>4.8949818046756448</c:v>
                </c:pt>
                <c:pt idx="4">
                  <c:v>5.8564245962950601</c:v>
                </c:pt>
                <c:pt idx="5">
                  <c:v>6.9029427794701999</c:v>
                </c:pt>
                <c:pt idx="6">
                  <c:v>8.0394947701484778</c:v>
                </c:pt>
                <c:pt idx="7">
                  <c:v>9.2713091561138921</c:v>
                </c:pt>
                <c:pt idx="8">
                  <c:v>10.603085389059821</c:v>
                </c:pt>
                <c:pt idx="9">
                  <c:v>12.039852172418426</c:v>
                </c:pt>
                <c:pt idx="10">
                  <c:v>13.586873765952987</c:v>
                </c:pt>
                <c:pt idx="11">
                  <c:v>15.249592936904534</c:v>
                </c:pt>
                <c:pt idx="12">
                  <c:v>17.033658727159636</c:v>
                </c:pt>
                <c:pt idx="13">
                  <c:v>18.945376817165933</c:v>
                </c:pt>
                <c:pt idx="14">
                  <c:v>20.990785665133657</c:v>
                </c:pt>
                <c:pt idx="15">
                  <c:v>23.176208762572006</c:v>
                </c:pt>
                <c:pt idx="16">
                  <c:v>25.508607393240041</c:v>
                </c:pt>
                <c:pt idx="17">
                  <c:v>27.995474228307575</c:v>
                </c:pt>
                <c:pt idx="18">
                  <c:v>30.644973518769611</c:v>
                </c:pt>
                <c:pt idx="19">
                  <c:v>33.466550208449242</c:v>
                </c:pt>
                <c:pt idx="20">
                  <c:v>36.470502620113258</c:v>
                </c:pt>
                <c:pt idx="21">
                  <c:v>39.668178690413654</c:v>
                </c:pt>
                <c:pt idx="22">
                  <c:v>43.073587576943865</c:v>
                </c:pt>
                <c:pt idx="23">
                  <c:v>46.703908661604409</c:v>
                </c:pt>
                <c:pt idx="24">
                  <c:v>50.58211318954023</c:v>
                </c:pt>
                <c:pt idx="25">
                  <c:v>54.739597871776695</c:v>
                </c:pt>
                <c:pt idx="26">
                  <c:v>59.295247173517502</c:v>
                </c:pt>
                <c:pt idx="27">
                  <c:v>64.156072857380096</c:v>
                </c:pt>
                <c:pt idx="28">
                  <c:v>69.693005578099459</c:v>
                </c:pt>
                <c:pt idx="29">
                  <c:v>77.896473762668705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ECC6D3D-3E6E-4A80-9290-6EF6839D0822}"/>
            </c:ext>
          </c:extLst>
        </c:ser>
        <c:ser>
          <c:idx val="9"/>
          <c:order val="9"/>
          <c:tx>
            <c:v>Sublimationslinie</c:v>
          </c:tx>
          <c:spPr>
            <a:ln w="19050">
              <a:solidFill>
                <a:srgbClr val="333333"/>
              </a:solidFill>
            </a:ln>
          </c:spPr>
          <c:marker>
            <c:symbol val="none"/>
          </c:marker>
          <c:xVal>
            <c:numRef>
              <c:f>Diagrammdaten!$L$79:$L$103</c:f>
              <c:numCache>
                <c:formatCode>General</c:formatCode>
                <c:ptCount val="25"/>
                <c:pt idx="0">
                  <c:v>1</c:v>
                </c:pt>
                <c:pt idx="1">
                  <c:v>2.9535999999999945</c:v>
                </c:pt>
                <c:pt idx="2">
                  <c:v>4.9070000000000107</c:v>
                </c:pt>
                <c:pt idx="3">
                  <c:v>6.8606000000000051</c:v>
                </c:pt>
                <c:pt idx="4">
                  <c:v>8.813999999999993</c:v>
                </c:pt>
                <c:pt idx="5">
                  <c:v>10.767599999999987</c:v>
                </c:pt>
                <c:pt idx="6">
                  <c:v>12.721000000000004</c:v>
                </c:pt>
                <c:pt idx="7">
                  <c:v>14.674599999999998</c:v>
                </c:pt>
                <c:pt idx="8">
                  <c:v>16.627999999999986</c:v>
                </c:pt>
                <c:pt idx="9">
                  <c:v>18.581600000000009</c:v>
                </c:pt>
                <c:pt idx="10">
                  <c:v>20.534999999999997</c:v>
                </c:pt>
                <c:pt idx="11">
                  <c:v>22.488599999999991</c:v>
                </c:pt>
                <c:pt idx="12">
                  <c:v>24.442000000000007</c:v>
                </c:pt>
                <c:pt idx="13">
                  <c:v>26.395600000000002</c:v>
                </c:pt>
                <c:pt idx="14">
                  <c:v>28.34899999999999</c:v>
                </c:pt>
                <c:pt idx="15">
                  <c:v>30.302600000000012</c:v>
                </c:pt>
                <c:pt idx="16">
                  <c:v>32.256</c:v>
                </c:pt>
                <c:pt idx="17">
                  <c:v>34.209599999999995</c:v>
                </c:pt>
                <c:pt idx="18">
                  <c:v>36.162999999999997</c:v>
                </c:pt>
                <c:pt idx="19">
                  <c:v>38.116600000000005</c:v>
                </c:pt>
                <c:pt idx="20">
                  <c:v>40.069999999999993</c:v>
                </c:pt>
                <c:pt idx="21">
                  <c:v>42.023600000000002</c:v>
                </c:pt>
                <c:pt idx="22">
                  <c:v>43.977000000000004</c:v>
                </c:pt>
                <c:pt idx="23">
                  <c:v>45.930599999999998</c:v>
                </c:pt>
                <c:pt idx="24">
                  <c:v>47.884</c:v>
                </c:pt>
              </c:numCache>
            </c:numRef>
          </c:xVal>
          <c:yVal>
            <c:numRef>
              <c:f>Diagrammdaten!$K$79:$K$103</c:f>
              <c:numCache>
                <c:formatCode>General</c:formatCode>
                <c:ptCount val="25"/>
                <c:pt idx="0">
                  <c:v>0.89239999999999997</c:v>
                </c:pt>
                <c:pt idx="1">
                  <c:v>0.9677</c:v>
                </c:pt>
                <c:pt idx="2">
                  <c:v>1.0486</c:v>
                </c:pt>
                <c:pt idx="3">
                  <c:v>1.1353</c:v>
                </c:pt>
                <c:pt idx="4">
                  <c:v>1.2282999999999999</c:v>
                </c:pt>
                <c:pt idx="5">
                  <c:v>1.3280000000000001</c:v>
                </c:pt>
                <c:pt idx="6">
                  <c:v>1.4346000000000001</c:v>
                </c:pt>
                <c:pt idx="7">
                  <c:v>1.5488</c:v>
                </c:pt>
                <c:pt idx="8">
                  <c:v>1.6709000000000001</c:v>
                </c:pt>
                <c:pt idx="9">
                  <c:v>1.8013999999999999</c:v>
                </c:pt>
                <c:pt idx="10">
                  <c:v>1.9408000000000001</c:v>
                </c:pt>
                <c:pt idx="11">
                  <c:v>2.0897000000000001</c:v>
                </c:pt>
                <c:pt idx="12">
                  <c:v>2.2484999999999999</c:v>
                </c:pt>
                <c:pt idx="13">
                  <c:v>2.4180000000000001</c:v>
                </c:pt>
                <c:pt idx="14">
                  <c:v>2.5985</c:v>
                </c:pt>
                <c:pt idx="15">
                  <c:v>2.7909999999999999</c:v>
                </c:pt>
                <c:pt idx="16">
                  <c:v>2.9958999999999998</c:v>
                </c:pt>
                <c:pt idx="17">
                  <c:v>3.214</c:v>
                </c:pt>
                <c:pt idx="18">
                  <c:v>3.4462000000000002</c:v>
                </c:pt>
                <c:pt idx="19">
                  <c:v>3.6930000000000001</c:v>
                </c:pt>
                <c:pt idx="20">
                  <c:v>3.9554999999999998</c:v>
                </c:pt>
                <c:pt idx="21">
                  <c:v>4.2343999999999999</c:v>
                </c:pt>
                <c:pt idx="22">
                  <c:v>4.5308000000000002</c:v>
                </c:pt>
                <c:pt idx="23">
                  <c:v>4.8455000000000004</c:v>
                </c:pt>
                <c:pt idx="24">
                  <c:v>5.1795999999999998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823-464D-940D-AFDE62BF7178}"/>
            </c:ext>
          </c:extLst>
        </c:ser>
        <c:ser>
          <c:idx val="10"/>
          <c:order val="10"/>
          <c:tx>
            <c:v>Schmelzlinie</c:v>
          </c:tx>
          <c:spPr>
            <a:ln w="19050">
              <a:solidFill>
                <a:srgbClr val="5F2176"/>
              </a:solidFill>
            </a:ln>
          </c:spPr>
          <c:marker>
            <c:symbol val="none"/>
          </c:marker>
          <c:xVal>
            <c:numRef>
              <c:f>Diagrammdaten!$L$105:$L$119</c:f>
              <c:numCache>
                <c:formatCode>General</c:formatCode>
                <c:ptCount val="15"/>
                <c:pt idx="0">
                  <c:v>47.884</c:v>
                </c:pt>
                <c:pt idx="1">
                  <c:v>48.613799999999998</c:v>
                </c:pt>
                <c:pt idx="2">
                  <c:v>49.343599999999995</c:v>
                </c:pt>
                <c:pt idx="3">
                  <c:v>50.073400000000007</c:v>
                </c:pt>
                <c:pt idx="4">
                  <c:v>50.803200000000004</c:v>
                </c:pt>
                <c:pt idx="5">
                  <c:v>51.532799999999995</c:v>
                </c:pt>
                <c:pt idx="6">
                  <c:v>52.262600000000006</c:v>
                </c:pt>
                <c:pt idx="7">
                  <c:v>52.992400000000004</c:v>
                </c:pt>
                <c:pt idx="8">
                  <c:v>53.722200000000001</c:v>
                </c:pt>
                <c:pt idx="9">
                  <c:v>54.451999999999998</c:v>
                </c:pt>
                <c:pt idx="10">
                  <c:v>55.181799999999996</c:v>
                </c:pt>
                <c:pt idx="11">
                  <c:v>55.911600000000007</c:v>
                </c:pt>
                <c:pt idx="12">
                  <c:v>56.641400000000004</c:v>
                </c:pt>
                <c:pt idx="13">
                  <c:v>57.371200000000002</c:v>
                </c:pt>
                <c:pt idx="14">
                  <c:v>58.100800000000007</c:v>
                </c:pt>
              </c:numCache>
            </c:numRef>
          </c:xVal>
          <c:yVal>
            <c:numRef>
              <c:f>Diagrammdaten!$K$105:$K$119</c:f>
              <c:numCache>
                <c:formatCode>General</c:formatCode>
                <c:ptCount val="15"/>
                <c:pt idx="0">
                  <c:v>5.1795999999999998</c:v>
                </c:pt>
                <c:pt idx="1">
                  <c:v>22.274000000000001</c:v>
                </c:pt>
                <c:pt idx="2">
                  <c:v>39.428800000000003</c:v>
                </c:pt>
                <c:pt idx="3">
                  <c:v>56.643999999999998</c:v>
                </c:pt>
                <c:pt idx="4">
                  <c:v>73.919700000000006</c:v>
                </c:pt>
                <c:pt idx="5">
                  <c:v>91.255700000000004</c:v>
                </c:pt>
                <c:pt idx="6">
                  <c:v>108.6523</c:v>
                </c:pt>
                <c:pt idx="7">
                  <c:v>126.1092</c:v>
                </c:pt>
                <c:pt idx="8">
                  <c:v>143.6266</c:v>
                </c:pt>
                <c:pt idx="9">
                  <c:v>161.20439999999999</c:v>
                </c:pt>
                <c:pt idx="10">
                  <c:v>178.84270000000001</c:v>
                </c:pt>
                <c:pt idx="11">
                  <c:v>196.54130000000001</c:v>
                </c:pt>
                <c:pt idx="12">
                  <c:v>214.3005</c:v>
                </c:pt>
                <c:pt idx="13">
                  <c:v>232.12</c:v>
                </c:pt>
                <c:pt idx="14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823-464D-940D-AFDE62BF7178}"/>
            </c:ext>
          </c:extLst>
        </c:ser>
        <c:ser>
          <c:idx val="11"/>
          <c:order val="11"/>
          <c:tx>
            <c:v>Tripelpunkt</c:v>
          </c:tx>
          <c:spPr>
            <a:ln>
              <a:noFill/>
            </a:ln>
          </c:spPr>
          <c:marker>
            <c:symbol val="circle"/>
            <c:size val="6"/>
            <c:spPr>
              <a:solidFill>
                <a:srgbClr val="000000"/>
              </a:solidFill>
              <a:ln>
                <a:solidFill>
                  <a:srgbClr val="000000"/>
                </a:solidFill>
              </a:ln>
            </c:spPr>
          </c:marker>
          <c:xVal>
            <c:numRef>
              <c:f>Diagrammdaten!$L$121</c:f>
              <c:numCache>
                <c:formatCode>General</c:formatCode>
                <c:ptCount val="1"/>
                <c:pt idx="0">
                  <c:v>47.884</c:v>
                </c:pt>
              </c:numCache>
            </c:numRef>
          </c:xVal>
          <c:yVal>
            <c:numRef>
              <c:f>Diagrammdaten!$K$121</c:f>
              <c:numCache>
                <c:formatCode>General</c:formatCode>
                <c:ptCount val="1"/>
                <c:pt idx="0">
                  <c:v>5.1795999999999998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823-464D-940D-AFDE62BF7178}"/>
            </c:ext>
          </c:extLst>
        </c:ser>
        <c:ser>
          <c:idx val="12"/>
          <c:order val="12"/>
          <c:tx>
            <c:v>Kritischer Punkt Gemisch</c:v>
          </c:tx>
          <c:spPr>
            <a:ln>
              <a:noFill/>
            </a:ln>
          </c:spPr>
          <c:marker>
            <c:symbol val="circle"/>
            <c:size val="8"/>
            <c:spPr>
              <a:solidFill>
                <a:srgbClr val="CA220E"/>
              </a:solidFill>
              <a:ln>
                <a:solidFill>
                  <a:srgbClr val="CA220E"/>
                </a:solidFill>
              </a:ln>
            </c:spPr>
          </c:marker>
          <c:xVal>
            <c:numRef>
              <c:f>Diagrammdaten!$L$123</c:f>
              <c:numCache>
                <c:formatCode>General</c:formatCode>
                <c:ptCount val="1"/>
                <c:pt idx="0">
                  <c:v>216.90944254906549</c:v>
                </c:pt>
              </c:numCache>
            </c:numRef>
          </c:xVal>
          <c:yVal>
            <c:numRef>
              <c:f>Diagrammdaten!$K$123</c:f>
              <c:numCache>
                <c:formatCode>General</c:formatCode>
                <c:ptCount val="1"/>
                <c:pt idx="0">
                  <c:v>81.455055721913254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823-464D-940D-AFDE62BF7178}"/>
            </c:ext>
          </c:extLst>
        </c:ser>
        <c:ser>
          <c:idx val="13"/>
          <c:order val="13"/>
          <c:tx>
            <c:v>Gassäule Kaverne voll (210 bar unten)</c:v>
          </c:tx>
          <c:spPr>
            <a:ln w="25400">
              <a:solidFill>
                <a:srgbClr val="00304F"/>
              </a:solidFill>
              <a:prstDash val="dash"/>
            </a:ln>
          </c:spPr>
          <c:marker>
            <c:symbol val="none"/>
          </c:marker>
          <c:xVal>
            <c:numRef>
              <c:f>Diagrammdaten!$L$158:$L$182</c:f>
              <c:numCache>
                <c:formatCode>General</c:formatCode>
                <c:ptCount val="25"/>
                <c:pt idx="0">
                  <c:v>181</c:v>
                </c:pt>
                <c:pt idx="1">
                  <c:v>184</c:v>
                </c:pt>
                <c:pt idx="2">
                  <c:v>187</c:v>
                </c:pt>
                <c:pt idx="3">
                  <c:v>190</c:v>
                </c:pt>
                <c:pt idx="4">
                  <c:v>193</c:v>
                </c:pt>
                <c:pt idx="5">
                  <c:v>196</c:v>
                </c:pt>
                <c:pt idx="6">
                  <c:v>199</c:v>
                </c:pt>
                <c:pt idx="7">
                  <c:v>202</c:v>
                </c:pt>
                <c:pt idx="8">
                  <c:v>205</c:v>
                </c:pt>
                <c:pt idx="9">
                  <c:v>208</c:v>
                </c:pt>
                <c:pt idx="10">
                  <c:v>211</c:v>
                </c:pt>
                <c:pt idx="11">
                  <c:v>214</c:v>
                </c:pt>
                <c:pt idx="12">
                  <c:v>217</c:v>
                </c:pt>
                <c:pt idx="13">
                  <c:v>220</c:v>
                </c:pt>
                <c:pt idx="14">
                  <c:v>223</c:v>
                </c:pt>
                <c:pt idx="15">
                  <c:v>226</c:v>
                </c:pt>
                <c:pt idx="16">
                  <c:v>229</c:v>
                </c:pt>
                <c:pt idx="17">
                  <c:v>232</c:v>
                </c:pt>
                <c:pt idx="18">
                  <c:v>235</c:v>
                </c:pt>
                <c:pt idx="19">
                  <c:v>238</c:v>
                </c:pt>
                <c:pt idx="20">
                  <c:v>241</c:v>
                </c:pt>
                <c:pt idx="21">
                  <c:v>244</c:v>
                </c:pt>
                <c:pt idx="22">
                  <c:v>247</c:v>
                </c:pt>
                <c:pt idx="23">
                  <c:v>250</c:v>
                </c:pt>
                <c:pt idx="24">
                  <c:v>253</c:v>
                </c:pt>
              </c:numCache>
            </c:numRef>
          </c:xVal>
          <c:yVal>
            <c:numRef>
              <c:f>Diagrammdaten!$K$158:$K$182</c:f>
              <c:numCache>
                <c:formatCode>General</c:formatCode>
                <c:ptCount val="25"/>
                <c:pt idx="0">
                  <c:v>114.93130198208927</c:v>
                </c:pt>
                <c:pt idx="1">
                  <c:v>119.16100924115156</c:v>
                </c:pt>
                <c:pt idx="2">
                  <c:v>123.36557182169967</c:v>
                </c:pt>
                <c:pt idx="3">
                  <c:v>127.54518251936265</c:v>
                </c:pt>
                <c:pt idx="4">
                  <c:v>131.70004500354221</c:v>
                </c:pt>
                <c:pt idx="5">
                  <c:v>135.83037358755291</c:v>
                </c:pt>
                <c:pt idx="6">
                  <c:v>139.93639309319369</c:v>
                </c:pt>
                <c:pt idx="7">
                  <c:v>144.01833877875904</c:v>
                </c:pt>
                <c:pt idx="8">
                  <c:v>148.07645628272289</c:v>
                </c:pt>
                <c:pt idx="9">
                  <c:v>152.11100152709446</c:v>
                </c:pt>
                <c:pt idx="10">
                  <c:v>156.1222405259621</c:v>
                </c:pt>
                <c:pt idx="11">
                  <c:v>160.11044905533242</c:v>
                </c:pt>
                <c:pt idx="12">
                  <c:v>164.07591215772621</c:v>
                </c:pt>
                <c:pt idx="13">
                  <c:v>168.01892347570219</c:v>
                </c:pt>
                <c:pt idx="14">
                  <c:v>171.93978442887101</c:v>
                </c:pt>
                <c:pt idx="15">
                  <c:v>175.8388032658045</c:v>
                </c:pt>
                <c:pt idx="16">
                  <c:v>179.71629403339674</c:v>
                </c:pt>
                <c:pt idx="17">
                  <c:v>183.57257551082256</c:v>
                </c:pt>
                <c:pt idx="18">
                  <c:v>187.40797015367133</c:v>
                </c:pt>
                <c:pt idx="19">
                  <c:v>191.22280308741125</c:v>
                </c:pt>
                <c:pt idx="20">
                  <c:v>195.01740117986344</c:v>
                </c:pt>
                <c:pt idx="21">
                  <c:v>198.79209221167758</c:v>
                </c:pt>
                <c:pt idx="22">
                  <c:v>202.54720415346492</c:v>
                </c:pt>
                <c:pt idx="23">
                  <c:v>206.28306454936461</c:v>
                </c:pt>
                <c:pt idx="24">
                  <c:v>210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823-464D-940D-AFDE62BF7178}"/>
            </c:ext>
          </c:extLst>
        </c:ser>
        <c:ser>
          <c:idx val="14"/>
          <c:order val="14"/>
          <c:tx>
            <c:v>Gassäule Grenzfall (Kopf = Cricondenbar)</c:v>
          </c:tx>
          <c:spPr>
            <a:ln w="19050">
              <a:solidFill>
                <a:srgbClr val="2E75B6"/>
              </a:solidFill>
              <a:prstDash val="lgDash"/>
            </a:ln>
          </c:spPr>
          <c:marker>
            <c:symbol val="none"/>
          </c:marker>
          <c:xVal>
            <c:numRef>
              <c:f>Diagrammdaten!$L$184:$L$208</c:f>
              <c:numCache>
                <c:formatCode>General</c:formatCode>
                <c:ptCount val="25"/>
                <c:pt idx="0">
                  <c:v>181</c:v>
                </c:pt>
                <c:pt idx="1">
                  <c:v>184</c:v>
                </c:pt>
                <c:pt idx="2">
                  <c:v>187</c:v>
                </c:pt>
                <c:pt idx="3">
                  <c:v>190</c:v>
                </c:pt>
                <c:pt idx="4">
                  <c:v>193</c:v>
                </c:pt>
                <c:pt idx="5">
                  <c:v>196</c:v>
                </c:pt>
                <c:pt idx="6">
                  <c:v>199</c:v>
                </c:pt>
                <c:pt idx="7">
                  <c:v>202</c:v>
                </c:pt>
                <c:pt idx="8">
                  <c:v>205</c:v>
                </c:pt>
                <c:pt idx="9">
                  <c:v>208</c:v>
                </c:pt>
                <c:pt idx="10">
                  <c:v>211</c:v>
                </c:pt>
                <c:pt idx="11">
                  <c:v>214</c:v>
                </c:pt>
                <c:pt idx="12">
                  <c:v>217</c:v>
                </c:pt>
                <c:pt idx="13">
                  <c:v>220</c:v>
                </c:pt>
                <c:pt idx="14">
                  <c:v>223</c:v>
                </c:pt>
                <c:pt idx="15">
                  <c:v>226</c:v>
                </c:pt>
                <c:pt idx="16">
                  <c:v>229</c:v>
                </c:pt>
                <c:pt idx="17">
                  <c:v>232</c:v>
                </c:pt>
                <c:pt idx="18">
                  <c:v>235</c:v>
                </c:pt>
                <c:pt idx="19">
                  <c:v>238</c:v>
                </c:pt>
                <c:pt idx="20">
                  <c:v>241</c:v>
                </c:pt>
                <c:pt idx="21">
                  <c:v>244</c:v>
                </c:pt>
                <c:pt idx="22">
                  <c:v>247</c:v>
                </c:pt>
                <c:pt idx="23">
                  <c:v>250</c:v>
                </c:pt>
                <c:pt idx="24">
                  <c:v>253</c:v>
                </c:pt>
              </c:numCache>
            </c:numRef>
          </c:xVal>
          <c:yVal>
            <c:numRef>
              <c:f>Diagrammdaten!$K$184:$K$208</c:f>
              <c:numCache>
                <c:formatCode>General</c:formatCode>
                <c:ptCount val="25"/>
                <c:pt idx="0">
                  <c:v>82.177594317918306</c:v>
                </c:pt>
                <c:pt idx="1">
                  <c:v>86.209691651860339</c:v>
                </c:pt>
                <c:pt idx="2">
                  <c:v>90.211177120067802</c:v>
                </c:pt>
                <c:pt idx="3">
                  <c:v>94.182258243427555</c:v>
                </c:pt>
                <c:pt idx="4">
                  <c:v>98.123172361781016</c:v>
                </c:pt>
                <c:pt idx="5">
                  <c:v>102.03418671869966</c:v>
                </c:pt>
                <c:pt idx="6">
                  <c:v>105.91559827455201</c:v>
                </c:pt>
                <c:pt idx="7">
                  <c:v>109.76773312810479</c:v>
                </c:pt>
                <c:pt idx="8">
                  <c:v>113.5909454657578</c:v>
                </c:pt>
                <c:pt idx="9">
                  <c:v>117.38561602364186</c:v>
                </c:pt>
                <c:pt idx="10">
                  <c:v>121.15215012053648</c:v>
                </c:pt>
                <c:pt idx="11">
                  <c:v>124.89097537730567</c:v>
                </c:pt>
                <c:pt idx="12">
                  <c:v>128.60253926602752</c:v>
                </c:pt>
                <c:pt idx="13">
                  <c:v>132.28730662468095</c:v>
                </c:pt>
                <c:pt idx="14">
                  <c:v>135.94575723768324</c:v>
                </c:pt>
                <c:pt idx="15">
                  <c:v>139.5783835328474</c:v>
                </c:pt>
                <c:pt idx="16">
                  <c:v>143.18568839769392</c:v>
                </c:pt>
                <c:pt idx="17">
                  <c:v>146.76818308560837</c:v>
                </c:pt>
                <c:pt idx="18">
                  <c:v>150.32638517168738</c:v>
                </c:pt>
                <c:pt idx="19">
                  <c:v>153.86081652844035</c:v>
                </c:pt>
                <c:pt idx="20">
                  <c:v>157.3720013160563</c:v>
                </c:pt>
                <c:pt idx="21">
                  <c:v>160.86046401088927</c:v>
                </c:pt>
                <c:pt idx="22">
                  <c:v>164.32672751959655</c:v>
                </c:pt>
                <c:pt idx="23">
                  <c:v>167.77131143828865</c:v>
                </c:pt>
                <c:pt idx="24">
                  <c:v>171.19473051369846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823-464D-940D-AFDE62BF7178}"/>
            </c:ext>
          </c:extLst>
        </c:ser>
        <c:ser>
          <c:idx val="15"/>
          <c:order val="15"/>
          <c:tx>
            <c:v>Gassäule Kaverne leer (70 bar unten)</c:v>
          </c:tx>
          <c:spPr>
            <a:ln w="25400">
              <a:solidFill>
                <a:srgbClr val="00304F"/>
              </a:solidFill>
              <a:prstDash val="sysDot"/>
            </a:ln>
          </c:spPr>
          <c:marker>
            <c:symbol val="none"/>
          </c:marker>
          <c:xVal>
            <c:numRef>
              <c:f>Diagrammdaten!$L$210:$L$234</c:f>
              <c:numCache>
                <c:formatCode>General</c:formatCode>
                <c:ptCount val="25"/>
                <c:pt idx="0">
                  <c:v>181</c:v>
                </c:pt>
                <c:pt idx="1">
                  <c:v>184</c:v>
                </c:pt>
                <c:pt idx="2">
                  <c:v>187</c:v>
                </c:pt>
                <c:pt idx="3">
                  <c:v>190</c:v>
                </c:pt>
                <c:pt idx="4">
                  <c:v>193</c:v>
                </c:pt>
                <c:pt idx="5">
                  <c:v>196</c:v>
                </c:pt>
                <c:pt idx="6">
                  <c:v>199</c:v>
                </c:pt>
                <c:pt idx="7">
                  <c:v>202</c:v>
                </c:pt>
                <c:pt idx="8">
                  <c:v>205</c:v>
                </c:pt>
                <c:pt idx="9">
                  <c:v>208</c:v>
                </c:pt>
                <c:pt idx="10">
                  <c:v>211</c:v>
                </c:pt>
                <c:pt idx="11">
                  <c:v>214</c:v>
                </c:pt>
                <c:pt idx="12">
                  <c:v>217</c:v>
                </c:pt>
                <c:pt idx="13">
                  <c:v>220</c:v>
                </c:pt>
                <c:pt idx="14">
                  <c:v>223</c:v>
                </c:pt>
                <c:pt idx="15">
                  <c:v>226</c:v>
                </c:pt>
                <c:pt idx="16">
                  <c:v>229</c:v>
                </c:pt>
                <c:pt idx="17">
                  <c:v>232</c:v>
                </c:pt>
                <c:pt idx="18">
                  <c:v>235</c:v>
                </c:pt>
                <c:pt idx="19">
                  <c:v>238</c:v>
                </c:pt>
                <c:pt idx="20">
                  <c:v>241</c:v>
                </c:pt>
                <c:pt idx="21">
                  <c:v>244</c:v>
                </c:pt>
                <c:pt idx="22">
                  <c:v>247</c:v>
                </c:pt>
                <c:pt idx="23">
                  <c:v>250</c:v>
                </c:pt>
                <c:pt idx="24">
                  <c:v>253</c:v>
                </c:pt>
              </c:numCache>
            </c:numRef>
          </c:xVal>
          <c:yVal>
            <c:numRef>
              <c:f>Diagrammdaten!$K$210:$K$234</c:f>
              <c:numCache>
                <c:formatCode>General</c:formatCode>
                <c:ptCount val="25"/>
                <c:pt idx="0">
                  <c:v>50.705458672726493</c:v>
                </c:pt>
                <c:pt idx="1">
                  <c:v>51.659629523059941</c:v>
                </c:pt>
                <c:pt idx="2">
                  <c:v>52.470044683915283</c:v>
                </c:pt>
                <c:pt idx="3">
                  <c:v>53.247139379139881</c:v>
                </c:pt>
                <c:pt idx="4">
                  <c:v>54.025823839409902</c:v>
                </c:pt>
                <c:pt idx="5">
                  <c:v>54.806181480706428</c:v>
                </c:pt>
                <c:pt idx="6">
                  <c:v>55.588281924562459</c:v>
                </c:pt>
                <c:pt idx="7">
                  <c:v>56.372183362205107</c:v>
                </c:pt>
                <c:pt idx="8">
                  <c:v>57.157934412263899</c:v>
                </c:pt>
                <c:pt idx="9">
                  <c:v>57.945575615657937</c:v>
                </c:pt>
                <c:pt idx="10">
                  <c:v>58.735140660834205</c:v>
                </c:pt>
                <c:pt idx="11">
                  <c:v>59.526657401485011</c:v>
                </c:pt>
                <c:pt idx="12">
                  <c:v>60.320148709509233</c:v>
                </c:pt>
                <c:pt idx="13">
                  <c:v>61.115633193748572</c:v>
                </c:pt>
                <c:pt idx="14">
                  <c:v>61.913125807204182</c:v>
                </c:pt>
                <c:pt idx="15">
                  <c:v>62.712638360362611</c:v>
                </c:pt>
                <c:pt idx="16">
                  <c:v>63.514179954897848</c:v>
                </c:pt>
                <c:pt idx="17">
                  <c:v>64.317757349714327</c:v>
                </c:pt>
                <c:pt idx="18">
                  <c:v>65.123375269629022</c:v>
                </c:pt>
                <c:pt idx="19">
                  <c:v>65.931036665690229</c:v>
                </c:pt>
                <c:pt idx="20">
                  <c:v>66.740742935030426</c:v>
                </c:pt>
                <c:pt idx="21">
                  <c:v>67.552494107155084</c:v>
                </c:pt>
                <c:pt idx="22">
                  <c:v>68.366289002634076</c:v>
                </c:pt>
                <c:pt idx="23">
                  <c:v>69.182125369272583</c:v>
                </c:pt>
                <c:pt idx="24">
                  <c:v>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823-464D-940D-AFDE62BF7178}"/>
            </c:ext>
          </c:extLst>
        </c:ser>
        <c:ser>
          <c:idx val="16"/>
          <c:order val="16"/>
          <c:tx>
            <c:v>Kaverne V1 (LCCS, 1200 m): 70–210 bar</c:v>
          </c:tx>
          <c:spPr>
            <a:ln w="63500">
              <a:solidFill>
                <a:srgbClr val="00304F"/>
              </a:solidFill>
            </a:ln>
          </c:spPr>
          <c:marker>
            <c:symbol val="none"/>
          </c:marker>
          <c:xVal>
            <c:numRef>
              <c:f>Diagrammdaten!$L$236:$L$237</c:f>
              <c:numCache>
                <c:formatCode>General</c:formatCode>
                <c:ptCount val="2"/>
                <c:pt idx="0">
                  <c:v>253</c:v>
                </c:pt>
                <c:pt idx="1">
                  <c:v>253</c:v>
                </c:pt>
              </c:numCache>
            </c:numRef>
          </c:xVal>
          <c:yVal>
            <c:numRef>
              <c:f>Diagrammdaten!$K$236:$K$237</c:f>
              <c:numCache>
                <c:formatCode>General</c:formatCode>
                <c:ptCount val="2"/>
                <c:pt idx="0">
                  <c:v>70</c:v>
                </c:pt>
                <c:pt idx="1">
                  <c:v>210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823-464D-940D-AFDE62BF7178}"/>
            </c:ext>
          </c:extLst>
        </c:ser>
        <c:ser>
          <c:idx val="17"/>
          <c:order val="17"/>
          <c:tx>
            <c:v>Bohrlochkopf (0 m): 50,7–114,9 bar</c:v>
          </c:tx>
          <c:spPr>
            <a:ln w="63500"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Diagrammdaten!$L$239:$L$240</c:f>
              <c:numCache>
                <c:formatCode>General</c:formatCode>
                <c:ptCount val="2"/>
                <c:pt idx="0">
                  <c:v>181</c:v>
                </c:pt>
                <c:pt idx="1">
                  <c:v>181</c:v>
                </c:pt>
              </c:numCache>
            </c:numRef>
          </c:xVal>
          <c:yVal>
            <c:numRef>
              <c:f>Diagrammdaten!$K$239:$K$240</c:f>
              <c:numCache>
                <c:formatCode>General</c:formatCode>
                <c:ptCount val="2"/>
                <c:pt idx="0">
                  <c:v>50.705458672726493</c:v>
                </c:pt>
                <c:pt idx="1">
                  <c:v>114.93130198208927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823-464D-940D-AFDE62BF7178}"/>
            </c:ext>
          </c:extLst>
        </c:ser>
        <c:ser>
          <c:idx val="18"/>
          <c:order val="18"/>
          <c:tx>
            <c:v>Beschriftung Phasengebiete K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404040"/>
                        </a:solidFill>
                      </a:rPr>
                      <a:t>fest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8823-464D-940D-AFDE62BF717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404040"/>
                        </a:solidFill>
                      </a:rPr>
                      <a:t>flüssig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8823-464D-940D-AFDE62BF717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404040"/>
                        </a:solidFill>
                      </a:rPr>
                      <a:t>gasförmig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8823-464D-940D-AFDE62BF717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404040"/>
                        </a:solidFill>
                      </a:rPr>
                      <a:t>überkritisch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8823-464D-940D-AFDE62BF717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CA220E"/>
                        </a:solidFill>
                      </a:rPr>
                      <a:t>zweiphasig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D96A9CE3-31E3-4490-BF49-CA180C41C4AD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Diagrammdaten!$L$242:$L$246</c:f>
              <c:numCache>
                <c:formatCode>General</c:formatCode>
                <c:ptCount val="5"/>
                <c:pt idx="0">
                  <c:v>19</c:v>
                </c:pt>
                <c:pt idx="1">
                  <c:v>137</c:v>
                </c:pt>
                <c:pt idx="2">
                  <c:v>317</c:v>
                </c:pt>
                <c:pt idx="3">
                  <c:v>317</c:v>
                </c:pt>
                <c:pt idx="4">
                  <c:v>111</c:v>
                </c:pt>
              </c:numCache>
            </c:numRef>
          </c:xVal>
          <c:yVal>
            <c:numRef>
              <c:f>Diagrammdaten!$K$242:$K$246</c:f>
              <c:numCache>
                <c:formatCode>General</c:formatCode>
                <c:ptCount val="5"/>
                <c:pt idx="0">
                  <c:v>150</c:v>
                </c:pt>
                <c:pt idx="1">
                  <c:v>170</c:v>
                </c:pt>
                <c:pt idx="2">
                  <c:v>25</c:v>
                </c:pt>
                <c:pt idx="3">
                  <c:v>160</c:v>
                </c:pt>
                <c:pt idx="4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823-464D-940D-AFDE62BF7178}"/>
            </c:ext>
          </c:extLst>
        </c:ser>
        <c:ser>
          <c:idx val="19"/>
          <c:order val="19"/>
          <c:tx>
            <c:v>Beschriftung Punkte K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00304F"/>
                        </a:solidFill>
                      </a:rPr>
                      <a:t>Kaverne voll 210 bar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8823-464D-940D-AFDE62BF717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00304F"/>
                        </a:solidFill>
                      </a:rPr>
                      <a:t>Grenzfall 171,2 bar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8823-464D-940D-AFDE62BF717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00304F"/>
                        </a:solidFill>
                      </a:rPr>
                      <a:t>Kaverne leer 70 bar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8823-464D-940D-AFDE62BF717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00304F"/>
                        </a:solidFill>
                      </a:rPr>
                      <a:t>Kopf 114,9 bar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8823-464D-940D-AFDE62BF717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00304F"/>
                        </a:solidFill>
                      </a:rPr>
                      <a:t>Kopf 82,2 bar = Cricondenbar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8823-464D-940D-AFDE62BF717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00304F"/>
                        </a:solidFill>
                      </a:rPr>
                      <a:t>Kopf 50,7 bar – zweiphasig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8823-464D-940D-AFDE62BF717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00304F"/>
                        </a:solidFill>
                      </a:rPr>
                      <a:t>Betriebsfenster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8823-464D-940D-AFDE62BF7178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Diagrammdaten!$L$247:$L$253</c:f>
              <c:numCache>
                <c:formatCode>General</c:formatCode>
                <c:ptCount val="7"/>
                <c:pt idx="0">
                  <c:v>281</c:v>
                </c:pt>
                <c:pt idx="1">
                  <c:v>281</c:v>
                </c:pt>
                <c:pt idx="2">
                  <c:v>277</c:v>
                </c:pt>
                <c:pt idx="3">
                  <c:v>149</c:v>
                </c:pt>
                <c:pt idx="4">
                  <c:v>145</c:v>
                </c:pt>
                <c:pt idx="5">
                  <c:v>139</c:v>
                </c:pt>
                <c:pt idx="6">
                  <c:v>219</c:v>
                </c:pt>
              </c:numCache>
            </c:numRef>
          </c:xVal>
          <c:yVal>
            <c:numRef>
              <c:f>Diagrammdaten!$K$247:$K$253</c:f>
              <c:numCache>
                <c:formatCode>General</c:formatCode>
                <c:ptCount val="7"/>
                <c:pt idx="0">
                  <c:v>216</c:v>
                </c:pt>
                <c:pt idx="1">
                  <c:v>172</c:v>
                </c:pt>
                <c:pt idx="2">
                  <c:v>64</c:v>
                </c:pt>
                <c:pt idx="3">
                  <c:v>118.93130198208927</c:v>
                </c:pt>
                <c:pt idx="4">
                  <c:v>83.17759431791859</c:v>
                </c:pt>
                <c:pt idx="5">
                  <c:v>44.705458672726493</c:v>
                </c:pt>
                <c:pt idx="6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8823-464D-940D-AFDE62BF71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090001"/>
        <c:axId val="60090002"/>
      </c:scatterChart>
      <c:catAx>
        <c:axId val="5009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aseline="0"/>
                </a:pPr>
                <a:r>
                  <a:rPr lang="en-US" sz="1000" baseline="0"/>
                  <a:t>Temperatur [°C]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900" baseline="0"/>
            </a:pPr>
            <a:endParaRPr lang="en-US"/>
          </a:p>
        </c:txPr>
        <c:crossAx val="50090002"/>
        <c:crosses val="autoZero"/>
        <c:auto val="1"/>
        <c:lblAlgn val="ctr"/>
        <c:lblOffset val="100"/>
        <c:tickLblSkip val="40"/>
        <c:tickMarkSkip val="40"/>
        <c:noMultiLvlLbl val="0"/>
      </c:catAx>
      <c:valAx>
        <c:axId val="50090002"/>
        <c:scaling>
          <c:orientation val="minMax"/>
          <c:max val="250"/>
          <c:min val="0"/>
        </c:scaling>
        <c:delete val="0"/>
        <c:axPos val="l"/>
        <c:majorGridlines>
          <c:spPr>
            <a:ln w="6350">
              <a:solidFill>
                <a:srgbClr val="FFFFFF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aseline="0"/>
                </a:pPr>
                <a:r>
                  <a:rPr lang="en-US" sz="1000" baseline="0"/>
                  <a:t>Druck [bar]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90001"/>
        <c:crosses val="autoZero"/>
        <c:crossBetween val="midCat"/>
        <c:majorUnit val="25"/>
      </c:valAx>
      <c:valAx>
        <c:axId val="60090002"/>
        <c:scaling>
          <c:orientation val="minMax"/>
          <c:max val="250"/>
          <c:min val="0"/>
        </c:scaling>
        <c:delete val="1"/>
        <c:axPos val="r"/>
        <c:numFmt formatCode="General" sourceLinked="1"/>
        <c:majorTickMark val="out"/>
        <c:minorTickMark val="none"/>
        <c:tickLblPos val="nextTo"/>
        <c:crossAx val="60090001"/>
        <c:crosses val="max"/>
        <c:crossBetween val="midCat"/>
      </c:valAx>
      <c:catAx>
        <c:axId val="60090001"/>
        <c:scaling>
          <c:orientation val="minMax"/>
        </c:scaling>
        <c:delete val="1"/>
        <c:axPos val="b"/>
        <c:majorTickMark val="out"/>
        <c:minorTickMark val="none"/>
        <c:tickLblPos val="none"/>
        <c:crossAx val="60090002"/>
        <c:crosses val="autoZero"/>
        <c:auto val="1"/>
        <c:lblAlgn val="ctr"/>
        <c:lblOffset val="100"/>
        <c:noMultiLvlLbl val="0"/>
      </c:catAx>
    </c:plotArea>
    <c:legend>
      <c:legendPos val="r"/>
      <c:overlay val="0"/>
      <c:txPr>
        <a:bodyPr/>
        <a:lstStyle/>
        <a:p>
          <a:pPr>
            <a:defRPr sz="900" baseline="0"/>
          </a:pPr>
          <a:endParaRPr lang="en-US"/>
        </a:p>
      </c:txPr>
    </c:legend>
    <c:plotVisOnly val="1"/>
    <c:dispBlanksAs val="zero"/>
    <c:showDLblsOverMax val="0"/>
  </c:chart>
  <c:spPr>
    <a:ln>
      <a:solidFill>
        <a:srgbClr val="BFBFBF"/>
      </a:solidFill>
    </a:ln>
  </c:spPr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21</xdr:row>
      <xdr:rowOff>38100</xdr:rowOff>
    </xdr:from>
    <xdr:to>
      <xdr:col>6</xdr:col>
      <xdr:colOff>0</xdr:colOff>
      <xdr:row>22</xdr:row>
      <xdr:rowOff>57150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276225" y="4229100"/>
          <a:ext cx="381000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900" b="1" i="0">
              <a:solidFill>
                <a:srgbClr val="007335"/>
              </a:solidFill>
              <a:latin typeface="Calibri"/>
              <a:cs typeface="Calibri"/>
            </a:rPr>
            <a:t>S1 – Anlieferung in dichter Phase (Pipeline)</a:t>
          </a:r>
        </a:p>
      </xdr:txBody>
    </xdr:sp>
    <xdr:clientData/>
  </xdr:twoCellAnchor>
  <xdr:twoCellAnchor>
    <xdr:from>
      <xdr:col>1</xdr:col>
      <xdr:colOff>95250</xdr:colOff>
      <xdr:row>22</xdr:row>
      <xdr:rowOff>95250</xdr:rowOff>
    </xdr:from>
    <xdr:to>
      <xdr:col>2</xdr:col>
      <xdr:colOff>381000</xdr:colOff>
      <xdr:row>24</xdr:row>
      <xdr:rowOff>171450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276225" y="4476750"/>
          <a:ext cx="1066800" cy="457200"/>
        </a:xfrm>
        <a:prstGeom prst="rect">
          <a:avLst/>
        </a:prstGeom>
        <a:solidFill>
          <a:srgbClr val="D9EAD3"/>
        </a:solidFill>
        <a:ln w="19050" cmpd="sng">
          <a:solidFill>
            <a:srgbClr val="007335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Netzübergabe S1</a:t>
          </a:r>
        </a:p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dichte Phase</a:t>
          </a:r>
        </a:p>
      </xdr:txBody>
    </xdr:sp>
    <xdr:clientData/>
  </xdr:twoCellAnchor>
  <xdr:twoCellAnchor>
    <xdr:from>
      <xdr:col>2</xdr:col>
      <xdr:colOff>381000</xdr:colOff>
      <xdr:row>23</xdr:row>
      <xdr:rowOff>0</xdr:rowOff>
    </xdr:from>
    <xdr:to>
      <xdr:col>2</xdr:col>
      <xdr:colOff>647700</xdr:colOff>
      <xdr:row>24</xdr:row>
      <xdr:rowOff>57150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1343025" y="4572000"/>
          <a:ext cx="26670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1600" b="1" i="0">
              <a:solidFill>
                <a:srgbClr val="404040"/>
              </a:solidFill>
              <a:latin typeface="Calibri"/>
              <a:cs typeface="Calibri"/>
            </a:rPr>
            <a:t>→</a:t>
          </a:r>
        </a:p>
      </xdr:txBody>
    </xdr:sp>
    <xdr:clientData/>
  </xdr:twoCellAnchor>
  <xdr:twoCellAnchor>
    <xdr:from>
      <xdr:col>2</xdr:col>
      <xdr:colOff>647700</xdr:colOff>
      <xdr:row>22</xdr:row>
      <xdr:rowOff>95250</xdr:rowOff>
    </xdr:from>
    <xdr:to>
      <xdr:col>4</xdr:col>
      <xdr:colOff>152400</xdr:colOff>
      <xdr:row>24</xdr:row>
      <xdr:rowOff>171450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1609725" y="4476750"/>
          <a:ext cx="1066800" cy="457200"/>
        </a:xfrm>
        <a:prstGeom prst="rect">
          <a:avLst/>
        </a:prstGeom>
        <a:solidFill>
          <a:srgbClr val="EFF2F4"/>
        </a:solidFill>
        <a:ln w="19050" cmpd="sng">
          <a:solidFill>
            <a:srgbClr val="8A8A8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Messtechnik &amp;</a:t>
          </a:r>
        </a:p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Filtration</a:t>
          </a:r>
        </a:p>
      </xdr:txBody>
    </xdr:sp>
    <xdr:clientData/>
  </xdr:twoCellAnchor>
  <xdr:twoCellAnchor>
    <xdr:from>
      <xdr:col>4</xdr:col>
      <xdr:colOff>209550</xdr:colOff>
      <xdr:row>23</xdr:row>
      <xdr:rowOff>133350</xdr:rowOff>
    </xdr:from>
    <xdr:to>
      <xdr:col>11</xdr:col>
      <xdr:colOff>95250</xdr:colOff>
      <xdr:row>23</xdr:row>
      <xdr:rowOff>152400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2733675" y="4705350"/>
          <a:ext cx="5353050" cy="19050"/>
        </a:xfrm>
        <a:prstGeom prst="rect">
          <a:avLst/>
        </a:prstGeom>
        <a:solidFill>
          <a:srgbClr val="404040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endParaRPr lang="en-US" sz="1100"/>
        </a:p>
      </xdr:txBody>
    </xdr:sp>
    <xdr:clientData/>
  </xdr:twoCellAnchor>
  <xdr:twoCellAnchor>
    <xdr:from>
      <xdr:col>11</xdr:col>
      <xdr:colOff>19050</xdr:colOff>
      <xdr:row>23</xdr:row>
      <xdr:rowOff>0</xdr:rowOff>
    </xdr:from>
    <xdr:to>
      <xdr:col>11</xdr:col>
      <xdr:colOff>266700</xdr:colOff>
      <xdr:row>24</xdr:row>
      <xdr:rowOff>57150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/>
      </xdr:nvSpPr>
      <xdr:spPr>
        <a:xfrm>
          <a:off x="8010525" y="4572000"/>
          <a:ext cx="24765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1600" b="1" i="0">
              <a:solidFill>
                <a:srgbClr val="404040"/>
              </a:solidFill>
              <a:latin typeface="Calibri"/>
              <a:cs typeface="Calibri"/>
            </a:rPr>
            <a:t>→</a:t>
          </a:r>
        </a:p>
      </xdr:txBody>
    </xdr:sp>
    <xdr:clientData/>
  </xdr:twoCellAnchor>
  <xdr:twoCellAnchor>
    <xdr:from>
      <xdr:col>4</xdr:col>
      <xdr:colOff>209550</xdr:colOff>
      <xdr:row>22</xdr:row>
      <xdr:rowOff>133350</xdr:rowOff>
    </xdr:from>
    <xdr:to>
      <xdr:col>11</xdr:col>
      <xdr:colOff>209550</xdr:colOff>
      <xdr:row>23</xdr:row>
      <xdr:rowOff>114300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/>
      </xdr:nvSpPr>
      <xdr:spPr>
        <a:xfrm>
          <a:off x="2733675" y="4514850"/>
          <a:ext cx="54673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800" b="0" i="1">
              <a:solidFill>
                <a:srgbClr val="595959"/>
              </a:solidFill>
              <a:latin typeface="Calibri"/>
              <a:cs typeface="Calibri"/>
            </a:rPr>
            <a:t>keine Verdichtung nötig – das CO₂ ist bereits dicht</a:t>
          </a:r>
        </a:p>
      </xdr:txBody>
    </xdr:sp>
    <xdr:clientData/>
  </xdr:twoCellAnchor>
  <xdr:twoCellAnchor>
    <xdr:from>
      <xdr:col>11</xdr:col>
      <xdr:colOff>285750</xdr:colOff>
      <xdr:row>22</xdr:row>
      <xdr:rowOff>95250</xdr:rowOff>
    </xdr:from>
    <xdr:to>
      <xdr:col>12</xdr:col>
      <xdr:colOff>571500</xdr:colOff>
      <xdr:row>24</xdr:row>
      <xdr:rowOff>171450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 txBox="1"/>
      </xdr:nvSpPr>
      <xdr:spPr>
        <a:xfrm>
          <a:off x="8277225" y="4476750"/>
          <a:ext cx="1066800" cy="457200"/>
        </a:xfrm>
        <a:prstGeom prst="rect">
          <a:avLst/>
        </a:prstGeom>
        <a:solidFill>
          <a:srgbClr val="D9EAD3"/>
        </a:solidFill>
        <a:ln w="19050" cmpd="sng">
          <a:solidFill>
            <a:srgbClr val="007335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Pumpe</a:t>
          </a:r>
        </a:p>
      </xdr:txBody>
    </xdr:sp>
    <xdr:clientData/>
  </xdr:twoCellAnchor>
  <xdr:twoCellAnchor>
    <xdr:from>
      <xdr:col>12</xdr:col>
      <xdr:colOff>571500</xdr:colOff>
      <xdr:row>23</xdr:row>
      <xdr:rowOff>0</xdr:rowOff>
    </xdr:from>
    <xdr:to>
      <xdr:col>13</xdr:col>
      <xdr:colOff>57150</xdr:colOff>
      <xdr:row>24</xdr:row>
      <xdr:rowOff>57150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9344025" y="4572000"/>
          <a:ext cx="26670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1600" b="1" i="0">
              <a:solidFill>
                <a:srgbClr val="404040"/>
              </a:solidFill>
              <a:latin typeface="Calibri"/>
              <a:cs typeface="Calibri"/>
            </a:rPr>
            <a:t>→</a:t>
          </a:r>
        </a:p>
      </xdr:txBody>
    </xdr:sp>
    <xdr:clientData/>
  </xdr:twoCellAnchor>
  <xdr:twoCellAnchor>
    <xdr:from>
      <xdr:col>1</xdr:col>
      <xdr:colOff>95250</xdr:colOff>
      <xdr:row>26</xdr:row>
      <xdr:rowOff>57150</xdr:rowOff>
    </xdr:from>
    <xdr:to>
      <xdr:col>6</xdr:col>
      <xdr:colOff>0</xdr:colOff>
      <xdr:row>27</xdr:row>
      <xdr:rowOff>76200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/>
      </xdr:nvSpPr>
      <xdr:spPr>
        <a:xfrm>
          <a:off x="276225" y="5200650"/>
          <a:ext cx="381000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900" b="1" i="0">
              <a:solidFill>
                <a:srgbClr val="164A73"/>
              </a:solidFill>
              <a:latin typeface="Calibri"/>
              <a:cs typeface="Calibri"/>
            </a:rPr>
            <a:t>S2 – gasförmige Anlieferung</a:t>
          </a:r>
        </a:p>
      </xdr:txBody>
    </xdr:sp>
    <xdr:clientData/>
  </xdr:twoCellAnchor>
  <xdr:twoCellAnchor>
    <xdr:from>
      <xdr:col>1</xdr:col>
      <xdr:colOff>95250</xdr:colOff>
      <xdr:row>27</xdr:row>
      <xdr:rowOff>114300</xdr:rowOff>
    </xdr:from>
    <xdr:to>
      <xdr:col>2</xdr:col>
      <xdr:colOff>381000</xdr:colOff>
      <xdr:row>30</xdr:row>
      <xdr:rowOff>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/>
      </xdr:nvSpPr>
      <xdr:spPr>
        <a:xfrm>
          <a:off x="276225" y="5448300"/>
          <a:ext cx="1066800" cy="457200"/>
        </a:xfrm>
        <a:prstGeom prst="rect">
          <a:avLst/>
        </a:prstGeom>
        <a:solidFill>
          <a:srgbClr val="CFE2F3"/>
        </a:solidFill>
        <a:ln w="19050" cmpd="sng">
          <a:solidFill>
            <a:srgbClr val="164A73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Netzübergabe S2</a:t>
          </a:r>
        </a:p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gasförmig</a:t>
          </a:r>
        </a:p>
      </xdr:txBody>
    </xdr:sp>
    <xdr:clientData/>
  </xdr:twoCellAnchor>
  <xdr:twoCellAnchor>
    <xdr:from>
      <xdr:col>2</xdr:col>
      <xdr:colOff>381000</xdr:colOff>
      <xdr:row>28</xdr:row>
      <xdr:rowOff>19050</xdr:rowOff>
    </xdr:from>
    <xdr:to>
      <xdr:col>2</xdr:col>
      <xdr:colOff>647700</xdr:colOff>
      <xdr:row>29</xdr:row>
      <xdr:rowOff>76200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/>
      </xdr:nvSpPr>
      <xdr:spPr>
        <a:xfrm>
          <a:off x="1343025" y="5543550"/>
          <a:ext cx="26670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1600" b="1" i="0">
              <a:solidFill>
                <a:srgbClr val="404040"/>
              </a:solidFill>
              <a:latin typeface="Calibri"/>
              <a:cs typeface="Calibri"/>
            </a:rPr>
            <a:t>→</a:t>
          </a:r>
        </a:p>
      </xdr:txBody>
    </xdr:sp>
    <xdr:clientData/>
  </xdr:twoCellAnchor>
  <xdr:twoCellAnchor>
    <xdr:from>
      <xdr:col>2</xdr:col>
      <xdr:colOff>647700</xdr:colOff>
      <xdr:row>27</xdr:row>
      <xdr:rowOff>114300</xdr:rowOff>
    </xdr:from>
    <xdr:to>
      <xdr:col>4</xdr:col>
      <xdr:colOff>152400</xdr:colOff>
      <xdr:row>30</xdr:row>
      <xdr:rowOff>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1609725" y="5448300"/>
          <a:ext cx="1066800" cy="457200"/>
        </a:xfrm>
        <a:prstGeom prst="rect">
          <a:avLst/>
        </a:prstGeom>
        <a:solidFill>
          <a:srgbClr val="EFF2F4"/>
        </a:solidFill>
        <a:ln w="19050" cmpd="sng">
          <a:solidFill>
            <a:srgbClr val="8A8A8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Messtechnik &amp;</a:t>
          </a:r>
        </a:p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Filtration</a:t>
          </a:r>
        </a:p>
      </xdr:txBody>
    </xdr:sp>
    <xdr:clientData/>
  </xdr:twoCellAnchor>
  <xdr:twoCellAnchor>
    <xdr:from>
      <xdr:col>7</xdr:col>
      <xdr:colOff>742950</xdr:colOff>
      <xdr:row>27</xdr:row>
      <xdr:rowOff>114300</xdr:rowOff>
    </xdr:from>
    <xdr:to>
      <xdr:col>9</xdr:col>
      <xdr:colOff>247650</xdr:colOff>
      <xdr:row>30</xdr:row>
      <xdr:rowOff>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5610225" y="5448300"/>
          <a:ext cx="1066800" cy="457200"/>
        </a:xfrm>
        <a:prstGeom prst="rect">
          <a:avLst/>
        </a:prstGeom>
        <a:solidFill>
          <a:srgbClr val="CFE2F3"/>
        </a:solidFill>
        <a:ln w="19050" cmpd="sng">
          <a:solidFill>
            <a:srgbClr val="164A73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Verdichter
2 Stufen</a:t>
          </a:r>
        </a:p>
      </xdr:txBody>
    </xdr:sp>
    <xdr:clientData/>
  </xdr:twoCellAnchor>
  <xdr:twoCellAnchor>
    <xdr:from>
      <xdr:col>9</xdr:col>
      <xdr:colOff>247650</xdr:colOff>
      <xdr:row>28</xdr:row>
      <xdr:rowOff>19050</xdr:rowOff>
    </xdr:from>
    <xdr:to>
      <xdr:col>9</xdr:col>
      <xdr:colOff>514350</xdr:colOff>
      <xdr:row>29</xdr:row>
      <xdr:rowOff>76200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6677025" y="5543550"/>
          <a:ext cx="26670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1600" b="1" i="0">
              <a:solidFill>
                <a:srgbClr val="404040"/>
              </a:solidFill>
              <a:latin typeface="Calibri"/>
              <a:cs typeface="Calibri"/>
            </a:rPr>
            <a:t>→</a:t>
          </a:r>
        </a:p>
      </xdr:txBody>
    </xdr:sp>
    <xdr:clientData/>
  </xdr:twoCellAnchor>
  <xdr:twoCellAnchor>
    <xdr:from>
      <xdr:col>9</xdr:col>
      <xdr:colOff>514350</xdr:colOff>
      <xdr:row>27</xdr:row>
      <xdr:rowOff>114300</xdr:rowOff>
    </xdr:from>
    <xdr:to>
      <xdr:col>11</xdr:col>
      <xdr:colOff>19050</xdr:colOff>
      <xdr:row>30</xdr:row>
      <xdr:rowOff>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/>
      </xdr:nvSpPr>
      <xdr:spPr>
        <a:xfrm>
          <a:off x="6943725" y="5448300"/>
          <a:ext cx="1066800" cy="457200"/>
        </a:xfrm>
        <a:prstGeom prst="rect">
          <a:avLst/>
        </a:prstGeom>
        <a:solidFill>
          <a:srgbClr val="D9EAD3"/>
        </a:solidFill>
        <a:ln w="19050" cmpd="sng">
          <a:solidFill>
            <a:srgbClr val="007335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Kühler
91 bar</a:t>
          </a:r>
        </a:p>
      </xdr:txBody>
    </xdr:sp>
    <xdr:clientData/>
  </xdr:twoCellAnchor>
  <xdr:twoCellAnchor>
    <xdr:from>
      <xdr:col>11</xdr:col>
      <xdr:colOff>19050</xdr:colOff>
      <xdr:row>28</xdr:row>
      <xdr:rowOff>19050</xdr:rowOff>
    </xdr:from>
    <xdr:to>
      <xdr:col>11</xdr:col>
      <xdr:colOff>285750</xdr:colOff>
      <xdr:row>29</xdr:row>
      <xdr:rowOff>76200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 txBox="1"/>
      </xdr:nvSpPr>
      <xdr:spPr>
        <a:xfrm>
          <a:off x="8010525" y="5543550"/>
          <a:ext cx="26670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1600" b="1" i="0">
              <a:solidFill>
                <a:srgbClr val="404040"/>
              </a:solidFill>
              <a:latin typeface="Calibri"/>
              <a:cs typeface="Calibri"/>
            </a:rPr>
            <a:t>→</a:t>
          </a:r>
        </a:p>
      </xdr:txBody>
    </xdr:sp>
    <xdr:clientData/>
  </xdr:twoCellAnchor>
  <xdr:twoCellAnchor>
    <xdr:from>
      <xdr:col>11</xdr:col>
      <xdr:colOff>285750</xdr:colOff>
      <xdr:row>27</xdr:row>
      <xdr:rowOff>114300</xdr:rowOff>
    </xdr:from>
    <xdr:to>
      <xdr:col>12</xdr:col>
      <xdr:colOff>571500</xdr:colOff>
      <xdr:row>30</xdr:row>
      <xdr:rowOff>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 txBox="1"/>
      </xdr:nvSpPr>
      <xdr:spPr>
        <a:xfrm>
          <a:off x="8277225" y="5448300"/>
          <a:ext cx="1066800" cy="457200"/>
        </a:xfrm>
        <a:prstGeom prst="rect">
          <a:avLst/>
        </a:prstGeom>
        <a:solidFill>
          <a:srgbClr val="D9EAD3"/>
        </a:solidFill>
        <a:ln w="19050" cmpd="sng">
          <a:solidFill>
            <a:srgbClr val="007335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Pumpe</a:t>
          </a:r>
        </a:p>
      </xdr:txBody>
    </xdr:sp>
    <xdr:clientData/>
  </xdr:twoCellAnchor>
  <xdr:twoCellAnchor>
    <xdr:from>
      <xdr:col>12</xdr:col>
      <xdr:colOff>571500</xdr:colOff>
      <xdr:row>28</xdr:row>
      <xdr:rowOff>19050</xdr:rowOff>
    </xdr:from>
    <xdr:to>
      <xdr:col>13</xdr:col>
      <xdr:colOff>57150</xdr:colOff>
      <xdr:row>29</xdr:row>
      <xdr:rowOff>76200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 txBox="1"/>
      </xdr:nvSpPr>
      <xdr:spPr>
        <a:xfrm>
          <a:off x="9344025" y="5543550"/>
          <a:ext cx="26670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1600" b="1" i="0">
              <a:solidFill>
                <a:srgbClr val="404040"/>
              </a:solidFill>
              <a:latin typeface="Calibri"/>
              <a:cs typeface="Calibri"/>
            </a:rPr>
            <a:t>→</a:t>
          </a:r>
        </a:p>
      </xdr:txBody>
    </xdr:sp>
    <xdr:clientData/>
  </xdr:twoCellAnchor>
  <xdr:twoCellAnchor>
    <xdr:from>
      <xdr:col>4</xdr:col>
      <xdr:colOff>209550</xdr:colOff>
      <xdr:row>28</xdr:row>
      <xdr:rowOff>152400</xdr:rowOff>
    </xdr:from>
    <xdr:to>
      <xdr:col>7</xdr:col>
      <xdr:colOff>552450</xdr:colOff>
      <xdr:row>28</xdr:row>
      <xdr:rowOff>171450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 txBox="1"/>
      </xdr:nvSpPr>
      <xdr:spPr>
        <a:xfrm>
          <a:off x="2733675" y="5676900"/>
          <a:ext cx="2686050" cy="19050"/>
        </a:xfrm>
        <a:prstGeom prst="rect">
          <a:avLst/>
        </a:prstGeom>
        <a:solidFill>
          <a:srgbClr val="404040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endParaRPr lang="en-US" sz="1100"/>
        </a:p>
      </xdr:txBody>
    </xdr:sp>
    <xdr:clientData/>
  </xdr:twoCellAnchor>
  <xdr:twoCellAnchor>
    <xdr:from>
      <xdr:col>7</xdr:col>
      <xdr:colOff>476250</xdr:colOff>
      <xdr:row>28</xdr:row>
      <xdr:rowOff>19050</xdr:rowOff>
    </xdr:from>
    <xdr:to>
      <xdr:col>7</xdr:col>
      <xdr:colOff>723900</xdr:colOff>
      <xdr:row>29</xdr:row>
      <xdr:rowOff>76200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5343525" y="5543550"/>
          <a:ext cx="24765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1600" b="1" i="0">
              <a:solidFill>
                <a:srgbClr val="404040"/>
              </a:solidFill>
              <a:latin typeface="Calibri"/>
              <a:cs typeface="Calibri"/>
            </a:rPr>
            <a:t>→</a:t>
          </a:r>
        </a:p>
      </xdr:txBody>
    </xdr:sp>
    <xdr:clientData/>
  </xdr:twoCellAnchor>
  <xdr:twoCellAnchor>
    <xdr:from>
      <xdr:col>4</xdr:col>
      <xdr:colOff>209550</xdr:colOff>
      <xdr:row>27</xdr:row>
      <xdr:rowOff>152400</xdr:rowOff>
    </xdr:from>
    <xdr:to>
      <xdr:col>7</xdr:col>
      <xdr:colOff>666750</xdr:colOff>
      <xdr:row>28</xdr:row>
      <xdr:rowOff>133350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 txBox="1"/>
      </xdr:nvSpPr>
      <xdr:spPr>
        <a:xfrm>
          <a:off x="2733675" y="5486400"/>
          <a:ext cx="28003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800" b="0" i="1">
              <a:solidFill>
                <a:srgbClr val="595959"/>
              </a:solidFill>
              <a:latin typeface="Calibri"/>
              <a:cs typeface="Calibri"/>
            </a:rPr>
            <a:t>Zwischenkühlung auf 26 °C · über die Cricondenbar, keine Kondensation</a:t>
          </a:r>
        </a:p>
      </xdr:txBody>
    </xdr:sp>
    <xdr:clientData/>
  </xdr:twoCellAnchor>
  <xdr:twoCellAnchor>
    <xdr:from>
      <xdr:col>13</xdr:col>
      <xdr:colOff>57150</xdr:colOff>
      <xdr:row>22</xdr:row>
      <xdr:rowOff>95250</xdr:rowOff>
    </xdr:from>
    <xdr:to>
      <xdr:col>14</xdr:col>
      <xdr:colOff>342900</xdr:colOff>
      <xdr:row>30</xdr:row>
      <xdr:rowOff>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 txBox="1"/>
      </xdr:nvSpPr>
      <xdr:spPr>
        <a:xfrm>
          <a:off x="9610725" y="4476750"/>
          <a:ext cx="1066800" cy="1428750"/>
        </a:xfrm>
        <a:prstGeom prst="rect">
          <a:avLst/>
        </a:prstGeom>
        <a:solidFill>
          <a:srgbClr val="D9EAD3"/>
        </a:solidFill>
        <a:ln w="19050" cmpd="sng">
          <a:solidFill>
            <a:srgbClr val="007335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Bohrloch-</a:t>
          </a:r>
        </a:p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kopf</a:t>
          </a:r>
        </a:p>
      </xdr:txBody>
    </xdr:sp>
    <xdr:clientData/>
  </xdr:twoCellAnchor>
  <xdr:twoCellAnchor>
    <xdr:from>
      <xdr:col>14</xdr:col>
      <xdr:colOff>342900</xdr:colOff>
      <xdr:row>25</xdr:row>
      <xdr:rowOff>104775</xdr:rowOff>
    </xdr:from>
    <xdr:to>
      <xdr:col>14</xdr:col>
      <xdr:colOff>609600</xdr:colOff>
      <xdr:row>26</xdr:row>
      <xdr:rowOff>161925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 txBox="1"/>
      </xdr:nvSpPr>
      <xdr:spPr>
        <a:xfrm>
          <a:off x="10677525" y="5057775"/>
          <a:ext cx="26670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1600" b="1" i="0">
              <a:solidFill>
                <a:srgbClr val="404040"/>
              </a:solidFill>
              <a:latin typeface="Calibri"/>
              <a:cs typeface="Calibri"/>
            </a:rPr>
            <a:t>→</a:t>
          </a:r>
        </a:p>
      </xdr:txBody>
    </xdr:sp>
    <xdr:clientData/>
  </xdr:twoCellAnchor>
  <xdr:twoCellAnchor>
    <xdr:from>
      <xdr:col>14</xdr:col>
      <xdr:colOff>609600</xdr:colOff>
      <xdr:row>22</xdr:row>
      <xdr:rowOff>95250</xdr:rowOff>
    </xdr:from>
    <xdr:to>
      <xdr:col>16</xdr:col>
      <xdr:colOff>114300</xdr:colOff>
      <xdr:row>30</xdr:row>
      <xdr:rowOff>0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 txBox="1"/>
      </xdr:nvSpPr>
      <xdr:spPr>
        <a:xfrm>
          <a:off x="10944225" y="4476750"/>
          <a:ext cx="1066800" cy="1428750"/>
        </a:xfrm>
        <a:prstGeom prst="rect">
          <a:avLst/>
        </a:prstGeom>
        <a:gradFill>
          <a:gsLst>
            <a:gs pos="0">
              <a:srgbClr val="D9EAD3"/>
            </a:gs>
            <a:gs pos="100000">
              <a:srgbClr val="FCE5CD"/>
            </a:gs>
          </a:gsLst>
          <a:lin ang="5400000" scaled="0"/>
        </a:gradFill>
        <a:ln w="19050" cmpd="sng">
          <a:solidFill>
            <a:srgbClr val="00304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Gassäule</a:t>
          </a:r>
        </a:p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im Bohrloch</a:t>
          </a:r>
        </a:p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(1200 m)</a:t>
          </a:r>
        </a:p>
      </xdr:txBody>
    </xdr:sp>
    <xdr:clientData/>
  </xdr:twoCellAnchor>
  <xdr:twoCellAnchor>
    <xdr:from>
      <xdr:col>16</xdr:col>
      <xdr:colOff>114300</xdr:colOff>
      <xdr:row>23</xdr:row>
      <xdr:rowOff>0</xdr:rowOff>
    </xdr:from>
    <xdr:to>
      <xdr:col>16</xdr:col>
      <xdr:colOff>381000</xdr:colOff>
      <xdr:row>24</xdr:row>
      <xdr:rowOff>57150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 txBox="1"/>
      </xdr:nvSpPr>
      <xdr:spPr>
        <a:xfrm>
          <a:off x="12011025" y="4572000"/>
          <a:ext cx="26670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1600" b="1" i="0">
              <a:solidFill>
                <a:srgbClr val="404040"/>
              </a:solidFill>
              <a:latin typeface="Calibri"/>
              <a:cs typeface="Calibri"/>
            </a:rPr>
            <a:t>→</a:t>
          </a:r>
        </a:p>
      </xdr:txBody>
    </xdr:sp>
    <xdr:clientData/>
  </xdr:twoCellAnchor>
  <xdr:twoCellAnchor>
    <xdr:from>
      <xdr:col>16</xdr:col>
      <xdr:colOff>114300</xdr:colOff>
      <xdr:row>28</xdr:row>
      <xdr:rowOff>19050</xdr:rowOff>
    </xdr:from>
    <xdr:to>
      <xdr:col>16</xdr:col>
      <xdr:colOff>381000</xdr:colOff>
      <xdr:row>29</xdr:row>
      <xdr:rowOff>76200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 txBox="1"/>
      </xdr:nvSpPr>
      <xdr:spPr>
        <a:xfrm>
          <a:off x="12011025" y="5543550"/>
          <a:ext cx="26670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1600" b="1" i="0">
              <a:solidFill>
                <a:srgbClr val="8A8A8A"/>
              </a:solidFill>
              <a:latin typeface="Calibri"/>
              <a:cs typeface="Calibri"/>
            </a:rPr>
            <a:t>⇢</a:t>
          </a:r>
        </a:p>
      </xdr:txBody>
    </xdr:sp>
    <xdr:clientData/>
  </xdr:twoCellAnchor>
  <xdr:twoCellAnchor>
    <xdr:from>
      <xdr:col>16</xdr:col>
      <xdr:colOff>381000</xdr:colOff>
      <xdr:row>22</xdr:row>
      <xdr:rowOff>95250</xdr:rowOff>
    </xdr:from>
    <xdr:to>
      <xdr:col>17</xdr:col>
      <xdr:colOff>666750</xdr:colOff>
      <xdr:row>24</xdr:row>
      <xdr:rowOff>171450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 txBox="1"/>
      </xdr:nvSpPr>
      <xdr:spPr>
        <a:xfrm>
          <a:off x="12277725" y="4476750"/>
          <a:ext cx="1066800" cy="457200"/>
        </a:xfrm>
        <a:prstGeom prst="rect">
          <a:avLst/>
        </a:prstGeom>
        <a:solidFill>
          <a:srgbClr val="FCE5CD"/>
        </a:solidFill>
        <a:ln w="31750" cmpd="sng">
          <a:solidFill>
            <a:srgbClr val="00304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Kaverne V1</a:t>
          </a:r>
        </a:p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tief · 1200 m</a:t>
          </a:r>
        </a:p>
      </xdr:txBody>
    </xdr:sp>
    <xdr:clientData/>
  </xdr:twoCellAnchor>
  <xdr:twoCellAnchor>
    <xdr:from>
      <xdr:col>16</xdr:col>
      <xdr:colOff>381000</xdr:colOff>
      <xdr:row>27</xdr:row>
      <xdr:rowOff>114300</xdr:rowOff>
    </xdr:from>
    <xdr:to>
      <xdr:col>17</xdr:col>
      <xdr:colOff>666750</xdr:colOff>
      <xdr:row>30</xdr:row>
      <xdr:rowOff>0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 txBox="1"/>
      </xdr:nvSpPr>
      <xdr:spPr>
        <a:xfrm>
          <a:off x="12277725" y="5448300"/>
          <a:ext cx="1066800" cy="457200"/>
        </a:xfrm>
        <a:prstGeom prst="rect">
          <a:avLst/>
        </a:prstGeom>
        <a:solidFill>
          <a:srgbClr val="FFFFFF"/>
        </a:solidFill>
        <a:ln w="19050" cmpd="sng">
          <a:solidFill>
            <a:srgbClr val="8A8A8A"/>
          </a:solidFill>
          <a:prstDash val="dash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8A8A8A"/>
              </a:solidFill>
              <a:latin typeface="Calibri"/>
              <a:cs typeface="Calibri"/>
            </a:rPr>
            <a:t>Kaverne V2</a:t>
          </a:r>
        </a:p>
        <a:p>
          <a:r>
            <a:rPr lang="en-US" sz="900" b="1">
              <a:solidFill>
                <a:srgbClr val="8A8A8A"/>
              </a:solidFill>
              <a:latin typeface="Calibri"/>
              <a:cs typeface="Calibri"/>
            </a:rPr>
            <a:t>flach · noch offen</a:t>
          </a:r>
        </a:p>
      </xdr:txBody>
    </xdr:sp>
    <xdr:clientData/>
  </xdr:twoCellAnchor>
  <xdr:twoCellAnchor>
    <xdr:from>
      <xdr:col>0</xdr:col>
      <xdr:colOff>133350</xdr:colOff>
      <xdr:row>24</xdr:row>
      <xdr:rowOff>180975</xdr:rowOff>
    </xdr:from>
    <xdr:to>
      <xdr:col>2</xdr:col>
      <xdr:colOff>523875</xdr:colOff>
      <xdr:row>25</xdr:row>
      <xdr:rowOff>161925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 txBox="1"/>
      </xdr:nvSpPr>
      <xdr:spPr>
        <a:xfrm>
          <a:off x="133350" y="4943475"/>
          <a:ext cx="13525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91 bar · 15 °C</a:t>
          </a:r>
        </a:p>
      </xdr:txBody>
    </xdr:sp>
    <xdr:clientData/>
  </xdr:twoCellAnchor>
  <xdr:twoCellAnchor>
    <xdr:from>
      <xdr:col>11</xdr:col>
      <xdr:colOff>142875</xdr:colOff>
      <xdr:row>24</xdr:row>
      <xdr:rowOff>180975</xdr:rowOff>
    </xdr:from>
    <xdr:to>
      <xdr:col>12</xdr:col>
      <xdr:colOff>714375</xdr:colOff>
      <xdr:row>25</xdr:row>
      <xdr:rowOff>161925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 txBox="1"/>
      </xdr:nvSpPr>
      <xdr:spPr>
        <a:xfrm>
          <a:off x="8134350" y="4943475"/>
          <a:ext cx="13525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→ 114,9 bar · 18,4 °C</a:t>
          </a:r>
        </a:p>
      </xdr:txBody>
    </xdr:sp>
    <xdr:clientData/>
  </xdr:twoCellAnchor>
  <xdr:twoCellAnchor>
    <xdr:from>
      <xdr:col>0</xdr:col>
      <xdr:colOff>133350</xdr:colOff>
      <xdr:row>30</xdr:row>
      <xdr:rowOff>9525</xdr:rowOff>
    </xdr:from>
    <xdr:to>
      <xdr:col>2</xdr:col>
      <xdr:colOff>523875</xdr:colOff>
      <xdr:row>30</xdr:row>
      <xdr:rowOff>180975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 txBox="1"/>
      </xdr:nvSpPr>
      <xdr:spPr>
        <a:xfrm>
          <a:off x="133350" y="5915025"/>
          <a:ext cx="13525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30 bar · 15 °C</a:t>
          </a:r>
        </a:p>
      </xdr:txBody>
    </xdr:sp>
    <xdr:clientData/>
  </xdr:twoCellAnchor>
  <xdr:twoCellAnchor>
    <xdr:from>
      <xdr:col>7</xdr:col>
      <xdr:colOff>600075</xdr:colOff>
      <xdr:row>30</xdr:row>
      <xdr:rowOff>9525</xdr:rowOff>
    </xdr:from>
    <xdr:to>
      <xdr:col>9</xdr:col>
      <xdr:colOff>390525</xdr:colOff>
      <xdr:row>30</xdr:row>
      <xdr:rowOff>180975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 txBox="1"/>
      </xdr:nvSpPr>
      <xdr:spPr>
        <a:xfrm>
          <a:off x="5467350" y="5915025"/>
          <a:ext cx="13525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→ 91 bar · 77 °C (2 Stufen)</a:t>
          </a:r>
        </a:p>
      </xdr:txBody>
    </xdr:sp>
    <xdr:clientData/>
  </xdr:twoCellAnchor>
  <xdr:twoCellAnchor>
    <xdr:from>
      <xdr:col>9</xdr:col>
      <xdr:colOff>371475</xdr:colOff>
      <xdr:row>30</xdr:row>
      <xdr:rowOff>9525</xdr:rowOff>
    </xdr:from>
    <xdr:to>
      <xdr:col>11</xdr:col>
      <xdr:colOff>161925</xdr:colOff>
      <xdr:row>30</xdr:row>
      <xdr:rowOff>180975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 txBox="1"/>
      </xdr:nvSpPr>
      <xdr:spPr>
        <a:xfrm>
          <a:off x="6800850" y="5915025"/>
          <a:ext cx="13525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91 bar · 26 °C</a:t>
          </a:r>
        </a:p>
      </xdr:txBody>
    </xdr:sp>
    <xdr:clientData/>
  </xdr:twoCellAnchor>
  <xdr:twoCellAnchor>
    <xdr:from>
      <xdr:col>11</xdr:col>
      <xdr:colOff>142875</xdr:colOff>
      <xdr:row>30</xdr:row>
      <xdr:rowOff>9525</xdr:rowOff>
    </xdr:from>
    <xdr:to>
      <xdr:col>12</xdr:col>
      <xdr:colOff>714375</xdr:colOff>
      <xdr:row>30</xdr:row>
      <xdr:rowOff>180975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 txBox="1"/>
      </xdr:nvSpPr>
      <xdr:spPr>
        <a:xfrm>
          <a:off x="8134350" y="5915025"/>
          <a:ext cx="13525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→ 114,9 bar · 31,7 °C</a:t>
          </a:r>
        </a:p>
      </xdr:txBody>
    </xdr:sp>
    <xdr:clientData/>
  </xdr:twoCellAnchor>
  <xdr:twoCellAnchor>
    <xdr:from>
      <xdr:col>16</xdr:col>
      <xdr:colOff>238125</xdr:colOff>
      <xdr:row>24</xdr:row>
      <xdr:rowOff>180975</xdr:rowOff>
    </xdr:from>
    <xdr:to>
      <xdr:col>18</xdr:col>
      <xdr:colOff>28575</xdr:colOff>
      <xdr:row>25</xdr:row>
      <xdr:rowOff>161925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 txBox="1"/>
      </xdr:nvSpPr>
      <xdr:spPr>
        <a:xfrm>
          <a:off x="12134850" y="4943475"/>
          <a:ext cx="13525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70–210 bar · 46 °C</a:t>
          </a:r>
        </a:p>
      </xdr:txBody>
    </xdr:sp>
    <xdr:clientData/>
  </xdr:twoCellAnchor>
  <xdr:twoCellAnchor>
    <xdr:from>
      <xdr:col>12</xdr:col>
      <xdr:colOff>695325</xdr:colOff>
      <xdr:row>30</xdr:row>
      <xdr:rowOff>9525</xdr:rowOff>
    </xdr:from>
    <xdr:to>
      <xdr:col>14</xdr:col>
      <xdr:colOff>485775</xdr:colOff>
      <xdr:row>30</xdr:row>
      <xdr:rowOff>180975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 txBox="1"/>
      </xdr:nvSpPr>
      <xdr:spPr>
        <a:xfrm>
          <a:off x="9467850" y="5915025"/>
          <a:ext cx="13525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Kopf: 114,9 bar</a:t>
          </a:r>
        </a:p>
      </xdr:txBody>
    </xdr:sp>
    <xdr:clientData/>
  </xdr:twoCellAnchor>
  <xdr:twoCellAnchor>
    <xdr:from>
      <xdr:col>14</xdr:col>
      <xdr:colOff>466725</xdr:colOff>
      <xdr:row>30</xdr:row>
      <xdr:rowOff>9525</xdr:rowOff>
    </xdr:from>
    <xdr:to>
      <xdr:col>16</xdr:col>
      <xdr:colOff>257175</xdr:colOff>
      <xdr:row>30</xdr:row>
      <xdr:rowOff>180975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 txBox="1"/>
      </xdr:nvSpPr>
      <xdr:spPr>
        <a:xfrm>
          <a:off x="10801350" y="5915025"/>
          <a:ext cx="13525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+95 bar aus der Säule</a:t>
          </a:r>
        </a:p>
      </xdr:txBody>
    </xdr:sp>
    <xdr:clientData/>
  </xdr:twoCellAnchor>
  <xdr:twoCellAnchor>
    <xdr:from>
      <xdr:col>1</xdr:col>
      <xdr:colOff>95250</xdr:colOff>
      <xdr:row>31</xdr:row>
      <xdr:rowOff>57150</xdr:rowOff>
    </xdr:from>
    <xdr:to>
      <xdr:col>5</xdr:col>
      <xdr:colOff>400050</xdr:colOff>
      <xdr:row>32</xdr:row>
      <xdr:rowOff>38100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 txBox="1"/>
      </xdr:nvSpPr>
      <xdr:spPr>
        <a:xfrm>
          <a:off x="276225" y="6153150"/>
          <a:ext cx="342900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800" b="1" i="0">
              <a:solidFill>
                <a:srgbClr val="595959"/>
              </a:solidFill>
              <a:latin typeface="Calibri"/>
              <a:cs typeface="Calibri"/>
            </a:rPr>
            <a:t>Farbe der Kästen = Phase am Austritt (wie im Phasendiagramm):</a:t>
          </a:r>
        </a:p>
      </xdr:txBody>
    </xdr:sp>
    <xdr:clientData/>
  </xdr:twoCellAnchor>
  <xdr:twoCellAnchor>
    <xdr:from>
      <xdr:col>5</xdr:col>
      <xdr:colOff>400050</xdr:colOff>
      <xdr:row>31</xdr:row>
      <xdr:rowOff>85725</xdr:rowOff>
    </xdr:from>
    <xdr:to>
      <xdr:col>5</xdr:col>
      <xdr:colOff>552450</xdr:colOff>
      <xdr:row>32</xdr:row>
      <xdr:rowOff>0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 txBox="1"/>
      </xdr:nvSpPr>
      <xdr:spPr>
        <a:xfrm>
          <a:off x="3705225" y="6181725"/>
          <a:ext cx="152400" cy="104775"/>
        </a:xfrm>
        <a:prstGeom prst="rect">
          <a:avLst/>
        </a:prstGeom>
        <a:solidFill>
          <a:srgbClr val="D9EAD3"/>
        </a:solidFill>
        <a:ln w="9525" cmpd="sng">
          <a:solidFill>
            <a:srgbClr val="007335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endParaRPr lang="en-US" sz="1100"/>
        </a:p>
      </xdr:txBody>
    </xdr:sp>
    <xdr:clientData/>
  </xdr:twoCellAnchor>
  <xdr:twoCellAnchor>
    <xdr:from>
      <xdr:col>5</xdr:col>
      <xdr:colOff>590550</xdr:colOff>
      <xdr:row>31</xdr:row>
      <xdr:rowOff>57150</xdr:rowOff>
    </xdr:from>
    <xdr:to>
      <xdr:col>7</xdr:col>
      <xdr:colOff>266700</xdr:colOff>
      <xdr:row>32</xdr:row>
      <xdr:rowOff>38100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 txBox="1"/>
      </xdr:nvSpPr>
      <xdr:spPr>
        <a:xfrm>
          <a:off x="3895725" y="6153150"/>
          <a:ext cx="12382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dicht / flüssig</a:t>
          </a:r>
        </a:p>
      </xdr:txBody>
    </xdr:sp>
    <xdr:clientData/>
  </xdr:twoCellAnchor>
  <xdr:twoCellAnchor>
    <xdr:from>
      <xdr:col>7</xdr:col>
      <xdr:colOff>266700</xdr:colOff>
      <xdr:row>31</xdr:row>
      <xdr:rowOff>85725</xdr:rowOff>
    </xdr:from>
    <xdr:to>
      <xdr:col>7</xdr:col>
      <xdr:colOff>419100</xdr:colOff>
      <xdr:row>32</xdr:row>
      <xdr:rowOff>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 txBox="1"/>
      </xdr:nvSpPr>
      <xdr:spPr>
        <a:xfrm>
          <a:off x="5133975" y="6181725"/>
          <a:ext cx="152400" cy="104775"/>
        </a:xfrm>
        <a:prstGeom prst="rect">
          <a:avLst/>
        </a:prstGeom>
        <a:solidFill>
          <a:srgbClr val="CFE2F3"/>
        </a:solidFill>
        <a:ln w="9525" cmpd="sng">
          <a:solidFill>
            <a:srgbClr val="164A73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endParaRPr lang="en-US" sz="1100"/>
        </a:p>
      </xdr:txBody>
    </xdr:sp>
    <xdr:clientData/>
  </xdr:twoCellAnchor>
  <xdr:twoCellAnchor>
    <xdr:from>
      <xdr:col>7</xdr:col>
      <xdr:colOff>457200</xdr:colOff>
      <xdr:row>31</xdr:row>
      <xdr:rowOff>57150</xdr:rowOff>
    </xdr:from>
    <xdr:to>
      <xdr:col>9</xdr:col>
      <xdr:colOff>133350</xdr:colOff>
      <xdr:row>32</xdr:row>
      <xdr:rowOff>38100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SpPr txBox="1"/>
      </xdr:nvSpPr>
      <xdr:spPr>
        <a:xfrm>
          <a:off x="5324475" y="6153150"/>
          <a:ext cx="12382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gasförmig</a:t>
          </a:r>
        </a:p>
      </xdr:txBody>
    </xdr:sp>
    <xdr:clientData/>
  </xdr:twoCellAnchor>
  <xdr:twoCellAnchor>
    <xdr:from>
      <xdr:col>9</xdr:col>
      <xdr:colOff>133350</xdr:colOff>
      <xdr:row>31</xdr:row>
      <xdr:rowOff>85725</xdr:rowOff>
    </xdr:from>
    <xdr:to>
      <xdr:col>9</xdr:col>
      <xdr:colOff>285750</xdr:colOff>
      <xdr:row>32</xdr:row>
      <xdr:rowOff>0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SpPr txBox="1"/>
      </xdr:nvSpPr>
      <xdr:spPr>
        <a:xfrm>
          <a:off x="6562725" y="6181725"/>
          <a:ext cx="152400" cy="104775"/>
        </a:xfrm>
        <a:prstGeom prst="rect">
          <a:avLst/>
        </a:prstGeom>
        <a:solidFill>
          <a:srgbClr val="FCE5CD"/>
        </a:solidFill>
        <a:ln w="9525" cmpd="sng">
          <a:solidFill>
            <a:srgbClr val="A3480B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endParaRPr lang="en-US" sz="1100"/>
        </a:p>
      </xdr:txBody>
    </xdr:sp>
    <xdr:clientData/>
  </xdr:twoCellAnchor>
  <xdr:twoCellAnchor>
    <xdr:from>
      <xdr:col>9</xdr:col>
      <xdr:colOff>323850</xdr:colOff>
      <xdr:row>31</xdr:row>
      <xdr:rowOff>57150</xdr:rowOff>
    </xdr:from>
    <xdr:to>
      <xdr:col>11</xdr:col>
      <xdr:colOff>0</xdr:colOff>
      <xdr:row>32</xdr:row>
      <xdr:rowOff>38100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SpPr txBox="1"/>
      </xdr:nvSpPr>
      <xdr:spPr>
        <a:xfrm>
          <a:off x="6753225" y="6153150"/>
          <a:ext cx="12382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überkritisch</a:t>
          </a:r>
        </a:p>
      </xdr:txBody>
    </xdr:sp>
    <xdr:clientData/>
  </xdr:twoCellAnchor>
  <xdr:twoCellAnchor>
    <xdr:from>
      <xdr:col>11</xdr:col>
      <xdr:colOff>0</xdr:colOff>
      <xdr:row>31</xdr:row>
      <xdr:rowOff>85725</xdr:rowOff>
    </xdr:from>
    <xdr:to>
      <xdr:col>11</xdr:col>
      <xdr:colOff>152400</xdr:colOff>
      <xdr:row>32</xdr:row>
      <xdr:rowOff>0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SpPr txBox="1"/>
      </xdr:nvSpPr>
      <xdr:spPr>
        <a:xfrm>
          <a:off x="7991475" y="6181725"/>
          <a:ext cx="152400" cy="104775"/>
        </a:xfrm>
        <a:prstGeom prst="rect">
          <a:avLst/>
        </a:prstGeom>
        <a:solidFill>
          <a:srgbClr val="EFF2F4"/>
        </a:solidFill>
        <a:ln w="9525" cmpd="sng">
          <a:solidFill>
            <a:srgbClr val="8A8A8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endParaRPr lang="en-US" sz="1100"/>
        </a:p>
      </xdr:txBody>
    </xdr:sp>
    <xdr:clientData/>
  </xdr:twoCellAnchor>
  <xdr:twoCellAnchor>
    <xdr:from>
      <xdr:col>11</xdr:col>
      <xdr:colOff>190500</xdr:colOff>
      <xdr:row>31</xdr:row>
      <xdr:rowOff>57150</xdr:rowOff>
    </xdr:from>
    <xdr:to>
      <xdr:col>12</xdr:col>
      <xdr:colOff>647700</xdr:colOff>
      <xdr:row>32</xdr:row>
      <xdr:rowOff>38100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SpPr txBox="1"/>
      </xdr:nvSpPr>
      <xdr:spPr>
        <a:xfrm>
          <a:off x="8181975" y="6153150"/>
          <a:ext cx="12382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keine Zustandsänderung</a:t>
          </a:r>
        </a:p>
      </xdr:txBody>
    </xdr:sp>
    <xdr:clientData/>
  </xdr:twoCellAnchor>
  <xdr:twoCellAnchor>
    <xdr:from>
      <xdr:col>1</xdr:col>
      <xdr:colOff>95250</xdr:colOff>
      <xdr:row>32</xdr:row>
      <xdr:rowOff>57150</xdr:rowOff>
    </xdr:from>
    <xdr:to>
      <xdr:col>9</xdr:col>
      <xdr:colOff>514350</xdr:colOff>
      <xdr:row>33</xdr:row>
      <xdr:rowOff>38100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SpPr txBox="1"/>
      </xdr:nvSpPr>
      <xdr:spPr>
        <a:xfrm>
          <a:off x="276225" y="6343650"/>
          <a:ext cx="666750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800" b="0" i="1">
              <a:solidFill>
                <a:srgbClr val="595959"/>
              </a:solidFill>
              <a:latin typeface="Calibri"/>
              <a:cs typeface="Calibri"/>
            </a:rPr>
            <a:t>Ausspeicherung (Druckreduzierung, Vorwärmung, Aufbereitung, Rückgabe) folgt als eigener Teil.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4</xdr:row>
      <xdr:rowOff>0</xdr:rowOff>
    </xdr:from>
    <xdr:to>
      <xdr:col>24</xdr:col>
      <xdr:colOff>203200</xdr:colOff>
      <xdr:row>28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D377F4-4BE0-4338-BF99-509D7ED54E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355600</xdr:colOff>
      <xdr:row>4</xdr:row>
      <xdr:rowOff>0</xdr:rowOff>
    </xdr:from>
    <xdr:to>
      <xdr:col>37</xdr:col>
      <xdr:colOff>558800</xdr:colOff>
      <xdr:row>28</xdr:row>
      <xdr:rowOff>19050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11179D70-C335-48ED-8A58-22505EDF26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29</xdr:row>
      <xdr:rowOff>47625</xdr:rowOff>
    </xdr:from>
    <xdr:to>
      <xdr:col>2</xdr:col>
      <xdr:colOff>809625</xdr:colOff>
      <xdr:row>50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152399</xdr:colOff>
      <xdr:row>29</xdr:row>
      <xdr:rowOff>57150</xdr:rowOff>
    </xdr:from>
    <xdr:to>
      <xdr:col>8</xdr:col>
      <xdr:colOff>257175</xdr:colOff>
      <xdr:row>50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671719</xdr:colOff>
      <xdr:row>29</xdr:row>
      <xdr:rowOff>43898</xdr:rowOff>
    </xdr:from>
    <xdr:to>
      <xdr:col>13</xdr:col>
      <xdr:colOff>473449</xdr:colOff>
      <xdr:row>50</xdr:row>
      <xdr:rowOff>139148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142875</xdr:colOff>
      <xdr:row>24</xdr:row>
      <xdr:rowOff>0</xdr:rowOff>
    </xdr:from>
    <xdr:to>
      <xdr:col>20</xdr:col>
      <xdr:colOff>295275</xdr:colOff>
      <xdr:row>46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381000</xdr:colOff>
      <xdr:row>4</xdr:row>
      <xdr:rowOff>66675</xdr:rowOff>
    </xdr:from>
    <xdr:to>
      <xdr:col>18</xdr:col>
      <xdr:colOff>152400</xdr:colOff>
      <xdr:row>21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447675</xdr:colOff>
      <xdr:row>23</xdr:row>
      <xdr:rowOff>171450</xdr:rowOff>
    </xdr:from>
    <xdr:to>
      <xdr:col>28</xdr:col>
      <xdr:colOff>219075</xdr:colOff>
      <xdr:row>37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3</xdr:row>
      <xdr:rowOff>0</xdr:rowOff>
    </xdr:from>
    <xdr:to>
      <xdr:col>21</xdr:col>
      <xdr:colOff>469900</xdr:colOff>
      <xdr:row>26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1B6D3D-7143-45AA-B30C-4B2E26C290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5</xdr:row>
      <xdr:rowOff>0</xdr:rowOff>
    </xdr:from>
    <xdr:to>
      <xdr:col>18</xdr:col>
      <xdr:colOff>635000</xdr:colOff>
      <xdr:row>19</xdr:row>
      <xdr:rowOff>127000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E541A0EA-4732-D5F0-5C90-872C4D9C6C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19</xdr:row>
      <xdr:rowOff>317500</xdr:rowOff>
    </xdr:from>
    <xdr:to>
      <xdr:col>23</xdr:col>
      <xdr:colOff>444500</xdr:colOff>
      <xdr:row>47</xdr:row>
      <xdr:rowOff>142875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7C55DF3B-CACF-4DF7-A3EE-8A759EBC9E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50</xdr:row>
      <xdr:rowOff>142875</xdr:rowOff>
    </xdr:from>
    <xdr:to>
      <xdr:col>23</xdr:col>
      <xdr:colOff>444500</xdr:colOff>
      <xdr:row>69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C935A0-84A1-421E-9791-559243F58E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18</xdr:col>
      <xdr:colOff>228600</xdr:colOff>
      <xdr:row>34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40</xdr:row>
      <xdr:rowOff>0</xdr:rowOff>
    </xdr:from>
    <xdr:to>
      <xdr:col>18</xdr:col>
      <xdr:colOff>228600</xdr:colOff>
      <xdr:row>70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65032-8B87-4A48-9E85-319CC2E280CB}">
  <sheetPr>
    <tabColor rgb="FF00304F"/>
    <pageSetUpPr fitToPage="1"/>
  </sheetPr>
  <dimension ref="B1:Q87"/>
  <sheetViews>
    <sheetView showGridLines="0" topLeftCell="A80" workbookViewId="0"/>
  </sheetViews>
  <sheetFormatPr baseColWidth="10" defaultColWidth="9.140625" defaultRowHeight="15" x14ac:dyDescent="0.25"/>
  <cols>
    <col min="1" max="1" width="2.7109375" customWidth="1"/>
    <col min="2" max="19" width="11.7109375" customWidth="1"/>
  </cols>
  <sheetData>
    <row r="1" spans="2:15" ht="30" customHeight="1" x14ac:dyDescent="0.25">
      <c r="B1" s="1" t="s">
        <v>323</v>
      </c>
    </row>
    <row r="2" spans="2:15" x14ac:dyDescent="0.25">
      <c r="B2" s="2" t="s">
        <v>0</v>
      </c>
    </row>
    <row r="3" spans="2:15" x14ac:dyDescent="0.25">
      <c r="B3" s="2" t="s">
        <v>527</v>
      </c>
    </row>
    <row r="5" spans="2:15" x14ac:dyDescent="0.25">
      <c r="B5" s="69" t="s">
        <v>1</v>
      </c>
      <c r="C5" s="69"/>
      <c r="D5" s="69"/>
      <c r="E5" s="69"/>
      <c r="F5" s="69"/>
      <c r="G5" s="69"/>
      <c r="H5" s="69"/>
      <c r="J5" s="69" t="s">
        <v>2</v>
      </c>
      <c r="K5" s="69"/>
      <c r="L5" s="69"/>
      <c r="M5" s="69"/>
      <c r="N5" s="69"/>
      <c r="O5" s="69"/>
    </row>
    <row r="6" spans="2:15" ht="22.5" customHeight="1" x14ac:dyDescent="0.25">
      <c r="B6" s="70" t="s">
        <v>539</v>
      </c>
      <c r="C6" s="70"/>
      <c r="D6" s="70"/>
      <c r="E6" s="70"/>
      <c r="F6" s="70"/>
      <c r="G6" s="70"/>
      <c r="H6" s="70"/>
      <c r="J6" s="4">
        <v>91</v>
      </c>
      <c r="K6" s="70" t="s">
        <v>3</v>
      </c>
      <c r="L6" s="70"/>
      <c r="M6" s="70"/>
      <c r="N6" s="70"/>
      <c r="O6" s="70"/>
    </row>
    <row r="7" spans="2:15" ht="22.5" customHeight="1" x14ac:dyDescent="0.25">
      <c r="B7" s="70"/>
      <c r="C7" s="70"/>
      <c r="D7" s="70"/>
      <c r="E7" s="70"/>
      <c r="F7" s="70"/>
      <c r="G7" s="70"/>
      <c r="H7" s="70"/>
      <c r="J7" s="5">
        <v>246.6</v>
      </c>
      <c r="K7" s="70" t="s">
        <v>4</v>
      </c>
      <c r="L7" s="70"/>
      <c r="M7" s="70"/>
      <c r="N7" s="70"/>
      <c r="O7" s="70"/>
    </row>
    <row r="8" spans="2:15" ht="22.5" customHeight="1" x14ac:dyDescent="0.25">
      <c r="B8" s="70"/>
      <c r="C8" s="70"/>
      <c r="D8" s="70"/>
      <c r="E8" s="70"/>
      <c r="F8" s="70"/>
      <c r="G8" s="70"/>
      <c r="H8" s="70"/>
      <c r="J8" s="6">
        <v>100</v>
      </c>
      <c r="K8" s="70" t="s">
        <v>5</v>
      </c>
      <c r="L8" s="70"/>
      <c r="M8" s="70"/>
      <c r="N8" s="70"/>
      <c r="O8" s="70"/>
    </row>
    <row r="9" spans="2:15" ht="22.5" customHeight="1" x14ac:dyDescent="0.25">
      <c r="B9" s="70"/>
      <c r="C9" s="70"/>
      <c r="D9" s="70"/>
      <c r="E9" s="70"/>
      <c r="F9" s="70"/>
      <c r="G9" s="70"/>
      <c r="H9" s="70"/>
      <c r="J9" s="7">
        <v>114.9</v>
      </c>
      <c r="K9" s="70" t="s">
        <v>6</v>
      </c>
      <c r="L9" s="70"/>
      <c r="M9" s="70"/>
      <c r="N9" s="70"/>
      <c r="O9" s="70"/>
    </row>
    <row r="10" spans="2:15" ht="22.5" customHeight="1" x14ac:dyDescent="0.25">
      <c r="B10" s="70"/>
      <c r="C10" s="70"/>
      <c r="D10" s="70"/>
      <c r="E10" s="70"/>
      <c r="F10" s="70"/>
      <c r="G10" s="70"/>
      <c r="H10" s="70"/>
      <c r="J10" s="8" t="s">
        <v>7</v>
      </c>
      <c r="K10" s="70" t="s">
        <v>8</v>
      </c>
      <c r="L10" s="70"/>
      <c r="M10" s="70"/>
      <c r="N10" s="70"/>
      <c r="O10" s="70"/>
    </row>
    <row r="12" spans="2:15" x14ac:dyDescent="0.25">
      <c r="B12" s="69" t="s">
        <v>9</v>
      </c>
      <c r="C12" s="69"/>
      <c r="D12" s="69"/>
      <c r="E12" s="69"/>
      <c r="F12" s="69"/>
      <c r="G12" s="69"/>
      <c r="H12" s="69"/>
    </row>
    <row r="13" spans="2:15" x14ac:dyDescent="0.25">
      <c r="B13" s="71" t="s">
        <v>10</v>
      </c>
      <c r="C13" s="71"/>
      <c r="D13" s="71"/>
      <c r="E13" s="70" t="s">
        <v>523</v>
      </c>
      <c r="F13" s="70"/>
      <c r="G13" s="70"/>
      <c r="H13" s="70"/>
      <c r="I13" s="70"/>
      <c r="J13" s="70"/>
      <c r="K13" s="70"/>
      <c r="L13" s="70"/>
      <c r="M13" s="70"/>
      <c r="N13" s="70"/>
      <c r="O13" s="70"/>
    </row>
    <row r="14" spans="2:15" x14ac:dyDescent="0.25">
      <c r="B14" s="71" t="s">
        <v>11</v>
      </c>
      <c r="C14" s="71"/>
      <c r="D14" s="71"/>
      <c r="E14" s="70" t="s">
        <v>524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</row>
    <row r="15" spans="2:15" x14ac:dyDescent="0.25">
      <c r="B15" s="71" t="s">
        <v>12</v>
      </c>
      <c r="C15" s="71"/>
      <c r="D15" s="71"/>
      <c r="E15" s="70" t="s">
        <v>525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</row>
    <row r="16" spans="2:15" x14ac:dyDescent="0.25">
      <c r="B16" s="71" t="s">
        <v>13</v>
      </c>
      <c r="C16" s="71"/>
      <c r="D16" s="71"/>
      <c r="E16" s="70" t="s">
        <v>540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</row>
    <row r="17" spans="2:15" x14ac:dyDescent="0.25">
      <c r="B17" s="71" t="s">
        <v>14</v>
      </c>
      <c r="C17" s="71"/>
      <c r="D17" s="71"/>
      <c r="E17" s="70" t="s">
        <v>15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</row>
    <row r="18" spans="2:15" x14ac:dyDescent="0.25">
      <c r="B18" s="71" t="s">
        <v>16</v>
      </c>
      <c r="C18" s="71"/>
      <c r="D18" s="71"/>
      <c r="E18" s="70" t="s">
        <v>17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</row>
    <row r="19" spans="2:15" x14ac:dyDescent="0.25">
      <c r="B19" s="71" t="s">
        <v>18</v>
      </c>
      <c r="C19" s="71"/>
      <c r="D19" s="71"/>
      <c r="E19" s="70" t="s">
        <v>19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</row>
    <row r="20" spans="2:15" x14ac:dyDescent="0.25">
      <c r="B20" s="71" t="s">
        <v>324</v>
      </c>
      <c r="C20" s="72"/>
      <c r="D20" s="72"/>
      <c r="E20" s="70" t="s">
        <v>526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</row>
    <row r="21" spans="2:15" ht="15.75" x14ac:dyDescent="0.25">
      <c r="B21" s="73" t="s">
        <v>20</v>
      </c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</row>
    <row r="37" spans="2:17" ht="15.75" x14ac:dyDescent="0.25">
      <c r="B37" s="73" t="s">
        <v>21</v>
      </c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</row>
    <row r="38" spans="2:17" ht="27.95" customHeight="1" x14ac:dyDescent="0.25">
      <c r="B38" s="74" t="s">
        <v>22</v>
      </c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</row>
    <row r="39" spans="2:17" ht="21.95" customHeight="1" x14ac:dyDescent="0.25">
      <c r="B39" s="76" t="s">
        <v>29</v>
      </c>
      <c r="C39" s="76"/>
      <c r="D39" s="76"/>
      <c r="E39" s="76" t="str">
        <f>IF(Stand_ok,"✔ Alle grauen Stoffwerte passen zu den Annahmen.","⚠ Mindestens eine Annahme wurde geändert – rot markierte Stoffwerte sind veraltet und müssen neu berechnet werden.")</f>
        <v>✔ Alle grauen Stoffwerte passen zu den Annahmen.</v>
      </c>
      <c r="F39" s="76"/>
      <c r="G39" s="76"/>
      <c r="H39" s="76"/>
      <c r="I39" s="76"/>
      <c r="J39" s="76"/>
      <c r="K39" s="76"/>
      <c r="L39" s="76"/>
      <c r="M39" s="76"/>
      <c r="N39" s="76"/>
      <c r="O39" s="76"/>
      <c r="Q39" s="11" t="b">
        <f>COUNTIF($N$42:$N$69,"⚠*")=0</f>
        <v>1</v>
      </c>
    </row>
    <row r="41" spans="2:17" ht="20.100000000000001" customHeight="1" x14ac:dyDescent="0.25">
      <c r="B41" s="75" t="s">
        <v>23</v>
      </c>
      <c r="C41" s="75"/>
      <c r="D41" s="75"/>
      <c r="E41" s="12" t="s">
        <v>24</v>
      </c>
      <c r="F41" s="12" t="s">
        <v>25</v>
      </c>
      <c r="G41" s="12" t="s">
        <v>26</v>
      </c>
      <c r="H41" s="75" t="s">
        <v>27</v>
      </c>
      <c r="I41" s="75"/>
      <c r="J41" s="75"/>
      <c r="K41" s="75"/>
      <c r="L41" s="75"/>
      <c r="M41" s="12" t="s">
        <v>28</v>
      </c>
      <c r="N41" s="75" t="s">
        <v>29</v>
      </c>
      <c r="O41" s="75"/>
    </row>
    <row r="42" spans="2:17" ht="26.1" customHeight="1" x14ac:dyDescent="0.25">
      <c r="B42" s="77" t="s">
        <v>30</v>
      </c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</row>
    <row r="43" spans="2:17" ht="26.1" customHeight="1" x14ac:dyDescent="0.25">
      <c r="B43" s="78" t="s">
        <v>31</v>
      </c>
      <c r="C43" s="78"/>
      <c r="D43" s="78"/>
      <c r="E43" s="13" t="s">
        <v>32</v>
      </c>
      <c r="F43" s="4">
        <v>91</v>
      </c>
      <c r="G43" s="13" t="s">
        <v>33</v>
      </c>
      <c r="H43" s="78" t="s">
        <v>34</v>
      </c>
      <c r="I43" s="78"/>
      <c r="J43" s="78"/>
      <c r="K43" s="78"/>
      <c r="L43" s="78"/>
      <c r="M43" s="5">
        <v>91</v>
      </c>
      <c r="N43" s="78" t="str">
        <f>IF(ABS(F43-M43)&lt;0.000000001,"✔ passt","⚠ geändert – neu rechnen")</f>
        <v>✔ passt</v>
      </c>
      <c r="O43" s="78"/>
    </row>
    <row r="44" spans="2:17" x14ac:dyDescent="0.25">
      <c r="B44" s="78" t="s">
        <v>35</v>
      </c>
      <c r="C44" s="78"/>
      <c r="D44" s="78"/>
      <c r="E44" s="13" t="s">
        <v>36</v>
      </c>
      <c r="F44" s="4">
        <v>15</v>
      </c>
      <c r="G44" s="13" t="s">
        <v>37</v>
      </c>
      <c r="H44" s="78" t="s">
        <v>38</v>
      </c>
      <c r="I44" s="78"/>
      <c r="J44" s="78"/>
      <c r="K44" s="78"/>
      <c r="L44" s="78"/>
      <c r="M44" s="5">
        <v>15</v>
      </c>
      <c r="N44" s="78" t="str">
        <f>IF(ABS(F44-M44)&lt;0.000000001,"✔ passt","⚠ geändert – neu rechnen")</f>
        <v>✔ passt</v>
      </c>
      <c r="O44" s="78"/>
    </row>
    <row r="45" spans="2:17" x14ac:dyDescent="0.25">
      <c r="B45" s="77" t="s">
        <v>39</v>
      </c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7"/>
    </row>
    <row r="46" spans="2:17" ht="26.1" customHeight="1" x14ac:dyDescent="0.25">
      <c r="B46" s="78" t="s">
        <v>31</v>
      </c>
      <c r="C46" s="78"/>
      <c r="D46" s="78"/>
      <c r="E46" s="13" t="s">
        <v>40</v>
      </c>
      <c r="F46" s="4">
        <v>30</v>
      </c>
      <c r="G46" s="13" t="s">
        <v>33</v>
      </c>
      <c r="H46" s="78" t="s">
        <v>41</v>
      </c>
      <c r="I46" s="78"/>
      <c r="J46" s="78"/>
      <c r="K46" s="78"/>
      <c r="L46" s="78"/>
      <c r="M46" s="5">
        <v>30</v>
      </c>
      <c r="N46" s="78" t="str">
        <f t="shared" ref="N46:N51" si="0">IF(ABS(F46-M46)&lt;0.000000001,"✔ passt","⚠ geändert – neu rechnen")</f>
        <v>✔ passt</v>
      </c>
      <c r="O46" s="78"/>
    </row>
    <row r="47" spans="2:17" x14ac:dyDescent="0.25">
      <c r="B47" s="78" t="s">
        <v>35</v>
      </c>
      <c r="C47" s="78"/>
      <c r="D47" s="78"/>
      <c r="E47" s="13" t="s">
        <v>42</v>
      </c>
      <c r="F47" s="4">
        <v>15</v>
      </c>
      <c r="G47" s="13" t="s">
        <v>37</v>
      </c>
      <c r="H47" s="78" t="s">
        <v>43</v>
      </c>
      <c r="I47" s="78"/>
      <c r="J47" s="78"/>
      <c r="K47" s="78"/>
      <c r="L47" s="78"/>
      <c r="M47" s="5">
        <v>15</v>
      </c>
      <c r="N47" s="78" t="str">
        <f t="shared" si="0"/>
        <v>✔ passt</v>
      </c>
      <c r="O47" s="78"/>
    </row>
    <row r="48" spans="2:17" ht="26.1" customHeight="1" x14ac:dyDescent="0.25">
      <c r="B48" s="78" t="s">
        <v>529</v>
      </c>
      <c r="C48" s="78"/>
      <c r="D48" s="78"/>
      <c r="E48" s="13" t="s">
        <v>44</v>
      </c>
      <c r="F48" s="4">
        <v>26</v>
      </c>
      <c r="G48" s="13" t="s">
        <v>37</v>
      </c>
      <c r="H48" s="78" t="s">
        <v>530</v>
      </c>
      <c r="I48" s="78"/>
      <c r="J48" s="78"/>
      <c r="K48" s="78"/>
      <c r="L48" s="78"/>
      <c r="M48" s="5">
        <v>26</v>
      </c>
      <c r="N48" s="78" t="str">
        <f t="shared" si="0"/>
        <v>✔ passt</v>
      </c>
      <c r="O48" s="78"/>
    </row>
    <row r="49" spans="2:15" ht="26.1" customHeight="1" x14ac:dyDescent="0.25">
      <c r="B49" s="78" t="s">
        <v>45</v>
      </c>
      <c r="C49" s="78"/>
      <c r="D49" s="78"/>
      <c r="E49" s="13" t="s">
        <v>46</v>
      </c>
      <c r="F49" s="4">
        <v>95</v>
      </c>
      <c r="G49" s="13" t="s">
        <v>37</v>
      </c>
      <c r="H49" s="78" t="s">
        <v>47</v>
      </c>
      <c r="I49" s="78"/>
      <c r="J49" s="78"/>
      <c r="K49" s="78"/>
      <c r="L49" s="78"/>
      <c r="M49" s="5">
        <v>95</v>
      </c>
      <c r="N49" s="78" t="str">
        <f t="shared" si="0"/>
        <v>✔ passt</v>
      </c>
      <c r="O49" s="78"/>
    </row>
    <row r="50" spans="2:15" ht="26.1" customHeight="1" x14ac:dyDescent="0.25">
      <c r="B50" s="78" t="s">
        <v>531</v>
      </c>
      <c r="C50" s="78"/>
      <c r="D50" s="78"/>
      <c r="E50" s="13" t="s">
        <v>461</v>
      </c>
      <c r="F50" s="4">
        <v>91</v>
      </c>
      <c r="G50" s="13" t="s">
        <v>33</v>
      </c>
      <c r="H50" s="78" t="s">
        <v>532</v>
      </c>
      <c r="I50" s="78"/>
      <c r="J50" s="78"/>
      <c r="K50" s="78"/>
      <c r="L50" s="78"/>
      <c r="M50" s="5">
        <v>91</v>
      </c>
      <c r="N50" s="78" t="str">
        <f t="shared" si="0"/>
        <v>✔ passt</v>
      </c>
      <c r="O50" s="78"/>
    </row>
    <row r="51" spans="2:15" ht="26.1" customHeight="1" x14ac:dyDescent="0.25">
      <c r="B51" s="78" t="s">
        <v>533</v>
      </c>
      <c r="C51" s="78"/>
      <c r="D51" s="78"/>
      <c r="E51" s="13" t="s">
        <v>48</v>
      </c>
      <c r="F51" s="4">
        <v>50</v>
      </c>
      <c r="G51" s="13" t="s">
        <v>33</v>
      </c>
      <c r="H51" s="78" t="s">
        <v>634</v>
      </c>
      <c r="I51" s="78"/>
      <c r="J51" s="78"/>
      <c r="K51" s="78"/>
      <c r="L51" s="78"/>
      <c r="M51" s="5">
        <v>50</v>
      </c>
      <c r="N51" s="78" t="str">
        <f t="shared" si="0"/>
        <v>✔ passt</v>
      </c>
      <c r="O51" s="78"/>
    </row>
    <row r="52" spans="2:15" x14ac:dyDescent="0.25">
      <c r="B52" s="77" t="s">
        <v>49</v>
      </c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</row>
    <row r="53" spans="2:15" x14ac:dyDescent="0.25">
      <c r="B53" s="78" t="s">
        <v>50</v>
      </c>
      <c r="C53" s="78"/>
      <c r="D53" s="78"/>
      <c r="E53" s="13" t="s">
        <v>51</v>
      </c>
      <c r="F53" s="14">
        <v>1200</v>
      </c>
      <c r="G53" s="13" t="s">
        <v>52</v>
      </c>
      <c r="H53" s="78" t="s">
        <v>53</v>
      </c>
      <c r="I53" s="78"/>
      <c r="J53" s="78"/>
      <c r="K53" s="78"/>
      <c r="L53" s="78"/>
      <c r="M53" s="15">
        <v>1200</v>
      </c>
      <c r="N53" s="78" t="str">
        <f t="shared" ref="N53:N58" si="1">IF(ABS(F53-M53)&lt;0.000000001,"✔ passt","⚠ geändert – neu rechnen")</f>
        <v>✔ passt</v>
      </c>
      <c r="O53" s="78"/>
    </row>
    <row r="54" spans="2:15" x14ac:dyDescent="0.25">
      <c r="B54" s="78" t="s">
        <v>54</v>
      </c>
      <c r="C54" s="78"/>
      <c r="D54" s="78"/>
      <c r="E54" s="13" t="s">
        <v>55</v>
      </c>
      <c r="F54" s="4">
        <v>10</v>
      </c>
      <c r="G54" s="13" t="s">
        <v>37</v>
      </c>
      <c r="H54" s="78" t="s">
        <v>56</v>
      </c>
      <c r="I54" s="78"/>
      <c r="J54" s="78"/>
      <c r="K54" s="78"/>
      <c r="L54" s="78"/>
      <c r="M54" s="5">
        <v>10</v>
      </c>
      <c r="N54" s="78" t="str">
        <f t="shared" si="1"/>
        <v>✔ passt</v>
      </c>
      <c r="O54" s="78"/>
    </row>
    <row r="55" spans="2:15" x14ac:dyDescent="0.25">
      <c r="B55" s="78" t="s">
        <v>57</v>
      </c>
      <c r="C55" s="78"/>
      <c r="D55" s="78"/>
      <c r="E55" s="13" t="s">
        <v>58</v>
      </c>
      <c r="F55" s="16">
        <v>0.03</v>
      </c>
      <c r="G55" s="13" t="s">
        <v>59</v>
      </c>
      <c r="H55" s="78" t="s">
        <v>60</v>
      </c>
      <c r="I55" s="78"/>
      <c r="J55" s="78"/>
      <c r="K55" s="78"/>
      <c r="L55" s="78"/>
      <c r="M55" s="17">
        <v>0.03</v>
      </c>
      <c r="N55" s="78" t="str">
        <f t="shared" si="1"/>
        <v>✔ passt</v>
      </c>
      <c r="O55" s="78"/>
    </row>
    <row r="56" spans="2:15" x14ac:dyDescent="0.25">
      <c r="B56" s="78" t="s">
        <v>61</v>
      </c>
      <c r="C56" s="78"/>
      <c r="D56" s="78"/>
      <c r="E56" s="13" t="s">
        <v>62</v>
      </c>
      <c r="F56" s="4">
        <v>210</v>
      </c>
      <c r="G56" s="13" t="s">
        <v>33</v>
      </c>
      <c r="H56" s="78" t="s">
        <v>63</v>
      </c>
      <c r="I56" s="78"/>
      <c r="J56" s="78"/>
      <c r="K56" s="78"/>
      <c r="L56" s="78"/>
      <c r="M56" s="5">
        <v>210</v>
      </c>
      <c r="N56" s="78" t="str">
        <f t="shared" si="1"/>
        <v>✔ passt</v>
      </c>
      <c r="O56" s="78"/>
    </row>
    <row r="57" spans="2:15" x14ac:dyDescent="0.25">
      <c r="B57" s="78" t="s">
        <v>64</v>
      </c>
      <c r="C57" s="78"/>
      <c r="D57" s="78"/>
      <c r="E57" s="13" t="s">
        <v>65</v>
      </c>
      <c r="F57" s="4">
        <v>70</v>
      </c>
      <c r="G57" s="13" t="s">
        <v>33</v>
      </c>
      <c r="H57" s="78" t="s">
        <v>66</v>
      </c>
      <c r="I57" s="78"/>
      <c r="J57" s="78"/>
      <c r="K57" s="78"/>
      <c r="L57" s="78"/>
      <c r="M57" s="5">
        <v>70</v>
      </c>
      <c r="N57" s="78" t="str">
        <f t="shared" si="1"/>
        <v>✔ passt</v>
      </c>
      <c r="O57" s="78"/>
    </row>
    <row r="58" spans="2:15" x14ac:dyDescent="0.25">
      <c r="B58" s="78" t="s">
        <v>67</v>
      </c>
      <c r="C58" s="78"/>
      <c r="D58" s="78"/>
      <c r="E58" s="13" t="s">
        <v>68</v>
      </c>
      <c r="F58" s="14">
        <v>2200</v>
      </c>
      <c r="G58" s="13" t="s">
        <v>69</v>
      </c>
      <c r="H58" s="78" t="s">
        <v>70</v>
      </c>
      <c r="I58" s="78"/>
      <c r="J58" s="78"/>
      <c r="K58" s="78"/>
      <c r="L58" s="78"/>
      <c r="M58" s="15">
        <v>2200</v>
      </c>
      <c r="N58" s="78" t="str">
        <f t="shared" si="1"/>
        <v>✔ passt</v>
      </c>
      <c r="O58" s="78"/>
    </row>
    <row r="59" spans="2:15" x14ac:dyDescent="0.25">
      <c r="B59" s="77" t="s">
        <v>71</v>
      </c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</row>
    <row r="60" spans="2:15" ht="26.1" customHeight="1" x14ac:dyDescent="0.25">
      <c r="B60" s="78" t="s">
        <v>50</v>
      </c>
      <c r="C60" s="78"/>
      <c r="D60" s="78"/>
      <c r="E60" s="13" t="s">
        <v>51</v>
      </c>
      <c r="F60" s="18"/>
      <c r="G60" s="13" t="s">
        <v>52</v>
      </c>
      <c r="H60" s="78" t="s">
        <v>72</v>
      </c>
      <c r="I60" s="78"/>
      <c r="J60" s="78"/>
      <c r="K60" s="78"/>
      <c r="L60" s="78"/>
      <c r="M60" s="19" t="s">
        <v>73</v>
      </c>
      <c r="N60" s="78" t="s">
        <v>74</v>
      </c>
      <c r="O60" s="78"/>
    </row>
    <row r="61" spans="2:15" ht="25.5" x14ac:dyDescent="0.25">
      <c r="B61" s="78" t="s">
        <v>75</v>
      </c>
      <c r="C61" s="78"/>
      <c r="D61" s="78"/>
      <c r="E61" s="13" t="s">
        <v>76</v>
      </c>
      <c r="F61" s="18"/>
      <c r="G61" s="13" t="s">
        <v>33</v>
      </c>
      <c r="H61" s="78" t="s">
        <v>77</v>
      </c>
      <c r="I61" s="78"/>
      <c r="J61" s="78"/>
      <c r="K61" s="78"/>
      <c r="L61" s="78"/>
      <c r="M61" s="19" t="s">
        <v>73</v>
      </c>
      <c r="N61" s="78" t="s">
        <v>74</v>
      </c>
      <c r="O61" s="78"/>
    </row>
    <row r="62" spans="2:15" x14ac:dyDescent="0.25">
      <c r="B62" s="77" t="s">
        <v>78</v>
      </c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</row>
    <row r="63" spans="2:15" x14ac:dyDescent="0.25">
      <c r="B63" s="78" t="s">
        <v>79</v>
      </c>
      <c r="C63" s="78"/>
      <c r="D63" s="78"/>
      <c r="E63" s="13" t="s">
        <v>80</v>
      </c>
      <c r="F63" s="14">
        <v>50000</v>
      </c>
      <c r="G63" s="13" t="s">
        <v>81</v>
      </c>
      <c r="H63" s="78" t="s">
        <v>82</v>
      </c>
      <c r="I63" s="78"/>
      <c r="J63" s="78"/>
      <c r="K63" s="78"/>
      <c r="L63" s="78"/>
      <c r="M63" s="19" t="s">
        <v>73</v>
      </c>
      <c r="N63" s="78" t="s">
        <v>83</v>
      </c>
      <c r="O63" s="78"/>
    </row>
    <row r="64" spans="2:15" x14ac:dyDescent="0.25">
      <c r="B64" s="78" t="s">
        <v>84</v>
      </c>
      <c r="C64" s="78"/>
      <c r="D64" s="78"/>
      <c r="E64" s="13" t="s">
        <v>85</v>
      </c>
      <c r="F64" s="14">
        <v>100000</v>
      </c>
      <c r="G64" s="13" t="s">
        <v>81</v>
      </c>
      <c r="H64" s="78" t="s">
        <v>82</v>
      </c>
      <c r="I64" s="78"/>
      <c r="J64" s="78"/>
      <c r="K64" s="78"/>
      <c r="L64" s="78"/>
      <c r="M64" s="19" t="s">
        <v>73</v>
      </c>
      <c r="N64" s="78" t="s">
        <v>83</v>
      </c>
      <c r="O64" s="78"/>
    </row>
    <row r="65" spans="2:15" ht="26.1" customHeight="1" x14ac:dyDescent="0.25">
      <c r="B65" s="78" t="s">
        <v>86</v>
      </c>
      <c r="C65" s="78"/>
      <c r="D65" s="78"/>
      <c r="E65" s="13" t="s">
        <v>87</v>
      </c>
      <c r="F65" s="16">
        <v>0.84</v>
      </c>
      <c r="G65" s="13" t="s">
        <v>73</v>
      </c>
      <c r="H65" s="78" t="s">
        <v>88</v>
      </c>
      <c r="I65" s="78"/>
      <c r="J65" s="78"/>
      <c r="K65" s="78"/>
      <c r="L65" s="78"/>
      <c r="M65" s="17">
        <v>0.84</v>
      </c>
      <c r="N65" s="78" t="str">
        <f>IF(ABS(F65-M65)&lt;0.000000001,"✔ passt","⚠ geändert – neu rechnen")</f>
        <v>✔ passt</v>
      </c>
      <c r="O65" s="78"/>
    </row>
    <row r="66" spans="2:15" ht="26.1" customHeight="1" x14ac:dyDescent="0.25">
      <c r="B66" s="78" t="s">
        <v>535</v>
      </c>
      <c r="C66" s="78"/>
      <c r="D66" s="78"/>
      <c r="E66" s="13" t="s">
        <v>89</v>
      </c>
      <c r="F66" s="16">
        <v>0.82</v>
      </c>
      <c r="G66" s="13" t="s">
        <v>73</v>
      </c>
      <c r="H66" s="78" t="s">
        <v>90</v>
      </c>
      <c r="I66" s="78"/>
      <c r="J66" s="78"/>
      <c r="K66" s="78"/>
      <c r="L66" s="78"/>
      <c r="M66" s="17">
        <v>0.82</v>
      </c>
      <c r="N66" s="78" t="str">
        <f>IF(ABS(F66-M66)&lt;0.000000001,"✔ passt","⚠ geändert – neu rechnen")</f>
        <v>✔ passt</v>
      </c>
      <c r="O66" s="78"/>
    </row>
    <row r="67" spans="2:15" ht="26.1" customHeight="1" x14ac:dyDescent="0.25">
      <c r="B67" s="78" t="s">
        <v>91</v>
      </c>
      <c r="C67" s="78"/>
      <c r="D67" s="78"/>
      <c r="E67" s="13" t="s">
        <v>92</v>
      </c>
      <c r="F67" s="16">
        <v>0.8</v>
      </c>
      <c r="G67" s="13" t="s">
        <v>73</v>
      </c>
      <c r="H67" s="78" t="s">
        <v>93</v>
      </c>
      <c r="I67" s="78"/>
      <c r="J67" s="78"/>
      <c r="K67" s="78"/>
      <c r="L67" s="78"/>
      <c r="M67" s="17">
        <v>0.8</v>
      </c>
      <c r="N67" s="78" t="str">
        <f>IF(ABS(F67-M67)&lt;0.000000001,"✔ passt","⚠ geändert – neu rechnen")</f>
        <v>✔ passt</v>
      </c>
      <c r="O67" s="78"/>
    </row>
    <row r="68" spans="2:15" ht="26.1" customHeight="1" x14ac:dyDescent="0.25">
      <c r="B68" s="78" t="s">
        <v>632</v>
      </c>
      <c r="C68" s="78"/>
      <c r="D68" s="78"/>
      <c r="E68" s="13" t="s">
        <v>464</v>
      </c>
      <c r="F68" s="16">
        <v>0.65</v>
      </c>
      <c r="G68" s="13" t="s">
        <v>73</v>
      </c>
      <c r="H68" s="78" t="s">
        <v>633</v>
      </c>
      <c r="I68" s="78"/>
      <c r="J68" s="78"/>
      <c r="K68" s="78"/>
      <c r="L68" s="78"/>
      <c r="M68" s="17" t="s">
        <v>73</v>
      </c>
      <c r="N68" s="78" t="s">
        <v>83</v>
      </c>
      <c r="O68" s="78"/>
    </row>
    <row r="69" spans="2:15" ht="26.1" customHeight="1" x14ac:dyDescent="0.25">
      <c r="B69" s="78" t="s">
        <v>537</v>
      </c>
      <c r="C69" s="78"/>
      <c r="D69" s="78"/>
      <c r="E69" s="13" t="s">
        <v>462</v>
      </c>
      <c r="F69" s="59">
        <v>500</v>
      </c>
      <c r="G69" s="13" t="s">
        <v>69</v>
      </c>
      <c r="H69" s="78" t="s">
        <v>538</v>
      </c>
      <c r="I69" s="78"/>
      <c r="J69" s="78"/>
      <c r="K69" s="78"/>
      <c r="L69" s="78"/>
      <c r="M69" s="17" t="s">
        <v>73</v>
      </c>
      <c r="N69" s="78" t="s">
        <v>83</v>
      </c>
      <c r="O69" s="78"/>
    </row>
    <row r="71" spans="2:15" ht="26.1" customHeight="1" x14ac:dyDescent="0.25">
      <c r="B71" s="77" t="s">
        <v>94</v>
      </c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</row>
    <row r="72" spans="2:15" ht="26.1" customHeight="1" x14ac:dyDescent="0.25">
      <c r="B72" s="78" t="s">
        <v>95</v>
      </c>
      <c r="C72" s="78"/>
      <c r="D72" s="78"/>
      <c r="E72" s="13" t="s">
        <v>96</v>
      </c>
      <c r="F72" s="6">
        <f>Tober_V1+grad_V1*z_V1</f>
        <v>46</v>
      </c>
      <c r="G72" s="13" t="s">
        <v>37</v>
      </c>
      <c r="H72" s="78" t="s">
        <v>97</v>
      </c>
      <c r="I72" s="78"/>
      <c r="J72" s="78"/>
      <c r="K72" s="78"/>
      <c r="L72" s="78"/>
      <c r="M72" s="78"/>
      <c r="N72" s="78"/>
      <c r="O72" s="78"/>
    </row>
    <row r="73" spans="2:15" x14ac:dyDescent="0.25">
      <c r="B73" s="78" t="s">
        <v>98</v>
      </c>
      <c r="C73" s="78"/>
      <c r="D73" s="78"/>
      <c r="E73" s="13" t="s">
        <v>99</v>
      </c>
      <c r="F73" s="6">
        <f>rhoSalz_V1*9.81*z_V1/100000</f>
        <v>258.98399999999998</v>
      </c>
      <c r="G73" s="13" t="s">
        <v>33</v>
      </c>
      <c r="H73" s="78" t="s">
        <v>100</v>
      </c>
      <c r="I73" s="78"/>
      <c r="J73" s="78"/>
      <c r="K73" s="78"/>
      <c r="L73" s="78"/>
      <c r="M73" s="78"/>
      <c r="N73" s="78"/>
      <c r="O73" s="78"/>
    </row>
    <row r="74" spans="2:15" x14ac:dyDescent="0.25">
      <c r="B74" s="78" t="s">
        <v>101</v>
      </c>
      <c r="C74" s="78"/>
      <c r="D74" s="78"/>
      <c r="E74" s="13" t="s">
        <v>102</v>
      </c>
      <c r="F74" s="20">
        <f>pmax_V1/p_lith_V1</f>
        <v>0.81086090260402188</v>
      </c>
      <c r="G74" s="13" t="s">
        <v>73</v>
      </c>
      <c r="H74" s="78" t="s">
        <v>103</v>
      </c>
      <c r="I74" s="78"/>
      <c r="J74" s="78"/>
      <c r="K74" s="78"/>
      <c r="L74" s="78"/>
      <c r="M74" s="78"/>
      <c r="N74" s="78"/>
      <c r="O74" s="78"/>
    </row>
    <row r="76" spans="2:15" ht="15.75" x14ac:dyDescent="0.25">
      <c r="B76" s="73" t="s">
        <v>104</v>
      </c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</row>
    <row r="77" spans="2:15" ht="26.1" customHeight="1" x14ac:dyDescent="0.25">
      <c r="B77" s="78" t="s">
        <v>105</v>
      </c>
      <c r="C77" s="78"/>
      <c r="D77" s="78"/>
      <c r="E77" s="13" t="s">
        <v>106</v>
      </c>
      <c r="F77" s="7">
        <f>Kopf_voll</f>
        <v>114.93130198208927</v>
      </c>
      <c r="G77" s="13" t="s">
        <v>33</v>
      </c>
      <c r="H77" s="78" t="s">
        <v>107</v>
      </c>
      <c r="I77" s="78"/>
      <c r="J77" s="78"/>
      <c r="K77" s="78"/>
      <c r="L77" s="78"/>
      <c r="M77" s="78"/>
      <c r="N77" s="78"/>
      <c r="O77" s="78"/>
    </row>
    <row r="78" spans="2:15" ht="26.1" customHeight="1" x14ac:dyDescent="0.25">
      <c r="B78" s="78" t="s">
        <v>108</v>
      </c>
      <c r="C78" s="78"/>
      <c r="D78" s="78"/>
      <c r="E78" s="13" t="s">
        <v>106</v>
      </c>
      <c r="F78" s="7">
        <f>Kopf_leer</f>
        <v>50.705458672726493</v>
      </c>
      <c r="G78" s="13" t="s">
        <v>33</v>
      </c>
      <c r="H78" s="78" t="s">
        <v>325</v>
      </c>
      <c r="I78" s="78"/>
      <c r="J78" s="78"/>
      <c r="K78" s="78"/>
      <c r="L78" s="78"/>
      <c r="M78" s="78"/>
      <c r="N78" s="78"/>
      <c r="O78" s="78"/>
    </row>
    <row r="79" spans="2:15" x14ac:dyDescent="0.25">
      <c r="B79" s="78" t="s">
        <v>109</v>
      </c>
      <c r="C79" s="78"/>
      <c r="D79" s="78"/>
      <c r="E79" s="13" t="s">
        <v>106</v>
      </c>
      <c r="F79" s="7">
        <f>pmax_V1-Kopf_voll</f>
        <v>95.068698017910734</v>
      </c>
      <c r="G79" s="13" t="s">
        <v>33</v>
      </c>
      <c r="H79" s="78" t="s">
        <v>110</v>
      </c>
      <c r="I79" s="78"/>
      <c r="J79" s="78"/>
      <c r="K79" s="78"/>
      <c r="L79" s="78"/>
      <c r="M79" s="78"/>
      <c r="N79" s="78"/>
      <c r="O79" s="78"/>
    </row>
    <row r="80" spans="2:15" x14ac:dyDescent="0.25">
      <c r="B80" s="78" t="s">
        <v>111</v>
      </c>
      <c r="C80" s="78"/>
      <c r="D80" s="78"/>
      <c r="E80" s="13" t="s">
        <v>106</v>
      </c>
      <c r="F80" s="21">
        <f>Szen1_w</f>
        <v>3.7235121065057797</v>
      </c>
      <c r="G80" s="13" t="s">
        <v>112</v>
      </c>
      <c r="H80" s="78" t="s">
        <v>113</v>
      </c>
      <c r="I80" s="78"/>
      <c r="J80" s="78"/>
      <c r="K80" s="78"/>
      <c r="L80" s="78"/>
      <c r="M80" s="78"/>
      <c r="N80" s="78"/>
      <c r="O80" s="78"/>
    </row>
    <row r="81" spans="2:15" x14ac:dyDescent="0.25">
      <c r="B81" s="78" t="s">
        <v>114</v>
      </c>
      <c r="C81" s="78"/>
      <c r="D81" s="78"/>
      <c r="E81" s="13" t="s">
        <v>106</v>
      </c>
      <c r="F81" s="7">
        <f>Szen1_Pmax</f>
        <v>200.06482247060092</v>
      </c>
      <c r="G81" s="13" t="s">
        <v>115</v>
      </c>
      <c r="H81" s="78" t="s">
        <v>116</v>
      </c>
      <c r="I81" s="78"/>
      <c r="J81" s="78"/>
      <c r="K81" s="78"/>
      <c r="L81" s="78"/>
      <c r="M81" s="78"/>
      <c r="N81" s="78"/>
      <c r="O81" s="78"/>
    </row>
    <row r="82" spans="2:15" ht="26.1" customHeight="1" x14ac:dyDescent="0.25">
      <c r="B82" s="78" t="s">
        <v>541</v>
      </c>
      <c r="C82" s="78"/>
      <c r="D82" s="78"/>
      <c r="E82" s="13" t="s">
        <v>106</v>
      </c>
      <c r="F82" s="21">
        <f>_xlfn.SINGLE(Szen2_w_ges)</f>
        <v>66.166947984399314</v>
      </c>
      <c r="G82" s="13" t="s">
        <v>112</v>
      </c>
      <c r="H82" s="78" t="s">
        <v>542</v>
      </c>
      <c r="I82" s="78"/>
      <c r="J82" s="78"/>
      <c r="K82" s="78"/>
      <c r="L82" s="78"/>
      <c r="M82" s="78"/>
      <c r="N82" s="78"/>
      <c r="O82" s="78"/>
    </row>
    <row r="83" spans="2:15" x14ac:dyDescent="0.25">
      <c r="B83" s="78" t="s">
        <v>117</v>
      </c>
      <c r="C83" s="78"/>
      <c r="D83" s="78"/>
      <c r="E83" s="13" t="s">
        <v>106</v>
      </c>
      <c r="F83" s="22">
        <f>_xlfn.SINGLE(Szen2_Pmax)</f>
        <v>3555.1593020984815</v>
      </c>
      <c r="G83" s="13" t="s">
        <v>115</v>
      </c>
      <c r="H83" s="78" t="s">
        <v>116</v>
      </c>
      <c r="I83" s="78"/>
      <c r="J83" s="78"/>
      <c r="K83" s="78"/>
      <c r="L83" s="78"/>
      <c r="M83" s="78"/>
      <c r="N83" s="78"/>
      <c r="O83" s="78"/>
    </row>
    <row r="84" spans="2:15" ht="26.1" customHeight="1" x14ac:dyDescent="0.25">
      <c r="B84" s="78" t="s">
        <v>543</v>
      </c>
      <c r="C84" s="78"/>
      <c r="D84" s="78"/>
      <c r="E84" s="13" t="s">
        <v>106</v>
      </c>
      <c r="F84" s="60">
        <f>_xlfn.SINGLE(Szen2_rhoP)</f>
        <v>660.42105369180308</v>
      </c>
      <c r="G84" s="13" t="s">
        <v>69</v>
      </c>
      <c r="H84" s="78" t="s">
        <v>544</v>
      </c>
      <c r="I84" s="78"/>
      <c r="J84" s="78"/>
      <c r="K84" s="78"/>
      <c r="L84" s="78"/>
      <c r="M84" s="78"/>
      <c r="N84" s="78"/>
      <c r="O84" s="78"/>
    </row>
    <row r="85" spans="2:15" ht="26.1" customHeight="1" x14ac:dyDescent="0.25">
      <c r="B85" s="78" t="s">
        <v>593</v>
      </c>
      <c r="C85" s="78"/>
      <c r="D85" s="78"/>
      <c r="E85" s="13" t="s">
        <v>106</v>
      </c>
      <c r="F85" s="21">
        <f>Vgl_C_w</f>
        <v>74.891001078700072</v>
      </c>
      <c r="G85" s="13" t="s">
        <v>112</v>
      </c>
      <c r="H85" s="78" t="str">
        <f>"Durchverdichten bräuchte "&amp;TEXT(Vgl_C_w/Szen2_w_ges-1,"0%")&amp;" mehr Arbeit – Blatt „Einspeicherung S2“"</f>
        <v>Durchverdichten bräuchte 13% mehr Arbeit – Blatt „Einspeicherung S2“</v>
      </c>
      <c r="I85" s="78"/>
      <c r="J85" s="78"/>
      <c r="K85" s="78"/>
      <c r="L85" s="78"/>
      <c r="M85" s="78"/>
      <c r="N85" s="78"/>
      <c r="O85" s="78"/>
    </row>
    <row r="86" spans="2:15" ht="26.1" customHeight="1" x14ac:dyDescent="0.25">
      <c r="B86" s="78" t="s">
        <v>118</v>
      </c>
      <c r="C86" s="78"/>
      <c r="D86" s="78"/>
      <c r="E86" s="13" t="s">
        <v>106</v>
      </c>
      <c r="F86" s="7">
        <f>MV_Kopf_CH4</f>
        <v>191.70534274066219</v>
      </c>
      <c r="G86" s="13" t="s">
        <v>33</v>
      </c>
      <c r="H86" s="78" t="s">
        <v>119</v>
      </c>
      <c r="I86" s="78"/>
      <c r="J86" s="78"/>
      <c r="K86" s="78"/>
      <c r="L86" s="78"/>
      <c r="M86" s="78"/>
      <c r="N86" s="78"/>
      <c r="O86" s="78"/>
    </row>
    <row r="87" spans="2:15" ht="26.1" customHeight="1" x14ac:dyDescent="0.25">
      <c r="B87" s="78" t="s">
        <v>120</v>
      </c>
      <c r="C87" s="78"/>
      <c r="D87" s="78"/>
      <c r="E87" s="13" t="s">
        <v>106</v>
      </c>
      <c r="F87" s="7">
        <f>MV_Kopf_H2</f>
        <v>208.241191221202</v>
      </c>
      <c r="G87" s="13" t="s">
        <v>33</v>
      </c>
      <c r="H87" s="78" t="s">
        <v>119</v>
      </c>
      <c r="I87" s="78"/>
      <c r="J87" s="78"/>
      <c r="K87" s="78"/>
      <c r="L87" s="78"/>
      <c r="M87" s="78"/>
      <c r="N87" s="78"/>
      <c r="O87" s="78"/>
    </row>
  </sheetData>
  <mergeCells count="137">
    <mergeCell ref="B84:D84"/>
    <mergeCell ref="H84:O84"/>
    <mergeCell ref="B85:D85"/>
    <mergeCell ref="H85:O85"/>
    <mergeCell ref="B86:D86"/>
    <mergeCell ref="H86:O86"/>
    <mergeCell ref="B87:D87"/>
    <mergeCell ref="H87:O87"/>
    <mergeCell ref="B66:D66"/>
    <mergeCell ref="H66:L66"/>
    <mergeCell ref="N66:O66"/>
    <mergeCell ref="B67:D67"/>
    <mergeCell ref="H67:L67"/>
    <mergeCell ref="N67:O67"/>
    <mergeCell ref="B71:O71"/>
    <mergeCell ref="B72:D72"/>
    <mergeCell ref="H72:O72"/>
    <mergeCell ref="B68:D68"/>
    <mergeCell ref="H68:L68"/>
    <mergeCell ref="N68:O68"/>
    <mergeCell ref="B69:D69"/>
    <mergeCell ref="H69:L69"/>
    <mergeCell ref="N69:O69"/>
    <mergeCell ref="B83:D83"/>
    <mergeCell ref="H83:O83"/>
    <mergeCell ref="B73:D73"/>
    <mergeCell ref="H73:O73"/>
    <mergeCell ref="B74:D74"/>
    <mergeCell ref="H74:O74"/>
    <mergeCell ref="B76:O76"/>
    <mergeCell ref="B77:D77"/>
    <mergeCell ref="H77:O77"/>
    <mergeCell ref="B78:D78"/>
    <mergeCell ref="H78:O78"/>
    <mergeCell ref="B79:D79"/>
    <mergeCell ref="H79:O79"/>
    <mergeCell ref="B80:D80"/>
    <mergeCell ref="H80:O80"/>
    <mergeCell ref="B81:D81"/>
    <mergeCell ref="H81:O81"/>
    <mergeCell ref="B82:D82"/>
    <mergeCell ref="H82:O82"/>
    <mergeCell ref="H64:L64"/>
    <mergeCell ref="N64:O64"/>
    <mergeCell ref="B65:D65"/>
    <mergeCell ref="H65:L65"/>
    <mergeCell ref="N65:O65"/>
    <mergeCell ref="B58:D58"/>
    <mergeCell ref="H58:L58"/>
    <mergeCell ref="N58:O58"/>
    <mergeCell ref="B59:O59"/>
    <mergeCell ref="B60:D60"/>
    <mergeCell ref="H60:L60"/>
    <mergeCell ref="N60:O60"/>
    <mergeCell ref="B61:D61"/>
    <mergeCell ref="H61:L61"/>
    <mergeCell ref="N61:O61"/>
    <mergeCell ref="B62:O62"/>
    <mergeCell ref="B63:D63"/>
    <mergeCell ref="H63:L63"/>
    <mergeCell ref="N63:O63"/>
    <mergeCell ref="B64:D64"/>
    <mergeCell ref="B55:D55"/>
    <mergeCell ref="H55:L55"/>
    <mergeCell ref="N55:O55"/>
    <mergeCell ref="B56:D56"/>
    <mergeCell ref="H56:L56"/>
    <mergeCell ref="N56:O56"/>
    <mergeCell ref="B57:D57"/>
    <mergeCell ref="H57:L57"/>
    <mergeCell ref="N57:O57"/>
    <mergeCell ref="B51:D51"/>
    <mergeCell ref="H51:L51"/>
    <mergeCell ref="N51:O51"/>
    <mergeCell ref="B52:O52"/>
    <mergeCell ref="B53:D53"/>
    <mergeCell ref="H53:L53"/>
    <mergeCell ref="N53:O53"/>
    <mergeCell ref="B54:D54"/>
    <mergeCell ref="H54:L54"/>
    <mergeCell ref="N54:O54"/>
    <mergeCell ref="B48:D48"/>
    <mergeCell ref="H48:L48"/>
    <mergeCell ref="N48:O48"/>
    <mergeCell ref="B49:D49"/>
    <mergeCell ref="H49:L49"/>
    <mergeCell ref="N49:O49"/>
    <mergeCell ref="B50:D50"/>
    <mergeCell ref="H50:L50"/>
    <mergeCell ref="N50:O50"/>
    <mergeCell ref="B44:D44"/>
    <mergeCell ref="H44:L44"/>
    <mergeCell ref="N44:O44"/>
    <mergeCell ref="B45:O45"/>
    <mergeCell ref="B46:D46"/>
    <mergeCell ref="H46:L46"/>
    <mergeCell ref="N46:O46"/>
    <mergeCell ref="B47:D47"/>
    <mergeCell ref="H47:L47"/>
    <mergeCell ref="N47:O47"/>
    <mergeCell ref="B41:D41"/>
    <mergeCell ref="H41:L41"/>
    <mergeCell ref="N41:O41"/>
    <mergeCell ref="B39:D39"/>
    <mergeCell ref="E39:O39"/>
    <mergeCell ref="B42:O42"/>
    <mergeCell ref="B43:D43"/>
    <mergeCell ref="H43:L43"/>
    <mergeCell ref="N43:O43"/>
    <mergeCell ref="B18:D18"/>
    <mergeCell ref="E18:O18"/>
    <mergeCell ref="B19:D19"/>
    <mergeCell ref="B20:D20"/>
    <mergeCell ref="E20:O20"/>
    <mergeCell ref="E19:O19"/>
    <mergeCell ref="B21:O21"/>
    <mergeCell ref="B37:O37"/>
    <mergeCell ref="B38:O38"/>
    <mergeCell ref="B13:D13"/>
    <mergeCell ref="E13:O13"/>
    <mergeCell ref="B14:D14"/>
    <mergeCell ref="E14:O14"/>
    <mergeCell ref="B15:D15"/>
    <mergeCell ref="E15:O15"/>
    <mergeCell ref="B16:D16"/>
    <mergeCell ref="E16:O16"/>
    <mergeCell ref="B17:D17"/>
    <mergeCell ref="E17:O17"/>
    <mergeCell ref="B5:H5"/>
    <mergeCell ref="B6:H10"/>
    <mergeCell ref="J5:O5"/>
    <mergeCell ref="K6:O6"/>
    <mergeCell ref="K7:O7"/>
    <mergeCell ref="K8:O8"/>
    <mergeCell ref="K9:O9"/>
    <mergeCell ref="K10:O10"/>
    <mergeCell ref="B12:H12"/>
  </mergeCells>
  <conditionalFormatting sqref="E39:O39">
    <cfRule type="expression" dxfId="25" priority="3">
      <formula>NOT(Stand_ok)</formula>
    </cfRule>
    <cfRule type="expression" dxfId="24" priority="4">
      <formula>Stand_ok</formula>
    </cfRule>
  </conditionalFormatting>
  <conditionalFormatting sqref="N42:O69">
    <cfRule type="beginsWith" dxfId="23" priority="1" operator="beginsWith" text="⚠">
      <formula>LEFT(N42,1)="⚠"</formula>
    </cfRule>
    <cfRule type="beginsWith" dxfId="22" priority="2" operator="beginsWith" text="✔">
      <formula>LEFT(N42,1)="✔"</formula>
    </cfRule>
  </conditionalFormatting>
  <hyperlinks>
    <hyperlink ref="B13" location="'Kaverne &amp; Gassäule'!A1" display="→ Kaverne &amp; Gassäule" xr:uid="{00000000-0004-0000-0000-000000000000}"/>
    <hyperlink ref="B14" location="'Medienvergleich'!A1" display="→ Medienvergleich" xr:uid="{00000000-0004-0000-0000-000001000000}"/>
    <hyperlink ref="B15" location="'Einspeicherung S1'!A1" display="→ Einspeicherung S1" xr:uid="{00000000-0004-0000-0000-000002000000}"/>
    <hyperlink ref="B16" location="'Einspeicherung S2'!A1" display="→ Einspeicherung S2" xr:uid="{00000000-0004-0000-0000-000003000000}"/>
    <hyperlink ref="B17" location="'Phasendiagramm'!A1" display="→ Phasendiagramm" xr:uid="{00000000-0004-0000-0000-000004000000}"/>
    <hyperlink ref="B18" location="'Quellen'!A1" display="→ Quellen" xr:uid="{00000000-0004-0000-0000-000005000000}"/>
    <hyperlink ref="B19" location="'Diagrammdaten'!A1" display="→ Diagrammdaten" xr:uid="{00000000-0004-0000-0000-000006000000}"/>
    <hyperlink ref="B20" location="'Gemisch &amp; Grenzen'!A1" display="→ Gemisch &amp; Grenzen" xr:uid="{00000000-0004-0000-0000-000007000000}"/>
  </hyperlinks>
  <pageMargins left="0.4" right="0.4" top="0.5" bottom="0.5" header="0.3" footer="0.3"/>
  <pageSetup paperSize="9"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5895B-2259-4AAD-B080-F595FEABCCA0}">
  <sheetPr>
    <tabColor rgb="FFCA220E"/>
    <pageSetUpPr fitToPage="1"/>
  </sheetPr>
  <dimension ref="B1:AE47"/>
  <sheetViews>
    <sheetView showGridLines="0" topLeftCell="A6" zoomScale="70" zoomScaleNormal="70" workbookViewId="0"/>
  </sheetViews>
  <sheetFormatPr baseColWidth="10" defaultColWidth="9.140625" defaultRowHeight="15" x14ac:dyDescent="0.25"/>
  <cols>
    <col min="1" max="1" width="2.7109375" customWidth="1"/>
    <col min="2" max="2" width="36.7109375" customWidth="1"/>
    <col min="3" max="3" width="14.7109375" customWidth="1"/>
    <col min="4" max="5" width="26.7109375" customWidth="1"/>
    <col min="6" max="6" width="30.7109375" customWidth="1"/>
    <col min="7" max="9" width="14.7109375" customWidth="1"/>
    <col min="10" max="10" width="44.7109375" customWidth="1"/>
  </cols>
  <sheetData>
    <row r="1" spans="2:10" ht="30" customHeight="1" x14ac:dyDescent="0.25">
      <c r="B1" s="1" t="s">
        <v>366</v>
      </c>
    </row>
    <row r="2" spans="2:10" x14ac:dyDescent="0.25">
      <c r="B2" s="2" t="s">
        <v>506</v>
      </c>
    </row>
    <row r="3" spans="2:10" x14ac:dyDescent="0.25">
      <c r="B3" s="9" t="s">
        <v>367</v>
      </c>
    </row>
    <row r="5" spans="2:10" x14ac:dyDescent="0.25">
      <c r="B5" s="3" t="s">
        <v>368</v>
      </c>
    </row>
    <row r="6" spans="2:10" ht="48" customHeight="1" x14ac:dyDescent="0.25">
      <c r="B6" s="70" t="s">
        <v>369</v>
      </c>
      <c r="C6" s="72"/>
      <c r="D6" s="72"/>
      <c r="E6" s="72"/>
      <c r="F6" s="72"/>
      <c r="G6" s="72"/>
      <c r="H6" s="72"/>
      <c r="I6" s="72"/>
      <c r="J6" s="72"/>
    </row>
    <row r="8" spans="2:10" x14ac:dyDescent="0.25">
      <c r="B8" s="3" t="s">
        <v>370</v>
      </c>
      <c r="F8" s="3" t="s">
        <v>388</v>
      </c>
    </row>
    <row r="9" spans="2:10" x14ac:dyDescent="0.25">
      <c r="B9" s="12" t="s">
        <v>371</v>
      </c>
      <c r="C9" s="12" t="s">
        <v>372</v>
      </c>
      <c r="D9" s="12" t="s">
        <v>373</v>
      </c>
      <c r="F9" s="12" t="s">
        <v>389</v>
      </c>
      <c r="G9" s="12" t="s">
        <v>390</v>
      </c>
      <c r="H9" s="12" t="s">
        <v>391</v>
      </c>
      <c r="I9" s="12" t="s">
        <v>392</v>
      </c>
      <c r="J9" s="12" t="s">
        <v>393</v>
      </c>
    </row>
    <row r="10" spans="2:10" x14ac:dyDescent="0.25">
      <c r="B10" s="13" t="s">
        <v>374</v>
      </c>
      <c r="C10" s="4">
        <v>95</v>
      </c>
      <c r="D10" s="13" t="s">
        <v>375</v>
      </c>
      <c r="F10" s="13" t="s">
        <v>394</v>
      </c>
      <c r="G10" s="5">
        <v>27.954721274532744</v>
      </c>
      <c r="H10" s="5">
        <v>81.455055721913254</v>
      </c>
      <c r="I10" s="13" t="s">
        <v>395</v>
      </c>
      <c r="J10" s="13" t="s">
        <v>396</v>
      </c>
    </row>
    <row r="11" spans="2:10" x14ac:dyDescent="0.25">
      <c r="B11" s="13" t="s">
        <v>376</v>
      </c>
      <c r="C11" s="4">
        <v>2.4</v>
      </c>
      <c r="D11" s="13" t="s">
        <v>377</v>
      </c>
      <c r="F11" s="13" t="s">
        <v>397</v>
      </c>
      <c r="G11" s="5">
        <v>27.213117993384571</v>
      </c>
      <c r="H11" s="5">
        <v>82.17759431791859</v>
      </c>
      <c r="I11" s="13" t="s">
        <v>398</v>
      </c>
      <c r="J11" s="13" t="s">
        <v>399</v>
      </c>
    </row>
    <row r="12" spans="2:10" x14ac:dyDescent="0.25">
      <c r="B12" s="13" t="s">
        <v>378</v>
      </c>
      <c r="C12" s="4">
        <v>1</v>
      </c>
      <c r="D12" s="13" t="s">
        <v>379</v>
      </c>
      <c r="F12" s="13" t="s">
        <v>400</v>
      </c>
      <c r="G12" s="5">
        <v>28.093324350116518</v>
      </c>
      <c r="H12" s="5">
        <v>80.896473762668705</v>
      </c>
      <c r="I12" s="13" t="s">
        <v>401</v>
      </c>
      <c r="J12" s="13" t="s">
        <v>402</v>
      </c>
    </row>
    <row r="13" spans="2:10" x14ac:dyDescent="0.25">
      <c r="B13" s="13" t="s">
        <v>380</v>
      </c>
      <c r="C13" s="4">
        <v>1</v>
      </c>
      <c r="D13" s="13" t="s">
        <v>381</v>
      </c>
    </row>
    <row r="14" spans="2:10" ht="25.5" x14ac:dyDescent="0.25">
      <c r="B14" s="13" t="s">
        <v>382</v>
      </c>
      <c r="C14" s="4">
        <v>0.5</v>
      </c>
      <c r="D14" s="13" t="s">
        <v>383</v>
      </c>
      <c r="F14" s="78" t="s">
        <v>403</v>
      </c>
      <c r="G14" s="72"/>
      <c r="H14" s="4">
        <v>3</v>
      </c>
      <c r="I14" s="13" t="s">
        <v>404</v>
      </c>
      <c r="J14" s="13" t="s">
        <v>405</v>
      </c>
    </row>
    <row r="15" spans="2:10" x14ac:dyDescent="0.25">
      <c r="B15" s="13" t="s">
        <v>384</v>
      </c>
      <c r="C15" s="4">
        <v>0.1</v>
      </c>
      <c r="D15" s="13" t="s">
        <v>385</v>
      </c>
      <c r="F15" s="13" t="s">
        <v>406</v>
      </c>
      <c r="G15" s="5">
        <v>26</v>
      </c>
      <c r="H15" s="5">
        <v>81.71622256867208</v>
      </c>
      <c r="I15" s="13" t="s">
        <v>599</v>
      </c>
      <c r="J15" s="13" t="s">
        <v>407</v>
      </c>
    </row>
    <row r="16" spans="2:10" x14ac:dyDescent="0.25">
      <c r="B16" s="13" t="s">
        <v>386</v>
      </c>
      <c r="C16" s="6">
        <f>SUM(C11:C15)</f>
        <v>5</v>
      </c>
      <c r="D16" s="13" t="s">
        <v>387</v>
      </c>
      <c r="F16" s="13" t="s">
        <v>408</v>
      </c>
      <c r="G16" s="5">
        <v>26</v>
      </c>
      <c r="H16" s="5">
        <v>74.435087163580675</v>
      </c>
      <c r="I16" s="13" t="s">
        <v>599</v>
      </c>
      <c r="J16" s="13" t="s">
        <v>409</v>
      </c>
    </row>
    <row r="18" spans="2:31" x14ac:dyDescent="0.25">
      <c r="B18" s="3" t="s">
        <v>410</v>
      </c>
    </row>
    <row r="19" spans="2:31" ht="30" customHeight="1" x14ac:dyDescent="0.25">
      <c r="B19" s="12" t="s">
        <v>411</v>
      </c>
      <c r="C19" s="12" t="s">
        <v>412</v>
      </c>
      <c r="D19" s="12" t="s">
        <v>413</v>
      </c>
      <c r="E19" s="12" t="s">
        <v>414</v>
      </c>
      <c r="F19" s="12" t="s">
        <v>415</v>
      </c>
      <c r="G19" s="12" t="s">
        <v>416</v>
      </c>
    </row>
    <row r="20" spans="2:31" x14ac:dyDescent="0.25">
      <c r="B20" s="13">
        <v>-50</v>
      </c>
      <c r="C20" s="5">
        <v>6.8234161475719795</v>
      </c>
      <c r="D20" s="5">
        <v>7.2245097178489024</v>
      </c>
      <c r="E20" s="5">
        <v>48.126010287424769</v>
      </c>
      <c r="F20" s="6">
        <f t="shared" ref="F20:F31" si="0">D20-U_PG</f>
        <v>4.2245097178489024</v>
      </c>
      <c r="G20" s="6">
        <f t="shared" ref="G20:G31" si="1">E20+U_PG</f>
        <v>51.126010287424769</v>
      </c>
    </row>
    <row r="21" spans="2:31" x14ac:dyDescent="0.25">
      <c r="B21" s="13">
        <v>-40</v>
      </c>
      <c r="C21" s="5">
        <v>10.044957280440851</v>
      </c>
      <c r="D21" s="5">
        <v>10.65706737848825</v>
      </c>
      <c r="E21" s="5">
        <v>46.018104208523148</v>
      </c>
      <c r="F21" s="6">
        <f t="shared" si="0"/>
        <v>7.6570673784882501</v>
      </c>
      <c r="G21" s="6">
        <f t="shared" si="1"/>
        <v>49.018104208523148</v>
      </c>
    </row>
    <row r="22" spans="2:31" x14ac:dyDescent="0.25">
      <c r="B22" s="13">
        <v>-30</v>
      </c>
      <c r="C22" s="5">
        <v>14.277616929031305</v>
      </c>
      <c r="D22" s="5">
        <v>15.186692649944018</v>
      </c>
      <c r="E22" s="5">
        <v>46.414443990813197</v>
      </c>
      <c r="F22" s="6">
        <f t="shared" si="0"/>
        <v>12.186692649944018</v>
      </c>
      <c r="G22" s="6">
        <f t="shared" si="1"/>
        <v>49.414443990813197</v>
      </c>
    </row>
    <row r="23" spans="2:31" x14ac:dyDescent="0.25">
      <c r="B23" s="13">
        <v>-20</v>
      </c>
      <c r="C23" s="5">
        <v>19.696280019020698</v>
      </c>
      <c r="D23" s="5">
        <v>21.019382247337123</v>
      </c>
      <c r="E23" s="5">
        <v>48.909094593275725</v>
      </c>
      <c r="F23" s="6">
        <f t="shared" si="0"/>
        <v>18.019382247337123</v>
      </c>
      <c r="G23" s="6">
        <f t="shared" si="1"/>
        <v>51.909094593275725</v>
      </c>
    </row>
    <row r="24" spans="2:31" x14ac:dyDescent="0.25">
      <c r="B24" s="13">
        <v>-10</v>
      </c>
      <c r="C24" s="5">
        <v>26.486766706960875</v>
      </c>
      <c r="D24" s="5">
        <v>28.387878319565097</v>
      </c>
      <c r="E24" s="5">
        <v>53.31021190066248</v>
      </c>
      <c r="F24" s="6">
        <f t="shared" si="0"/>
        <v>25.387878319565097</v>
      </c>
      <c r="G24" s="6">
        <f t="shared" si="1"/>
        <v>56.31021190066248</v>
      </c>
    </row>
    <row r="25" spans="2:31" x14ac:dyDescent="0.25">
      <c r="B25" s="13">
        <v>0</v>
      </c>
      <c r="C25" s="5">
        <v>34.851407576631608</v>
      </c>
      <c r="D25" s="5">
        <v>37.573276997210179</v>
      </c>
      <c r="E25" s="5">
        <v>59.518390151113323</v>
      </c>
      <c r="F25" s="6">
        <f t="shared" si="0"/>
        <v>34.573276997210179</v>
      </c>
      <c r="G25" s="6">
        <f t="shared" si="1"/>
        <v>62.518390151113323</v>
      </c>
    </row>
    <row r="26" spans="2:31" x14ac:dyDescent="0.25">
      <c r="B26" s="13">
        <v>5</v>
      </c>
      <c r="C26" s="5">
        <v>39.694652540623991</v>
      </c>
      <c r="D26" s="5">
        <v>42.961015260630354</v>
      </c>
      <c r="E26" s="5">
        <v>63.272176328388959</v>
      </c>
      <c r="F26" s="6">
        <f t="shared" si="0"/>
        <v>39.961015260630354</v>
      </c>
      <c r="G26" s="6">
        <f t="shared" si="1"/>
        <v>66.272176328388952</v>
      </c>
    </row>
    <row r="27" spans="2:31" x14ac:dyDescent="0.25">
      <c r="B27" s="13">
        <v>10</v>
      </c>
      <c r="C27" s="5">
        <v>45.021829141077745</v>
      </c>
      <c r="D27" s="5">
        <v>48.964344325289865</v>
      </c>
      <c r="E27" s="5">
        <v>67.428739288729972</v>
      </c>
      <c r="F27" s="6">
        <f t="shared" si="0"/>
        <v>45.964344325289865</v>
      </c>
      <c r="G27" s="6">
        <f t="shared" si="1"/>
        <v>70.428739288729972</v>
      </c>
    </row>
    <row r="28" spans="2:31" x14ac:dyDescent="0.25">
      <c r="B28" s="13">
        <v>15</v>
      </c>
      <c r="C28" s="5">
        <v>50.871473579579622</v>
      </c>
      <c r="D28" s="5">
        <v>55.683743306690538</v>
      </c>
      <c r="E28" s="5">
        <v>71.93269628768455</v>
      </c>
      <c r="F28" s="6">
        <f t="shared" si="0"/>
        <v>52.683743306690538</v>
      </c>
      <c r="G28" s="6">
        <f t="shared" si="1"/>
        <v>74.93269628768455</v>
      </c>
    </row>
    <row r="29" spans="2:31" x14ac:dyDescent="0.25">
      <c r="B29" s="13">
        <v>20</v>
      </c>
      <c r="C29" s="5">
        <v>57.290525814751483</v>
      </c>
      <c r="D29" s="5">
        <v>63.37008769484278</v>
      </c>
      <c r="E29" s="5">
        <v>76.650851099002267</v>
      </c>
      <c r="F29" s="6">
        <f t="shared" si="0"/>
        <v>60.37008769484278</v>
      </c>
      <c r="G29" s="6">
        <f t="shared" si="1"/>
        <v>79.650851099002267</v>
      </c>
    </row>
    <row r="30" spans="2:31" x14ac:dyDescent="0.25">
      <c r="B30" s="13">
        <v>25</v>
      </c>
      <c r="C30" s="5">
        <v>64.342442506404197</v>
      </c>
      <c r="D30" s="5">
        <v>72.325229642539654</v>
      </c>
      <c r="E30" s="5">
        <v>81.055195862283838</v>
      </c>
      <c r="F30" s="6">
        <f t="shared" si="0"/>
        <v>69.325229642539654</v>
      </c>
      <c r="G30" s="6">
        <f t="shared" si="1"/>
        <v>84.055195862283838</v>
      </c>
    </row>
    <row r="31" spans="2:31" ht="204.95" customHeight="1" x14ac:dyDescent="0.25">
      <c r="B31" s="13">
        <v>27</v>
      </c>
      <c r="C31" s="5">
        <v>67.361485781846483</v>
      </c>
      <c r="D31" s="5">
        <v>76.817922880286346</v>
      </c>
      <c r="E31" s="5">
        <v>82.152581906136248</v>
      </c>
      <c r="F31" s="6">
        <f t="shared" si="0"/>
        <v>73.817922880286346</v>
      </c>
      <c r="G31" s="6">
        <f t="shared" si="1"/>
        <v>85.152581906136248</v>
      </c>
      <c r="L31" s="79" t="s">
        <v>616</v>
      </c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1"/>
    </row>
    <row r="32" spans="2:31" x14ac:dyDescent="0.25">
      <c r="B32" s="74" t="s">
        <v>417</v>
      </c>
      <c r="C32" s="72"/>
      <c r="D32" s="72"/>
      <c r="E32" s="72"/>
      <c r="F32" s="72"/>
      <c r="G32" s="72"/>
      <c r="H32" s="72"/>
      <c r="I32" s="72"/>
      <c r="J32" s="72"/>
    </row>
    <row r="34" spans="2:7" x14ac:dyDescent="0.25">
      <c r="B34" s="3" t="s">
        <v>418</v>
      </c>
    </row>
    <row r="35" spans="2:7" ht="30" customHeight="1" x14ac:dyDescent="0.25">
      <c r="B35" s="12" t="s">
        <v>419</v>
      </c>
      <c r="C35" s="12"/>
      <c r="D35" s="12" t="s">
        <v>420</v>
      </c>
      <c r="E35" s="12" t="s">
        <v>421</v>
      </c>
      <c r="F35" s="12" t="s">
        <v>422</v>
      </c>
      <c r="G35" s="12" t="s">
        <v>423</v>
      </c>
    </row>
    <row r="36" spans="2:7" ht="30" customHeight="1" x14ac:dyDescent="0.25">
      <c r="B36" s="13" t="s">
        <v>424</v>
      </c>
      <c r="D36" s="13" t="s">
        <v>425</v>
      </c>
      <c r="E36" s="13" t="s">
        <v>426</v>
      </c>
      <c r="F36" s="13" t="s">
        <v>427</v>
      </c>
      <c r="G36" s="13" t="s">
        <v>428</v>
      </c>
    </row>
    <row r="37" spans="2:7" ht="30" customHeight="1" x14ac:dyDescent="0.25">
      <c r="B37" s="13" t="s">
        <v>600</v>
      </c>
      <c r="D37" s="13" t="s">
        <v>601</v>
      </c>
      <c r="E37" s="13" t="s">
        <v>602</v>
      </c>
      <c r="F37" s="13" t="s">
        <v>603</v>
      </c>
      <c r="G37" s="13" t="s">
        <v>429</v>
      </c>
    </row>
    <row r="38" spans="2:7" ht="30" customHeight="1" x14ac:dyDescent="0.25">
      <c r="B38" s="13" t="s">
        <v>604</v>
      </c>
      <c r="D38" s="13" t="s">
        <v>605</v>
      </c>
      <c r="E38" s="13" t="s">
        <v>606</v>
      </c>
      <c r="F38" s="13" t="s">
        <v>607</v>
      </c>
      <c r="G38" s="13" t="s">
        <v>429</v>
      </c>
    </row>
    <row r="39" spans="2:7" ht="30" customHeight="1" x14ac:dyDescent="0.25">
      <c r="B39" s="13" t="s">
        <v>608</v>
      </c>
      <c r="D39" s="13" t="s">
        <v>609</v>
      </c>
      <c r="E39" s="13" t="s">
        <v>610</v>
      </c>
      <c r="F39" s="13" t="s">
        <v>635</v>
      </c>
      <c r="G39" s="13" t="s">
        <v>429</v>
      </c>
    </row>
    <row r="40" spans="2:7" ht="30" customHeight="1" x14ac:dyDescent="0.25">
      <c r="B40" s="13" t="s">
        <v>430</v>
      </c>
      <c r="D40" s="13" t="s">
        <v>431</v>
      </c>
      <c r="E40" s="13" t="s">
        <v>432</v>
      </c>
      <c r="F40" s="13" t="s">
        <v>433</v>
      </c>
      <c r="G40" s="13" t="s">
        <v>434</v>
      </c>
    </row>
    <row r="41" spans="2:7" ht="30" customHeight="1" x14ac:dyDescent="0.25">
      <c r="B41" s="13" t="s">
        <v>435</v>
      </c>
      <c r="D41" s="13" t="s">
        <v>436</v>
      </c>
      <c r="E41" s="13" t="s">
        <v>437</v>
      </c>
      <c r="F41" s="13" t="s">
        <v>438</v>
      </c>
      <c r="G41" s="13" t="s">
        <v>439</v>
      </c>
    </row>
    <row r="42" spans="2:7" ht="30" customHeight="1" x14ac:dyDescent="0.25">
      <c r="B42" s="13" t="s">
        <v>440</v>
      </c>
      <c r="D42" s="13" t="s">
        <v>441</v>
      </c>
      <c r="E42" s="13" t="s">
        <v>442</v>
      </c>
      <c r="F42" s="13" t="s">
        <v>443</v>
      </c>
      <c r="G42" s="13" t="s">
        <v>444</v>
      </c>
    </row>
    <row r="43" spans="2:7" ht="39.950000000000003" customHeight="1" x14ac:dyDescent="0.25">
      <c r="B43" s="13" t="s">
        <v>445</v>
      </c>
      <c r="D43" s="13" t="s">
        <v>446</v>
      </c>
      <c r="E43" s="13" t="s">
        <v>447</v>
      </c>
      <c r="F43" s="13" t="s">
        <v>612</v>
      </c>
      <c r="G43" s="13" t="s">
        <v>448</v>
      </c>
    </row>
    <row r="44" spans="2:7" ht="30" customHeight="1" x14ac:dyDescent="0.25">
      <c r="B44" s="13" t="s">
        <v>449</v>
      </c>
      <c r="D44" s="13" t="s">
        <v>450</v>
      </c>
      <c r="E44" s="13" t="s">
        <v>451</v>
      </c>
      <c r="F44" s="13" t="s">
        <v>452</v>
      </c>
      <c r="G44" s="13" t="s">
        <v>453</v>
      </c>
    </row>
    <row r="45" spans="2:7" ht="30" customHeight="1" x14ac:dyDescent="0.25">
      <c r="B45" s="13" t="s">
        <v>482</v>
      </c>
      <c r="D45" s="13" t="s">
        <v>483</v>
      </c>
      <c r="E45" s="13" t="s">
        <v>484</v>
      </c>
      <c r="F45" s="13" t="s">
        <v>485</v>
      </c>
      <c r="G45" s="13" t="s">
        <v>613</v>
      </c>
    </row>
    <row r="46" spans="2:7" ht="30" customHeight="1" x14ac:dyDescent="0.25">
      <c r="B46" s="13" t="s">
        <v>486</v>
      </c>
      <c r="D46" s="13" t="s">
        <v>487</v>
      </c>
      <c r="E46" s="13" t="s">
        <v>488</v>
      </c>
      <c r="F46" s="13" t="s">
        <v>489</v>
      </c>
      <c r="G46" s="13" t="s">
        <v>613</v>
      </c>
    </row>
    <row r="47" spans="2:7" ht="30" customHeight="1" x14ac:dyDescent="0.25">
      <c r="B47" s="13" t="s">
        <v>490</v>
      </c>
      <c r="D47" s="13" t="s">
        <v>491</v>
      </c>
      <c r="E47" s="13" t="s">
        <v>492</v>
      </c>
      <c r="F47" s="13" t="s">
        <v>615</v>
      </c>
      <c r="G47" s="13" t="s">
        <v>614</v>
      </c>
    </row>
  </sheetData>
  <mergeCells count="4">
    <mergeCell ref="B6:J6"/>
    <mergeCell ref="B32:J32"/>
    <mergeCell ref="F14:G14"/>
    <mergeCell ref="L31:AE31"/>
  </mergeCells>
  <hyperlinks>
    <hyperlink ref="B3" location="'Übersicht'!A1" display="← zur Übersicht" xr:uid="{00000000-0004-0000-0100-000000000000}"/>
  </hyperlinks>
  <pageMargins left="0.5" right="0.5" top="0.6" bottom="0.6" header="0.3" footer="0.3"/>
  <pageSetup paperSize="9"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52F3A-B1D2-4A15-8234-B5EAE278E7C4}">
  <sheetPr>
    <tabColor rgb="FF1F4E79"/>
    <pageSetUpPr fitToPage="1"/>
  </sheetPr>
  <dimension ref="B1:O82"/>
  <sheetViews>
    <sheetView showGridLines="0" topLeftCell="A19" zoomScale="85" zoomScaleNormal="85" workbookViewId="0">
      <selection activeCell="S32" sqref="S32"/>
    </sheetView>
  </sheetViews>
  <sheetFormatPr baseColWidth="10" defaultColWidth="9.140625" defaultRowHeight="15" x14ac:dyDescent="0.25"/>
  <cols>
    <col min="1" max="1" width="2.7109375" customWidth="1"/>
    <col min="2" max="2" width="30.7109375" customWidth="1"/>
    <col min="3" max="15" width="12.7109375" customWidth="1"/>
    <col min="16" max="31" width="9.7109375" customWidth="1"/>
  </cols>
  <sheetData>
    <row r="1" spans="2:10" ht="30" customHeight="1" x14ac:dyDescent="0.25">
      <c r="B1" s="1" t="s">
        <v>121</v>
      </c>
    </row>
    <row r="2" spans="2:10" x14ac:dyDescent="0.25">
      <c r="B2" s="2" t="s">
        <v>326</v>
      </c>
    </row>
    <row r="3" spans="2:10" x14ac:dyDescent="0.25">
      <c r="B3" s="9" t="s">
        <v>122</v>
      </c>
    </row>
    <row r="4" spans="2:10" ht="165.95" customHeight="1" x14ac:dyDescent="0.25">
      <c r="B4" s="83" t="s">
        <v>517</v>
      </c>
      <c r="C4" s="83"/>
      <c r="D4" s="83"/>
      <c r="E4" s="83"/>
      <c r="F4" s="83"/>
      <c r="G4" s="83"/>
      <c r="H4" s="83"/>
      <c r="I4" s="83"/>
      <c r="J4" s="83"/>
    </row>
    <row r="6" spans="2:10" x14ac:dyDescent="0.25">
      <c r="B6" s="3" t="s">
        <v>123</v>
      </c>
    </row>
    <row r="7" spans="2:10" ht="25.5" x14ac:dyDescent="0.25">
      <c r="B7" s="12" t="s">
        <v>23</v>
      </c>
      <c r="C7" s="12" t="s">
        <v>124</v>
      </c>
      <c r="D7" s="12" t="s">
        <v>125</v>
      </c>
      <c r="E7" s="12" t="s">
        <v>26</v>
      </c>
    </row>
    <row r="8" spans="2:10" x14ac:dyDescent="0.25">
      <c r="B8" s="13" t="s">
        <v>50</v>
      </c>
      <c r="C8" s="23">
        <f>z_V1</f>
        <v>1200</v>
      </c>
      <c r="D8" s="18"/>
      <c r="E8" s="13" t="s">
        <v>52</v>
      </c>
    </row>
    <row r="9" spans="2:10" x14ac:dyDescent="0.25">
      <c r="B9" s="13" t="s">
        <v>126</v>
      </c>
      <c r="C9" s="6">
        <f>Tober_V1</f>
        <v>10</v>
      </c>
      <c r="D9" s="18"/>
      <c r="E9" s="13" t="s">
        <v>37</v>
      </c>
    </row>
    <row r="10" spans="2:10" x14ac:dyDescent="0.25">
      <c r="B10" s="13" t="s">
        <v>57</v>
      </c>
      <c r="C10" s="24">
        <f>grad_V1</f>
        <v>0.03</v>
      </c>
      <c r="D10" s="18"/>
      <c r="E10" s="13" t="s">
        <v>59</v>
      </c>
    </row>
    <row r="11" spans="2:10" x14ac:dyDescent="0.25">
      <c r="B11" s="13" t="s">
        <v>127</v>
      </c>
      <c r="C11" s="6">
        <f>T_Kav_V1</f>
        <v>46</v>
      </c>
      <c r="D11" s="18"/>
      <c r="E11" s="13" t="s">
        <v>37</v>
      </c>
    </row>
    <row r="12" spans="2:10" x14ac:dyDescent="0.25">
      <c r="B12" s="13" t="s">
        <v>61</v>
      </c>
      <c r="C12" s="6">
        <f>pmax_V1</f>
        <v>210</v>
      </c>
      <c r="D12" s="18"/>
      <c r="E12" s="13" t="s">
        <v>33</v>
      </c>
    </row>
    <row r="13" spans="2:10" x14ac:dyDescent="0.25">
      <c r="B13" s="13" t="s">
        <v>64</v>
      </c>
      <c r="C13" s="6">
        <f>pmin_V1</f>
        <v>70</v>
      </c>
      <c r="D13" s="18"/>
      <c r="E13" s="13" t="s">
        <v>33</v>
      </c>
    </row>
    <row r="14" spans="2:10" x14ac:dyDescent="0.25">
      <c r="B14" s="25" t="s">
        <v>128</v>
      </c>
    </row>
    <row r="16" spans="2:10" x14ac:dyDescent="0.25">
      <c r="B16" s="3" t="s">
        <v>129</v>
      </c>
    </row>
    <row r="17" spans="2:12" ht="30" customHeight="1" x14ac:dyDescent="0.25">
      <c r="B17" s="12" t="s">
        <v>130</v>
      </c>
      <c r="C17" s="12" t="s">
        <v>131</v>
      </c>
      <c r="D17" s="12" t="s">
        <v>132</v>
      </c>
      <c r="E17" s="12" t="s">
        <v>133</v>
      </c>
      <c r="F17" s="12" t="s">
        <v>134</v>
      </c>
      <c r="G17" s="12" t="s">
        <v>135</v>
      </c>
      <c r="H17" s="12" t="s">
        <v>136</v>
      </c>
      <c r="I17" s="75" t="s">
        <v>137</v>
      </c>
      <c r="J17" s="75"/>
      <c r="K17" s="75"/>
    </row>
    <row r="18" spans="2:12" ht="30" customHeight="1" x14ac:dyDescent="0.25">
      <c r="B18" s="10" t="s">
        <v>138</v>
      </c>
      <c r="C18" s="5">
        <v>210</v>
      </c>
      <c r="D18" s="7">
        <v>114.93130198208927</v>
      </c>
      <c r="E18" s="5">
        <v>10</v>
      </c>
      <c r="F18" s="5">
        <v>865.00462248909491</v>
      </c>
      <c r="G18" s="5">
        <v>755.95384271623266</v>
      </c>
      <c r="H18" s="6">
        <f>C18-D18</f>
        <v>95.068698017910734</v>
      </c>
      <c r="I18" s="78" t="s">
        <v>139</v>
      </c>
      <c r="J18" s="78"/>
      <c r="K18" s="78"/>
    </row>
    <row r="19" spans="2:12" ht="30" customHeight="1" x14ac:dyDescent="0.25">
      <c r="B19" s="10" t="s">
        <v>140</v>
      </c>
      <c r="C19" s="5">
        <v>171.19473051369846</v>
      </c>
      <c r="D19" s="7">
        <v>82.177594317918306</v>
      </c>
      <c r="E19" s="5">
        <v>10</v>
      </c>
      <c r="F19" s="5">
        <v>825.29682338781356</v>
      </c>
      <c r="G19" s="5">
        <v>695.90621886304257</v>
      </c>
      <c r="H19" s="6">
        <f>C19-D19</f>
        <v>89.017136195780154</v>
      </c>
      <c r="I19" s="78" t="s">
        <v>327</v>
      </c>
      <c r="J19" s="78"/>
      <c r="K19" s="78"/>
    </row>
    <row r="20" spans="2:12" ht="30" customHeight="1" x14ac:dyDescent="0.25">
      <c r="B20" s="10" t="s">
        <v>141</v>
      </c>
      <c r="C20" s="5">
        <v>70</v>
      </c>
      <c r="D20" s="7">
        <v>50.705458672726493</v>
      </c>
      <c r="E20" s="5">
        <v>10</v>
      </c>
      <c r="F20" s="5">
        <v>208.63401710078003</v>
      </c>
      <c r="G20" s="5">
        <v>166.94226085841004</v>
      </c>
      <c r="H20" s="6">
        <f>C20-D20</f>
        <v>19.294541327273507</v>
      </c>
      <c r="I20" s="78" t="s">
        <v>328</v>
      </c>
      <c r="J20" s="78"/>
      <c r="K20" s="78"/>
    </row>
    <row r="21" spans="2:12" ht="30" customHeight="1" x14ac:dyDescent="0.25">
      <c r="J21" s="52"/>
      <c r="K21" s="52"/>
    </row>
    <row r="22" spans="2:12" ht="15.75" thickBot="1" x14ac:dyDescent="0.3">
      <c r="B22" s="3" t="s">
        <v>508</v>
      </c>
    </row>
    <row r="23" spans="2:12" ht="30" customHeight="1" x14ac:dyDescent="0.25">
      <c r="B23" s="12" t="s">
        <v>130</v>
      </c>
      <c r="C23" s="12" t="s">
        <v>131</v>
      </c>
      <c r="D23" s="12" t="s">
        <v>132</v>
      </c>
      <c r="E23" s="12" t="s">
        <v>133</v>
      </c>
      <c r="F23" s="12" t="s">
        <v>134</v>
      </c>
      <c r="G23" s="12" t="s">
        <v>135</v>
      </c>
      <c r="H23" s="12" t="s">
        <v>136</v>
      </c>
      <c r="I23" s="75" t="s">
        <v>509</v>
      </c>
      <c r="J23" s="75"/>
      <c r="K23" s="75"/>
    </row>
    <row r="24" spans="2:12" ht="30" customHeight="1" x14ac:dyDescent="0.25">
      <c r="B24" s="10" t="s">
        <v>138</v>
      </c>
      <c r="C24" s="5">
        <v>210</v>
      </c>
      <c r="D24" s="7">
        <v>107.603219569636</v>
      </c>
      <c r="E24" s="5">
        <v>10</v>
      </c>
      <c r="F24" s="5">
        <v>926.32203680404973</v>
      </c>
      <c r="G24" s="5">
        <v>817.60426652443198</v>
      </c>
      <c r="H24" s="6">
        <f>C24-D24</f>
        <v>102.396780430364</v>
      </c>
      <c r="I24" s="84">
        <f>D18-D24</f>
        <v>7.32808241245327</v>
      </c>
      <c r="J24" s="78"/>
      <c r="K24" s="78"/>
    </row>
    <row r="25" spans="2:12" ht="30" customHeight="1" x14ac:dyDescent="0.25">
      <c r="B25" s="10" t="s">
        <v>510</v>
      </c>
      <c r="C25" s="5">
        <v>171.65227729158011</v>
      </c>
      <c r="D25" s="7">
        <v>73.772983779137576</v>
      </c>
      <c r="E25" s="5">
        <v>10</v>
      </c>
      <c r="F25" s="5">
        <v>897.02184242090505</v>
      </c>
      <c r="G25" s="5">
        <v>771.25519744430449</v>
      </c>
      <c r="H25" s="6">
        <f>C25-D25</f>
        <v>97.87929351244253</v>
      </c>
      <c r="I25" s="84">
        <f>D19-D25</f>
        <v>8.4046105387807302</v>
      </c>
      <c r="J25" s="78"/>
      <c r="K25" s="78"/>
    </row>
    <row r="26" spans="2:12" ht="30" customHeight="1" x14ac:dyDescent="0.25">
      <c r="B26" s="10" t="s">
        <v>141</v>
      </c>
      <c r="C26" s="5">
        <v>70</v>
      </c>
      <c r="D26" s="7">
        <v>44.992994186969852</v>
      </c>
      <c r="E26" s="5">
        <v>10</v>
      </c>
      <c r="F26" s="5">
        <v>134.97287245577121</v>
      </c>
      <c r="G26" s="5">
        <v>180.73731839070081</v>
      </c>
      <c r="H26" s="6">
        <f>C26-D26</f>
        <v>25.007005813030148</v>
      </c>
      <c r="I26" s="84">
        <f>D20-D26</f>
        <v>5.7124644857566409</v>
      </c>
      <c r="J26" s="78"/>
      <c r="K26" s="78"/>
    </row>
    <row r="28" spans="2:12" x14ac:dyDescent="0.25">
      <c r="B28" s="3" t="s">
        <v>142</v>
      </c>
    </row>
    <row r="29" spans="2:12" ht="57.95" customHeight="1" x14ac:dyDescent="0.25">
      <c r="B29" s="82" t="s">
        <v>153</v>
      </c>
      <c r="C29" s="82"/>
      <c r="D29" s="82"/>
      <c r="E29" s="82"/>
      <c r="F29" s="82"/>
      <c r="G29" s="82"/>
      <c r="H29" s="82"/>
      <c r="I29" s="82"/>
      <c r="J29" s="82"/>
      <c r="K29" s="82"/>
      <c r="L29" s="82"/>
    </row>
    <row r="53" spans="2:15" x14ac:dyDescent="0.25">
      <c r="B53" s="3" t="s">
        <v>143</v>
      </c>
    </row>
    <row r="54" spans="2:15" ht="30" customHeight="1" x14ac:dyDescent="0.25">
      <c r="B54" s="12" t="s">
        <v>144</v>
      </c>
      <c r="C54" s="12" t="s">
        <v>145</v>
      </c>
      <c r="D54" s="12" t="s">
        <v>146</v>
      </c>
      <c r="E54" s="12" t="s">
        <v>147</v>
      </c>
      <c r="F54" s="12" t="s">
        <v>148</v>
      </c>
      <c r="G54" s="12" t="s">
        <v>149</v>
      </c>
      <c r="H54" s="12" t="s">
        <v>150</v>
      </c>
      <c r="I54" s="12" t="s">
        <v>151</v>
      </c>
      <c r="J54" s="12" t="s">
        <v>511</v>
      </c>
      <c r="K54" s="12" t="s">
        <v>512</v>
      </c>
      <c r="L54" s="12" t="s">
        <v>513</v>
      </c>
      <c r="M54" s="12" t="s">
        <v>514</v>
      </c>
      <c r="N54" s="12" t="s">
        <v>515</v>
      </c>
      <c r="O54" s="12" t="s">
        <v>516</v>
      </c>
    </row>
    <row r="55" spans="2:15" x14ac:dyDescent="0.25">
      <c r="B55" s="15">
        <v>0</v>
      </c>
      <c r="C55" s="5">
        <v>10</v>
      </c>
      <c r="D55" s="5">
        <v>114.93130198208927</v>
      </c>
      <c r="E55" s="5">
        <v>865.00462248909491</v>
      </c>
      <c r="F55" s="5">
        <v>82.177594317918306</v>
      </c>
      <c r="G55" s="5">
        <v>825.29682338781356</v>
      </c>
      <c r="H55" s="53">
        <v>50.705458672726493</v>
      </c>
      <c r="I55" s="53">
        <v>208.63401710078003</v>
      </c>
      <c r="J55" s="5">
        <v>107.603219569636</v>
      </c>
      <c r="K55" s="5">
        <v>926.32203680404973</v>
      </c>
      <c r="L55" s="5">
        <v>73.772983779137576</v>
      </c>
      <c r="M55" s="5">
        <v>897.02184242090505</v>
      </c>
      <c r="N55" s="5">
        <v>44.992994186969852</v>
      </c>
      <c r="O55" s="5">
        <v>134.97287245577121</v>
      </c>
    </row>
    <row r="56" spans="2:15" x14ac:dyDescent="0.25">
      <c r="B56" s="15">
        <v>50</v>
      </c>
      <c r="C56" s="5">
        <v>11.5</v>
      </c>
      <c r="D56" s="5">
        <v>119.16100924115156</v>
      </c>
      <c r="E56" s="5">
        <v>859.85864841570958</v>
      </c>
      <c r="F56" s="5">
        <v>86.209691651860339</v>
      </c>
      <c r="G56" s="5">
        <v>819.03600954284173</v>
      </c>
      <c r="H56" s="53">
        <v>51.659629523059941</v>
      </c>
      <c r="I56" s="53">
        <v>180.45339147381648</v>
      </c>
      <c r="J56" s="5">
        <v>112.1341797962734</v>
      </c>
      <c r="K56" s="5">
        <v>921.36648651154201</v>
      </c>
      <c r="L56" s="5">
        <v>78.158267366217629</v>
      </c>
      <c r="M56" s="5">
        <v>891.29696099094076</v>
      </c>
      <c r="N56" s="5">
        <v>46.658027336303412</v>
      </c>
      <c r="O56" s="18"/>
    </row>
    <row r="57" spans="2:15" x14ac:dyDescent="0.25">
      <c r="B57" s="15">
        <v>100</v>
      </c>
      <c r="C57" s="5">
        <v>13</v>
      </c>
      <c r="D57" s="5">
        <v>123.36557182169967</v>
      </c>
      <c r="E57" s="5">
        <v>854.75080521050813</v>
      </c>
      <c r="F57" s="5">
        <v>90.211177120067802</v>
      </c>
      <c r="G57" s="5">
        <v>812.81435801045086</v>
      </c>
      <c r="H57" s="5">
        <v>52.470044683915283</v>
      </c>
      <c r="I57" s="5">
        <v>158.26745350880307</v>
      </c>
      <c r="J57" s="5">
        <v>116.6408956363133</v>
      </c>
      <c r="K57" s="5">
        <v>916.43579278043831</v>
      </c>
      <c r="L57" s="5">
        <v>82.51551505203399</v>
      </c>
      <c r="M57" s="5">
        <v>885.59013179289752</v>
      </c>
      <c r="N57" s="5">
        <v>48.469673788771722</v>
      </c>
      <c r="O57" s="18"/>
    </row>
    <row r="58" spans="2:15" x14ac:dyDescent="0.25">
      <c r="B58" s="15">
        <v>150</v>
      </c>
      <c r="C58" s="5">
        <v>14.5</v>
      </c>
      <c r="D58" s="5">
        <v>127.54518251936265</v>
      </c>
      <c r="E58" s="5">
        <v>849.68334164926944</v>
      </c>
      <c r="F58" s="5">
        <v>94.182258243427555</v>
      </c>
      <c r="G58" s="5">
        <v>806.63792633144237</v>
      </c>
      <c r="H58" s="5">
        <v>53.247139379139881</v>
      </c>
      <c r="I58" s="5">
        <v>158.58156714079087</v>
      </c>
      <c r="J58" s="5">
        <v>121.12349405283589</v>
      </c>
      <c r="K58" s="5">
        <v>911.53192593962672</v>
      </c>
      <c r="L58" s="5">
        <v>86.844824172214189</v>
      </c>
      <c r="M58" s="5">
        <v>879.90480437760289</v>
      </c>
      <c r="N58" s="5">
        <v>50.287386984021232</v>
      </c>
      <c r="O58" s="18"/>
    </row>
    <row r="59" spans="2:15" x14ac:dyDescent="0.25">
      <c r="B59" s="15">
        <v>200</v>
      </c>
      <c r="C59" s="5">
        <v>16</v>
      </c>
      <c r="D59" s="5">
        <v>131.70004500354221</v>
      </c>
      <c r="E59" s="5">
        <v>844.65844859753247</v>
      </c>
      <c r="F59" s="5">
        <v>98.123172361781016</v>
      </c>
      <c r="G59" s="5">
        <v>800.51280910829462</v>
      </c>
      <c r="H59" s="5">
        <v>54.025823839409902</v>
      </c>
      <c r="I59" s="5">
        <v>158.91435687849651</v>
      </c>
      <c r="J59" s="5">
        <v>125.58211155495179</v>
      </c>
      <c r="K59" s="5">
        <v>906.65680676935699</v>
      </c>
      <c r="L59" s="5">
        <v>91.146308998600489</v>
      </c>
      <c r="M59" s="5">
        <v>874.2444277392234</v>
      </c>
      <c r="N59" s="5">
        <v>52.113012402204589</v>
      </c>
      <c r="O59" s="18"/>
    </row>
    <row r="60" spans="2:15" x14ac:dyDescent="0.25">
      <c r="B60" s="15">
        <v>250</v>
      </c>
      <c r="C60" s="5">
        <v>17.5</v>
      </c>
      <c r="D60" s="5">
        <v>135.83037358755291</v>
      </c>
      <c r="E60" s="5">
        <v>839.67827998832161</v>
      </c>
      <c r="F60" s="5">
        <v>102.03418671869966</v>
      </c>
      <c r="G60" s="5">
        <v>794.44509597377794</v>
      </c>
      <c r="H60" s="5">
        <v>54.806181480706428</v>
      </c>
      <c r="I60" s="5">
        <v>159.26271204121161</v>
      </c>
      <c r="J60" s="5">
        <v>130.0168939094205</v>
      </c>
      <c r="K60" s="5">
        <v>901.81228956803068</v>
      </c>
      <c r="L60" s="5">
        <v>95.420100641130801</v>
      </c>
      <c r="M60" s="5">
        <v>868.61241568352341</v>
      </c>
      <c r="N60" s="5">
        <v>53.576395779275323</v>
      </c>
      <c r="O60" s="5">
        <v>172.35312893618291</v>
      </c>
    </row>
    <row r="61" spans="2:15" x14ac:dyDescent="0.25">
      <c r="B61" s="15">
        <v>300</v>
      </c>
      <c r="C61" s="5">
        <v>19</v>
      </c>
      <c r="D61" s="5">
        <v>139.93639309319369</v>
      </c>
      <c r="E61" s="5">
        <v>834.74496973294981</v>
      </c>
      <c r="F61" s="5">
        <v>105.91559827455201</v>
      </c>
      <c r="G61" s="5">
        <v>788.44080380254525</v>
      </c>
      <c r="H61" s="5">
        <v>55.588281924562459</v>
      </c>
      <c r="I61" s="5">
        <v>159.6240720495816</v>
      </c>
      <c r="J61" s="5">
        <v>134.42799578384981</v>
      </c>
      <c r="K61" s="5">
        <v>897.00015115065344</v>
      </c>
      <c r="L61" s="5">
        <v>99.666346825411907</v>
      </c>
      <c r="M61" s="5">
        <v>863.01213022070874</v>
      </c>
      <c r="N61" s="5">
        <v>54.422451099446228</v>
      </c>
      <c r="O61" s="5">
        <v>172.621519049852</v>
      </c>
    </row>
    <row r="62" spans="2:15" x14ac:dyDescent="0.25">
      <c r="B62" s="15">
        <v>350</v>
      </c>
      <c r="C62" s="5">
        <v>20.5</v>
      </c>
      <c r="D62" s="5">
        <v>144.01833877875904</v>
      </c>
      <c r="E62" s="5">
        <v>829.86064042185444</v>
      </c>
      <c r="F62" s="5">
        <v>109.76773312810479</v>
      </c>
      <c r="G62" s="5">
        <v>782.50578709169292</v>
      </c>
      <c r="H62" s="5">
        <v>56.372183362205107</v>
      </c>
      <c r="I62" s="5">
        <v>159.99630272372789</v>
      </c>
      <c r="J62" s="5">
        <v>138.81558035303229</v>
      </c>
      <c r="K62" s="5">
        <v>892.222086630273</v>
      </c>
      <c r="L62" s="5">
        <v>103.8852116340835</v>
      </c>
      <c r="M62" s="5">
        <v>857.4468823333757</v>
      </c>
      <c r="N62" s="5">
        <v>55.269945504788083</v>
      </c>
      <c r="O62" s="5">
        <v>172.9361403382413</v>
      </c>
    </row>
    <row r="63" spans="2:15" x14ac:dyDescent="0.25">
      <c r="B63" s="15">
        <v>400</v>
      </c>
      <c r="C63" s="5">
        <v>22</v>
      </c>
      <c r="D63" s="5">
        <v>148.07645628272289</v>
      </c>
      <c r="E63" s="5">
        <v>825.02740115879669</v>
      </c>
      <c r="F63" s="5">
        <v>113.5909454657578</v>
      </c>
      <c r="G63" s="5">
        <v>776.6456377044849</v>
      </c>
      <c r="H63" s="5">
        <v>57.157934412263899</v>
      </c>
      <c r="I63" s="5">
        <v>160.37760924921488</v>
      </c>
      <c r="J63" s="5">
        <v>143.1798189021624</v>
      </c>
      <c r="K63" s="5">
        <v>887.47971201926009</v>
      </c>
      <c r="L63" s="5">
        <v>108.0768752886668</v>
      </c>
      <c r="M63" s="5">
        <v>851.91994629564965</v>
      </c>
      <c r="N63" s="5">
        <v>56.119079339465053</v>
      </c>
      <c r="O63" s="5">
        <v>173.2871502061312</v>
      </c>
    </row>
    <row r="64" spans="2:15" x14ac:dyDescent="0.25">
      <c r="B64" s="15">
        <v>450</v>
      </c>
      <c r="C64" s="5">
        <v>23.5</v>
      </c>
      <c r="D64" s="5">
        <v>152.11100152709446</v>
      </c>
      <c r="E64" s="5">
        <v>820.24733379425993</v>
      </c>
      <c r="F64" s="5">
        <v>117.38561602364186</v>
      </c>
      <c r="G64" s="5">
        <v>770.86558887490139</v>
      </c>
      <c r="H64" s="5">
        <v>57.945575615657937</v>
      </c>
      <c r="I64" s="5">
        <v>160.76647264703266</v>
      </c>
      <c r="J64" s="5">
        <v>147.52089045854169</v>
      </c>
      <c r="K64" s="5">
        <v>882.77457279218368</v>
      </c>
      <c r="L64" s="5">
        <v>112.2415340230345</v>
      </c>
      <c r="M64" s="5">
        <v>846.43458122630852</v>
      </c>
      <c r="N64" s="5">
        <v>56.970011793445003</v>
      </c>
      <c r="O64" s="5">
        <v>173.6673159513561</v>
      </c>
    </row>
    <row r="65" spans="2:15" x14ac:dyDescent="0.25">
      <c r="B65" s="15">
        <v>500</v>
      </c>
      <c r="C65" s="5">
        <v>25</v>
      </c>
      <c r="D65" s="5">
        <v>156.1222405259621</v>
      </c>
      <c r="E65" s="5">
        <v>815.52246880840391</v>
      </c>
      <c r="F65" s="5">
        <v>121.15215012053648</v>
      </c>
      <c r="G65" s="5">
        <v>765.17043750419737</v>
      </c>
      <c r="H65" s="5">
        <v>58.735140660834205</v>
      </c>
      <c r="I65" s="5">
        <v>161.16160169886166</v>
      </c>
      <c r="J65" s="5">
        <v>151.8389814770035</v>
      </c>
      <c r="K65" s="5">
        <v>878.10815671138118</v>
      </c>
      <c r="L65" s="5">
        <v>116.3794000648183</v>
      </c>
      <c r="M65" s="5">
        <v>840.99405225745625</v>
      </c>
      <c r="N65" s="5">
        <v>57.822871235687643</v>
      </c>
      <c r="O65" s="5">
        <v>174.0711215222214</v>
      </c>
    </row>
    <row r="66" spans="2:15" x14ac:dyDescent="0.25">
      <c r="B66" s="15">
        <v>550</v>
      </c>
      <c r="C66" s="5">
        <v>26.5</v>
      </c>
      <c r="D66" s="5">
        <v>160.11044905533242</v>
      </c>
      <c r="E66" s="5">
        <v>810.85475376604688</v>
      </c>
      <c r="F66" s="5">
        <v>124.89097537730567</v>
      </c>
      <c r="G66" s="5">
        <v>759.564493916483</v>
      </c>
      <c r="H66" s="5">
        <v>59.526657401485011</v>
      </c>
      <c r="I66" s="5">
        <v>161.56189533902983</v>
      </c>
      <c r="J66" s="5">
        <v>156.13428559421959</v>
      </c>
      <c r="K66" s="5">
        <v>873.48190858756857</v>
      </c>
      <c r="L66" s="5">
        <v>120.4907017034746</v>
      </c>
      <c r="M66" s="5">
        <v>835.60164387285442</v>
      </c>
      <c r="N66" s="5">
        <v>58.677762156197382</v>
      </c>
      <c r="O66" s="5">
        <v>174.49423004274641</v>
      </c>
    </row>
    <row r="67" spans="2:15" x14ac:dyDescent="0.25">
      <c r="B67" s="15">
        <v>600</v>
      </c>
      <c r="C67" s="5">
        <v>28</v>
      </c>
      <c r="D67" s="5">
        <v>164.07591215772621</v>
      </c>
      <c r="E67" s="5">
        <v>806.24601833582483</v>
      </c>
      <c r="F67" s="5">
        <v>128.60253926602752</v>
      </c>
      <c r="G67" s="5">
        <v>754.05156122789447</v>
      </c>
      <c r="H67" s="5">
        <v>60.320148709509233</v>
      </c>
      <c r="I67" s="5">
        <v>161.96641238049682</v>
      </c>
      <c r="J67" s="5">
        <v>160.4070034547488</v>
      </c>
      <c r="K67" s="5">
        <v>868.89724435846222</v>
      </c>
      <c r="L67" s="5">
        <v>124.5756833908703</v>
      </c>
      <c r="M67" s="5">
        <v>830.2606596077286</v>
      </c>
      <c r="N67" s="5">
        <v>59.534770035388831</v>
      </c>
      <c r="O67" s="5">
        <v>174.93314967554269</v>
      </c>
    </row>
    <row r="68" spans="2:15" x14ac:dyDescent="0.25">
      <c r="B68" s="15">
        <v>650</v>
      </c>
      <c r="C68" s="5">
        <v>29.5</v>
      </c>
      <c r="D68" s="5">
        <v>168.01892347570219</v>
      </c>
      <c r="E68" s="5">
        <v>801.69794018646473</v>
      </c>
      <c r="F68" s="5">
        <v>132.28730662468095</v>
      </c>
      <c r="G68" s="5">
        <v>748.63493969247509</v>
      </c>
      <c r="H68" s="5">
        <v>61.115633193748572</v>
      </c>
      <c r="I68" s="5">
        <v>162.37434658296286</v>
      </c>
      <c r="J68" s="5">
        <v>164.65734259893159</v>
      </c>
      <c r="K68" s="5">
        <v>864.35556197154074</v>
      </c>
      <c r="L68" s="5">
        <v>128.6346057983711</v>
      </c>
      <c r="M68" s="5">
        <v>824.97440504122233</v>
      </c>
      <c r="N68" s="5">
        <v>60.393964903905619</v>
      </c>
      <c r="O68" s="5">
        <v>175.385018717165</v>
      </c>
    </row>
    <row r="69" spans="2:15" x14ac:dyDescent="0.25">
      <c r="B69" s="15">
        <v>700</v>
      </c>
      <c r="C69" s="5">
        <v>31</v>
      </c>
      <c r="D69" s="5">
        <v>171.93978442887101</v>
      </c>
      <c r="E69" s="5">
        <v>797.21201566463969</v>
      </c>
      <c r="F69" s="5">
        <v>135.94575723768324</v>
      </c>
      <c r="G69" s="5">
        <v>743.3174468346283</v>
      </c>
      <c r="H69" s="5">
        <v>61.913125807204182</v>
      </c>
      <c r="I69" s="5">
        <v>162.78500578033623</v>
      </c>
      <c r="J69" s="5">
        <v>168.88551739156031</v>
      </c>
      <c r="K69" s="5">
        <v>859.85824705420976</v>
      </c>
      <c r="L69" s="5">
        <v>132.6677457476095</v>
      </c>
      <c r="M69" s="5">
        <v>819.74615425736431</v>
      </c>
      <c r="N69" s="5">
        <v>61.255404045156617</v>
      </c>
      <c r="O69" s="5">
        <v>175.84746215970779</v>
      </c>
    </row>
    <row r="70" spans="2:15" x14ac:dyDescent="0.25">
      <c r="B70" s="15">
        <v>750</v>
      </c>
      <c r="C70" s="5">
        <v>32.5</v>
      </c>
      <c r="D70" s="5">
        <v>175.8388032658045</v>
      </c>
      <c r="E70" s="5">
        <v>792.78953818349248</v>
      </c>
      <c r="F70" s="5">
        <v>139.5783835328474</v>
      </c>
      <c r="G70" s="5">
        <v>738.10144290494725</v>
      </c>
      <c r="H70" s="5">
        <v>62.712638360362611</v>
      </c>
      <c r="I70" s="5">
        <v>163.19779422794545</v>
      </c>
      <c r="J70" s="5">
        <v>173.09174896231849</v>
      </c>
      <c r="K70" s="5">
        <v>855.40667218201588</v>
      </c>
      <c r="L70" s="5">
        <v>136.6753959411524</v>
      </c>
      <c r="M70" s="5">
        <v>814.57910309335955</v>
      </c>
      <c r="N70" s="5">
        <v>62.119134114436157</v>
      </c>
      <c r="O70" s="5">
        <v>176.3184920198822</v>
      </c>
    </row>
    <row r="71" spans="2:15" x14ac:dyDescent="0.25">
      <c r="B71" s="15">
        <v>800</v>
      </c>
      <c r="C71" s="5">
        <v>34</v>
      </c>
      <c r="D71" s="5">
        <v>179.71629403339674</v>
      </c>
      <c r="E71" s="5">
        <v>788.43158595982391</v>
      </c>
      <c r="F71" s="5">
        <v>143.18568839769392</v>
      </c>
      <c r="G71" s="5">
        <v>732.98885308332717</v>
      </c>
      <c r="H71" s="5">
        <v>63.514179954897848</v>
      </c>
      <c r="I71" s="5">
        <v>163.61219760549773</v>
      </c>
      <c r="J71" s="5">
        <v>177.27626512552101</v>
      </c>
      <c r="K71" s="5">
        <v>851.00218948102599</v>
      </c>
      <c r="L71" s="5">
        <v>140.65786444165681</v>
      </c>
      <c r="M71" s="5">
        <v>809.47631470365286</v>
      </c>
      <c r="N71" s="5">
        <v>62.985192844205663</v>
      </c>
      <c r="O71" s="5">
        <v>176.79643510684511</v>
      </c>
    </row>
    <row r="72" spans="2:15" x14ac:dyDescent="0.25">
      <c r="B72" s="15">
        <v>850</v>
      </c>
      <c r="C72" s="5">
        <v>35.5</v>
      </c>
      <c r="D72" s="5">
        <v>183.57257551082256</v>
      </c>
      <c r="E72" s="5">
        <v>784.13901940178368</v>
      </c>
      <c r="F72" s="5">
        <v>146.76818308560837</v>
      </c>
      <c r="G72" s="5">
        <v>727.98118185019678</v>
      </c>
      <c r="H72" s="5">
        <v>64.317757349714327</v>
      </c>
      <c r="I72" s="5">
        <v>164.02777027996802</v>
      </c>
      <c r="J72" s="5">
        <v>181.43930024805519</v>
      </c>
      <c r="K72" s="5">
        <v>846.64611733448464</v>
      </c>
      <c r="L72" s="5">
        <v>144.61547387863601</v>
      </c>
      <c r="M72" s="5">
        <v>804.44066408788944</v>
      </c>
      <c r="N72" s="5">
        <v>63.853610443206122</v>
      </c>
      <c r="O72" s="5">
        <v>177.27987846440661</v>
      </c>
    </row>
    <row r="73" spans="2:15" x14ac:dyDescent="0.25">
      <c r="B73" s="15">
        <v>900</v>
      </c>
      <c r="C73" s="5">
        <v>37</v>
      </c>
      <c r="D73" s="5">
        <v>187.40797015367133</v>
      </c>
      <c r="E73" s="5">
        <v>779.91248729654342</v>
      </c>
      <c r="F73" s="5">
        <v>150.32638517168738</v>
      </c>
      <c r="G73" s="5">
        <v>723.07951954972702</v>
      </c>
      <c r="H73" s="5">
        <v>65.123375269629022</v>
      </c>
      <c r="I73" s="5">
        <v>164.44412453165725</v>
      </c>
      <c r="J73" s="5">
        <v>185.58109504021709</v>
      </c>
      <c r="K73" s="5">
        <v>842.33972272629626</v>
      </c>
      <c r="L73" s="5">
        <v>148.5485603943242</v>
      </c>
      <c r="M73" s="5">
        <v>799.47478794284075</v>
      </c>
      <c r="N73" s="5">
        <v>64.724410759818767</v>
      </c>
      <c r="O73" s="5">
        <v>177.76762657287509</v>
      </c>
    </row>
    <row r="74" spans="2:15" x14ac:dyDescent="0.25">
      <c r="B74" s="15">
        <v>950</v>
      </c>
      <c r="C74" s="5">
        <v>38.5</v>
      </c>
      <c r="D74" s="5">
        <v>191.22280308741125</v>
      </c>
      <c r="E74" s="5">
        <v>775.75244012547796</v>
      </c>
      <c r="F74" s="5">
        <v>153.86081652844035</v>
      </c>
      <c r="G74" s="5">
        <v>718.28454494400569</v>
      </c>
      <c r="H74" s="5">
        <v>65.931036665690229</v>
      </c>
      <c r="I74" s="5">
        <v>164.86092150215964</v>
      </c>
      <c r="J74" s="5">
        <v>189.7018962532259</v>
      </c>
      <c r="K74" s="5">
        <v>838.08420130895161</v>
      </c>
      <c r="L74" s="5">
        <v>152.4574723682469</v>
      </c>
      <c r="M74" s="5">
        <v>794.58104484150067</v>
      </c>
      <c r="N74" s="5">
        <v>65.597612257397259</v>
      </c>
      <c r="O74" s="5">
        <v>178.25866668657179</v>
      </c>
    </row>
    <row r="75" spans="2:15" x14ac:dyDescent="0.25">
      <c r="B75" s="15">
        <v>1000</v>
      </c>
      <c r="C75" s="5">
        <v>40</v>
      </c>
      <c r="D75" s="5">
        <v>195.01740117986344</v>
      </c>
      <c r="E75" s="5">
        <v>771.65914839665834</v>
      </c>
      <c r="F75" s="5">
        <v>157.3720013160563</v>
      </c>
      <c r="G75" s="5">
        <v>713.59652954285536</v>
      </c>
      <c r="H75" s="5">
        <v>66.740742935030426</v>
      </c>
      <c r="I75" s="5">
        <v>165.27786365243551</v>
      </c>
      <c r="J75" s="5">
        <v>193.8019562780313</v>
      </c>
      <c r="K75" s="5">
        <v>833.88065746306995</v>
      </c>
      <c r="L75" s="5">
        <v>156.34256897962541</v>
      </c>
      <c r="M75" s="5">
        <v>789.7614887078571</v>
      </c>
      <c r="N75" s="5">
        <v>66.473228835324207</v>
      </c>
      <c r="O75" s="5">
        <v>178.75214006440939</v>
      </c>
    </row>
    <row r="76" spans="2:15" x14ac:dyDescent="0.25">
      <c r="B76" s="15">
        <v>1050</v>
      </c>
      <c r="C76" s="5">
        <v>41.5</v>
      </c>
      <c r="D76" s="5">
        <v>198.79209221167758</v>
      </c>
      <c r="E76" s="5">
        <v>767.63272380401418</v>
      </c>
      <c r="F76" s="5">
        <v>160.86046401088927</v>
      </c>
      <c r="G76" s="5">
        <v>709.01534939575038</v>
      </c>
      <c r="H76" s="5">
        <v>67.552494107155084</v>
      </c>
      <c r="I76" s="5">
        <v>165.69468853484133</v>
      </c>
      <c r="J76" s="5">
        <v>197.8815326508965</v>
      </c>
      <c r="K76" s="5">
        <v>829.73008646458027</v>
      </c>
      <c r="L76" s="5">
        <v>160.2042186756909</v>
      </c>
      <c r="M76" s="5">
        <v>785.01785637481521</v>
      </c>
      <c r="N76" s="5">
        <v>67.351270520858037</v>
      </c>
      <c r="O76" s="5">
        <v>179.2473176918887</v>
      </c>
    </row>
    <row r="77" spans="2:15" x14ac:dyDescent="0.25">
      <c r="B77" s="15">
        <v>1100</v>
      </c>
      <c r="C77" s="5">
        <v>43</v>
      </c>
      <c r="D77" s="5">
        <v>202.54720415346492</v>
      </c>
      <c r="E77" s="5">
        <v>763.67314121951949</v>
      </c>
      <c r="F77" s="5">
        <v>164.32672751959655</v>
      </c>
      <c r="G77" s="5">
        <v>704.54050819428869</v>
      </c>
      <c r="H77" s="5">
        <v>68.366289002634076</v>
      </c>
      <c r="I77" s="5">
        <v>166.11116369296403</v>
      </c>
      <c r="J77" s="5">
        <v>201.94088748061549</v>
      </c>
      <c r="K77" s="5">
        <v>825.63336044695302</v>
      </c>
      <c r="L77" s="5">
        <v>164.0427976128814</v>
      </c>
      <c r="M77" s="5">
        <v>780.35156814174218</v>
      </c>
      <c r="N77" s="5">
        <v>68.231744051372317</v>
      </c>
      <c r="O77" s="5">
        <v>179.7435796054763</v>
      </c>
    </row>
    <row r="78" spans="2:15" x14ac:dyDescent="0.25">
      <c r="B78" s="15">
        <v>1150</v>
      </c>
      <c r="C78" s="5">
        <v>44.5</v>
      </c>
      <c r="D78" s="5">
        <v>206.28306454936461</v>
      </c>
      <c r="E78" s="5">
        <v>759.78025989708044</v>
      </c>
      <c r="F78" s="5">
        <v>167.77131143828865</v>
      </c>
      <c r="G78" s="5">
        <v>700.1711727275615</v>
      </c>
      <c r="H78" s="5">
        <v>69.182125369272583</v>
      </c>
      <c r="I78" s="5">
        <v>166.52708251254975</v>
      </c>
      <c r="J78" s="5">
        <v>205.98028681901269</v>
      </c>
      <c r="K78" s="5">
        <v>821.59121924258886</v>
      </c>
      <c r="L78" s="5">
        <v>167.8586881290575</v>
      </c>
      <c r="M78" s="5">
        <v>775.76373897866199</v>
      </c>
      <c r="N78" s="5">
        <v>69.114653363081544</v>
      </c>
      <c r="O78" s="5">
        <v>180.24039723890161</v>
      </c>
    </row>
    <row r="79" spans="2:15" x14ac:dyDescent="0.25">
      <c r="B79" s="15">
        <v>1200</v>
      </c>
      <c r="C79" s="5">
        <v>46</v>
      </c>
      <c r="D79" s="5">
        <v>210</v>
      </c>
      <c r="E79" s="5">
        <v>755.95384271623266</v>
      </c>
      <c r="F79" s="5">
        <v>171.19473051369846</v>
      </c>
      <c r="G79" s="5">
        <v>695.90621886304257</v>
      </c>
      <c r="H79" s="5">
        <v>70</v>
      </c>
      <c r="I79" s="5">
        <v>166.94226085841004</v>
      </c>
      <c r="J79" s="5">
        <v>210</v>
      </c>
      <c r="K79" s="5">
        <v>817.60426652443198</v>
      </c>
      <c r="L79" s="5">
        <v>171.65227729158011</v>
      </c>
      <c r="M79" s="5">
        <v>771.25519744430449</v>
      </c>
      <c r="N79" s="5">
        <v>70</v>
      </c>
      <c r="O79" s="5">
        <v>180.73731839070081</v>
      </c>
    </row>
    <row r="80" spans="2:15" ht="30" customHeight="1" x14ac:dyDescent="0.25">
      <c r="B80" s="74" t="s">
        <v>329</v>
      </c>
      <c r="C80" s="74"/>
      <c r="D80" s="74"/>
      <c r="E80" s="74"/>
      <c r="F80" s="74"/>
      <c r="G80" s="74"/>
      <c r="H80" s="74"/>
      <c r="I80" s="74"/>
    </row>
    <row r="81" spans="2:9" ht="30" customHeight="1" x14ac:dyDescent="0.25">
      <c r="B81" s="74"/>
      <c r="C81" s="74"/>
      <c r="D81" s="74"/>
      <c r="E81" s="74"/>
      <c r="F81" s="74"/>
      <c r="G81" s="74"/>
      <c r="H81" s="74"/>
      <c r="I81" s="74"/>
    </row>
    <row r="82" spans="2:9" x14ac:dyDescent="0.25">
      <c r="B82" s="25" t="s">
        <v>152</v>
      </c>
    </row>
  </sheetData>
  <mergeCells count="11">
    <mergeCell ref="B80:I81"/>
    <mergeCell ref="B29:L29"/>
    <mergeCell ref="B4:J4"/>
    <mergeCell ref="I17:K17"/>
    <mergeCell ref="I18:K18"/>
    <mergeCell ref="I19:K19"/>
    <mergeCell ref="I20:K20"/>
    <mergeCell ref="I23:K23"/>
    <mergeCell ref="I24:K24"/>
    <mergeCell ref="I25:K25"/>
    <mergeCell ref="I26:K26"/>
  </mergeCells>
  <conditionalFormatting sqref="B55:O79">
    <cfRule type="expression" dxfId="21" priority="1">
      <formula>NOT(Stand_ok)</formula>
    </cfRule>
  </conditionalFormatting>
  <conditionalFormatting sqref="C18:G20 C24:G26">
    <cfRule type="expression" dxfId="20" priority="2">
      <formula>NOT(Stand_ok)</formula>
    </cfRule>
  </conditionalFormatting>
  <hyperlinks>
    <hyperlink ref="B3" location="'Übersicht'!A1" display="← zur Übersicht" xr:uid="{00000000-0004-0000-0100-000000000000}"/>
  </hyperlinks>
  <pageMargins left="0.4" right="0.4" top="0.5" bottom="0.5" header="0.3" footer="0.3"/>
  <pageSetup paperSize="9"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A8F11-00F2-4A9B-9A23-1D4EBAAC33AD}">
  <sheetPr>
    <tabColor rgb="FF7F7F7F"/>
    <pageSetUpPr fitToPage="1"/>
  </sheetPr>
  <dimension ref="B1:J51"/>
  <sheetViews>
    <sheetView showGridLines="0" topLeftCell="A4" workbookViewId="0">
      <selection activeCell="E25" sqref="E25:F50"/>
    </sheetView>
  </sheetViews>
  <sheetFormatPr baseColWidth="10" defaultColWidth="9.140625" defaultRowHeight="15" x14ac:dyDescent="0.25"/>
  <cols>
    <col min="1" max="1" width="2.7109375" customWidth="1"/>
    <col min="2" max="2" width="22.7109375" customWidth="1"/>
    <col min="3" max="6" width="15.7109375" customWidth="1"/>
    <col min="7" max="7" width="26.7109375" customWidth="1"/>
    <col min="8" max="8" width="15.7109375" customWidth="1"/>
    <col min="9" max="31" width="9.7109375" customWidth="1"/>
  </cols>
  <sheetData>
    <row r="1" spans="2:8" ht="30" customHeight="1" x14ac:dyDescent="0.25">
      <c r="B1" s="1" t="s">
        <v>154</v>
      </c>
    </row>
    <row r="2" spans="2:8" x14ac:dyDescent="0.25">
      <c r="B2" s="2" t="s">
        <v>155</v>
      </c>
    </row>
    <row r="3" spans="2:8" x14ac:dyDescent="0.25">
      <c r="B3" s="9" t="s">
        <v>122</v>
      </c>
    </row>
    <row r="4" spans="2:8" ht="105.6" customHeight="1" x14ac:dyDescent="0.25">
      <c r="B4" s="83" t="s">
        <v>522</v>
      </c>
      <c r="C4" s="83"/>
      <c r="D4" s="83"/>
      <c r="E4" s="83"/>
      <c r="F4" s="83"/>
      <c r="G4" s="83"/>
      <c r="H4" s="83"/>
    </row>
    <row r="6" spans="2:8" x14ac:dyDescent="0.25">
      <c r="B6" s="3" t="s">
        <v>156</v>
      </c>
    </row>
    <row r="7" spans="2:8" ht="25.5" x14ac:dyDescent="0.25">
      <c r="B7" s="12" t="s">
        <v>157</v>
      </c>
      <c r="C7" s="12" t="s">
        <v>330</v>
      </c>
      <c r="D7" s="12" t="s">
        <v>518</v>
      </c>
      <c r="E7" s="12" t="s">
        <v>158</v>
      </c>
      <c r="F7" s="12" t="s">
        <v>159</v>
      </c>
      <c r="G7" s="12" t="s">
        <v>160</v>
      </c>
    </row>
    <row r="8" spans="2:8" x14ac:dyDescent="0.25">
      <c r="B8" s="15">
        <v>600</v>
      </c>
      <c r="C8" s="5">
        <v>158.49007700975989</v>
      </c>
      <c r="D8" s="5">
        <v>155.16616512291739</v>
      </c>
      <c r="E8" s="5">
        <v>200.16600942229849</v>
      </c>
      <c r="F8" s="5">
        <v>209.095008669397</v>
      </c>
      <c r="G8" s="6">
        <f t="shared" ref="G8:G13" si="0">pmax_V1</f>
        <v>210</v>
      </c>
    </row>
    <row r="9" spans="2:8" x14ac:dyDescent="0.25">
      <c r="B9" s="15">
        <v>800</v>
      </c>
      <c r="C9" s="5">
        <v>142.98603185892631</v>
      </c>
      <c r="D9" s="5">
        <v>138.41709225398901</v>
      </c>
      <c r="E9" s="5">
        <v>197.20927492428419</v>
      </c>
      <c r="F9" s="5">
        <v>208.80500493947619</v>
      </c>
      <c r="G9" s="6">
        <f t="shared" si="0"/>
        <v>210</v>
      </c>
    </row>
    <row r="10" spans="2:8" x14ac:dyDescent="0.25">
      <c r="B10" s="15">
        <v>1000</v>
      </c>
      <c r="C10" s="5">
        <v>128.43730033737981</v>
      </c>
      <c r="D10" s="5">
        <v>122.5367242536628</v>
      </c>
      <c r="E10" s="5">
        <v>194.39267671096141</v>
      </c>
      <c r="F10" s="5">
        <v>208.5204660223911</v>
      </c>
      <c r="G10" s="6">
        <f t="shared" si="0"/>
        <v>210</v>
      </c>
    </row>
    <row r="11" spans="2:8" x14ac:dyDescent="0.25">
      <c r="B11" s="15">
        <v>1200</v>
      </c>
      <c r="C11" s="5">
        <v>114.93130198208927</v>
      </c>
      <c r="D11" s="5">
        <v>107.603219569636</v>
      </c>
      <c r="E11" s="5">
        <v>191.70534274066219</v>
      </c>
      <c r="F11" s="5">
        <v>208.241191221202</v>
      </c>
      <c r="G11" s="6">
        <f t="shared" si="0"/>
        <v>210</v>
      </c>
    </row>
    <row r="12" spans="2:8" x14ac:dyDescent="0.25">
      <c r="B12" s="15">
        <v>1400</v>
      </c>
      <c r="C12" s="5">
        <v>102.56218916081785</v>
      </c>
      <c r="D12" s="5">
        <v>93.70583884822787</v>
      </c>
      <c r="E12" s="5">
        <v>189.1373555557519</v>
      </c>
      <c r="F12" s="5">
        <v>207.9669908462842</v>
      </c>
      <c r="G12" s="6">
        <f t="shared" si="0"/>
        <v>210</v>
      </c>
    </row>
    <row r="13" spans="2:8" x14ac:dyDescent="0.25">
      <c r="B13" s="15">
        <v>1600</v>
      </c>
      <c r="C13" s="5">
        <v>91.424680354495692</v>
      </c>
      <c r="D13" s="5">
        <v>80.943840898339673</v>
      </c>
      <c r="E13" s="5">
        <v>186.67970597588419</v>
      </c>
      <c r="F13" s="5">
        <v>207.697685413979</v>
      </c>
      <c r="G13" s="6">
        <f t="shared" si="0"/>
        <v>210</v>
      </c>
    </row>
    <row r="14" spans="2:8" x14ac:dyDescent="0.25">
      <c r="B14" s="25" t="s">
        <v>331</v>
      </c>
    </row>
    <row r="16" spans="2:8" x14ac:dyDescent="0.25">
      <c r="B16" s="3" t="s">
        <v>161</v>
      </c>
    </row>
    <row r="17" spans="2:10" ht="25.5" x14ac:dyDescent="0.25">
      <c r="B17" s="12" t="s">
        <v>162</v>
      </c>
      <c r="C17" s="12" t="s">
        <v>132</v>
      </c>
      <c r="D17" s="12" t="s">
        <v>136</v>
      </c>
      <c r="E17" s="12" t="s">
        <v>134</v>
      </c>
      <c r="F17" s="12" t="s">
        <v>135</v>
      </c>
      <c r="G17" s="12" t="s">
        <v>163</v>
      </c>
    </row>
    <row r="18" spans="2:10" x14ac:dyDescent="0.25">
      <c r="B18" s="10" t="s">
        <v>332</v>
      </c>
      <c r="C18" s="5">
        <v>114.93130198208927</v>
      </c>
      <c r="D18" s="7">
        <f>pmax_V1-C18</f>
        <v>95.068698017910734</v>
      </c>
      <c r="E18" s="5">
        <v>865.00462248909491</v>
      </c>
      <c r="F18" s="5">
        <v>755.95384271623266</v>
      </c>
      <c r="G18" s="13" t="s">
        <v>333</v>
      </c>
    </row>
    <row r="19" spans="2:10" x14ac:dyDescent="0.25">
      <c r="B19" s="10" t="s">
        <v>392</v>
      </c>
      <c r="C19" s="5">
        <v>107.603219569636</v>
      </c>
      <c r="D19" s="7">
        <f>pmax_V1-C19</f>
        <v>102.396780430364</v>
      </c>
      <c r="E19" s="5">
        <v>926.32203680404973</v>
      </c>
      <c r="F19" s="5">
        <v>817.60426652443198</v>
      </c>
      <c r="G19" s="13" t="s">
        <v>519</v>
      </c>
    </row>
    <row r="20" spans="2:10" x14ac:dyDescent="0.25">
      <c r="B20" s="10" t="s">
        <v>164</v>
      </c>
      <c r="C20" s="5">
        <v>191.70534274066219</v>
      </c>
      <c r="D20" s="7">
        <f>pmax_V1-C20</f>
        <v>18.294657259337811</v>
      </c>
      <c r="E20" s="5">
        <v>167.47194088154569</v>
      </c>
      <c r="F20" s="5">
        <v>145.1794721555662</v>
      </c>
      <c r="G20" s="13" t="s">
        <v>165</v>
      </c>
    </row>
    <row r="21" spans="2:10" x14ac:dyDescent="0.25">
      <c r="B21" s="10" t="s">
        <v>166</v>
      </c>
      <c r="C21" s="5">
        <v>208.241191221202</v>
      </c>
      <c r="D21" s="7">
        <f>pmax_V1-C21</f>
        <v>1.7588087787979987</v>
      </c>
      <c r="E21" s="5">
        <v>15.72883088966589</v>
      </c>
      <c r="F21" s="5">
        <v>14.21068755165444</v>
      </c>
      <c r="G21" s="13" t="s">
        <v>167</v>
      </c>
    </row>
    <row r="22" spans="2:10" x14ac:dyDescent="0.25">
      <c r="B22" s="25" t="s">
        <v>168</v>
      </c>
    </row>
    <row r="24" spans="2:10" x14ac:dyDescent="0.25">
      <c r="B24" s="3" t="s">
        <v>169</v>
      </c>
    </row>
    <row r="25" spans="2:10" ht="30" customHeight="1" x14ac:dyDescent="0.25">
      <c r="B25" s="12" t="s">
        <v>144</v>
      </c>
      <c r="C25" s="12" t="s">
        <v>334</v>
      </c>
      <c r="D25" s="12" t="s">
        <v>335</v>
      </c>
      <c r="E25" s="12" t="s">
        <v>520</v>
      </c>
      <c r="F25" s="12" t="s">
        <v>521</v>
      </c>
      <c r="G25" s="12" t="s">
        <v>170</v>
      </c>
      <c r="H25" s="12" t="s">
        <v>171</v>
      </c>
      <c r="I25" s="12" t="s">
        <v>172</v>
      </c>
      <c r="J25" s="12" t="s">
        <v>173</v>
      </c>
    </row>
    <row r="26" spans="2:10" x14ac:dyDescent="0.25">
      <c r="B26" s="15">
        <v>0</v>
      </c>
      <c r="C26" s="5">
        <v>114.93130198208927</v>
      </c>
      <c r="D26" s="5">
        <v>865.00462248909491</v>
      </c>
      <c r="E26" s="5">
        <v>107.603219569636</v>
      </c>
      <c r="F26" s="5">
        <v>926.32203680404973</v>
      </c>
      <c r="G26" s="5">
        <v>191.70534274066219</v>
      </c>
      <c r="H26" s="5">
        <v>167.47194088154569</v>
      </c>
      <c r="I26" s="5">
        <v>208.241191221202</v>
      </c>
      <c r="J26" s="5">
        <v>15.72883088966589</v>
      </c>
    </row>
    <row r="27" spans="2:10" x14ac:dyDescent="0.25">
      <c r="B27" s="15">
        <v>50</v>
      </c>
      <c r="C27" s="5">
        <v>119.16100924115156</v>
      </c>
      <c r="D27" s="5">
        <v>859.85864841570958</v>
      </c>
      <c r="E27" s="5">
        <v>112.1341797962734</v>
      </c>
      <c r="F27" s="5">
        <v>921.36648651154201</v>
      </c>
      <c r="G27" s="5">
        <v>192.52379911027771</v>
      </c>
      <c r="H27" s="5">
        <v>166.30248093904169</v>
      </c>
      <c r="I27" s="5">
        <v>208.31816153818531</v>
      </c>
      <c r="J27" s="5">
        <v>15.658526475721811</v>
      </c>
    </row>
    <row r="28" spans="2:10" x14ac:dyDescent="0.25">
      <c r="B28" s="15">
        <v>100</v>
      </c>
      <c r="C28" s="5">
        <v>123.36557182169967</v>
      </c>
      <c r="D28" s="5">
        <v>854.75080521050813</v>
      </c>
      <c r="E28" s="5">
        <v>116.6408956363133</v>
      </c>
      <c r="F28" s="5">
        <v>916.43579278043831</v>
      </c>
      <c r="G28" s="5">
        <v>193.33658532431599</v>
      </c>
      <c r="H28" s="5">
        <v>165.15879048578961</v>
      </c>
      <c r="I28" s="5">
        <v>208.39478875352</v>
      </c>
      <c r="J28" s="5">
        <v>15.58890317551354</v>
      </c>
    </row>
    <row r="29" spans="2:10" x14ac:dyDescent="0.25">
      <c r="B29" s="15">
        <v>150</v>
      </c>
      <c r="C29" s="5">
        <v>127.54518251936265</v>
      </c>
      <c r="D29" s="5">
        <v>849.68334164926944</v>
      </c>
      <c r="E29" s="5">
        <v>121.12349405283589</v>
      </c>
      <c r="F29" s="5">
        <v>911.53192593962672</v>
      </c>
      <c r="G29" s="5">
        <v>194.14382581401239</v>
      </c>
      <c r="H29" s="5">
        <v>164.04010122956171</v>
      </c>
      <c r="I29" s="5">
        <v>208.4710761816751</v>
      </c>
      <c r="J29" s="5">
        <v>15.51995067544083</v>
      </c>
    </row>
    <row r="30" spans="2:10" x14ac:dyDescent="0.25">
      <c r="B30" s="15">
        <v>200</v>
      </c>
      <c r="C30" s="5">
        <v>131.70004500354221</v>
      </c>
      <c r="D30" s="5">
        <v>844.65844859753247</v>
      </c>
      <c r="E30" s="5">
        <v>125.58211155495179</v>
      </c>
      <c r="F30" s="5">
        <v>906.65680676935699</v>
      </c>
      <c r="G30" s="5">
        <v>194.9456412954687</v>
      </c>
      <c r="H30" s="5">
        <v>162.94566582252301</v>
      </c>
      <c r="I30" s="5">
        <v>208.54702708707711</v>
      </c>
      <c r="J30" s="5">
        <v>15.451658875090439</v>
      </c>
    </row>
    <row r="31" spans="2:10" x14ac:dyDescent="0.25">
      <c r="B31" s="15">
        <v>250</v>
      </c>
      <c r="C31" s="5">
        <v>135.83037358755291</v>
      </c>
      <c r="D31" s="5">
        <v>839.67827998832161</v>
      </c>
      <c r="E31" s="5">
        <v>130.0168939094205</v>
      </c>
      <c r="F31" s="5">
        <v>901.81228956803068</v>
      </c>
      <c r="G31" s="5">
        <v>195.74214887277981</v>
      </c>
      <c r="H31" s="5">
        <v>161.8747579957838</v>
      </c>
      <c r="I31" s="5">
        <v>208.62264468514221</v>
      </c>
      <c r="J31" s="5">
        <v>15.384017881660309</v>
      </c>
    </row>
    <row r="32" spans="2:10" x14ac:dyDescent="0.25">
      <c r="B32" s="15">
        <v>300</v>
      </c>
      <c r="C32" s="5">
        <v>139.93639309319369</v>
      </c>
      <c r="D32" s="5">
        <v>834.74496973294981</v>
      </c>
      <c r="E32" s="5">
        <v>134.42799578384981</v>
      </c>
      <c r="F32" s="5">
        <v>897.00015115065344</v>
      </c>
      <c r="G32" s="5">
        <v>196.53346214151821</v>
      </c>
      <c r="H32" s="5">
        <v>160.82667257889869</v>
      </c>
      <c r="I32" s="5">
        <v>208.69793214327979</v>
      </c>
      <c r="J32" s="5">
        <v>15.317018004559401</v>
      </c>
    </row>
    <row r="33" spans="2:10" x14ac:dyDescent="0.25">
      <c r="B33" s="15">
        <v>350</v>
      </c>
      <c r="C33" s="5">
        <v>144.01833877875904</v>
      </c>
      <c r="D33" s="5">
        <v>829.86064042185444</v>
      </c>
      <c r="E33" s="5">
        <v>138.81558035303229</v>
      </c>
      <c r="F33" s="5">
        <v>892.222086630273</v>
      </c>
      <c r="G33" s="5">
        <v>197.31969129205709</v>
      </c>
      <c r="H33" s="5">
        <v>159.80072542001329</v>
      </c>
      <c r="I33" s="5">
        <v>208.7728925818721</v>
      </c>
      <c r="J33" s="5">
        <v>15.250649750176891</v>
      </c>
    </row>
    <row r="34" spans="2:10" x14ac:dyDescent="0.25">
      <c r="B34" s="15">
        <v>400</v>
      </c>
      <c r="C34" s="5">
        <v>148.07645628272289</v>
      </c>
      <c r="D34" s="5">
        <v>825.02740115879669</v>
      </c>
      <c r="E34" s="5">
        <v>143.1798189021624</v>
      </c>
      <c r="F34" s="5">
        <v>887.47971201926009</v>
      </c>
      <c r="G34" s="5">
        <v>198.10094321227609</v>
      </c>
      <c r="H34" s="5">
        <v>158.79625322078871</v>
      </c>
      <c r="I34" s="5">
        <v>208.84752907522599</v>
      </c>
      <c r="J34" s="5">
        <v>15.184903816814449</v>
      </c>
    </row>
    <row r="35" spans="2:10" x14ac:dyDescent="0.25">
      <c r="B35" s="15">
        <v>450</v>
      </c>
      <c r="C35" s="5">
        <v>152.11100152709446</v>
      </c>
      <c r="D35" s="5">
        <v>820.24733379425993</v>
      </c>
      <c r="E35" s="5">
        <v>147.52089045854169</v>
      </c>
      <c r="F35" s="5">
        <v>882.77457279218368</v>
      </c>
      <c r="G35" s="5">
        <v>198.87732158927039</v>
      </c>
      <c r="H35" s="5">
        <v>157.81261329878919</v>
      </c>
      <c r="I35" s="5">
        <v>208.92184465250301</v>
      </c>
      <c r="J35" s="5">
        <v>15.11977108977571</v>
      </c>
    </row>
    <row r="36" spans="2:10" x14ac:dyDescent="0.25">
      <c r="B36" s="15">
        <v>500</v>
      </c>
      <c r="C36" s="5">
        <v>156.1222405259621</v>
      </c>
      <c r="D36" s="5">
        <v>815.52246880840391</v>
      </c>
      <c r="E36" s="5">
        <v>151.8389814770035</v>
      </c>
      <c r="F36" s="5">
        <v>878.10815671138118</v>
      </c>
      <c r="G36" s="5">
        <v>199.64892700973121</v>
      </c>
      <c r="H36" s="5">
        <v>156.84918328867781</v>
      </c>
      <c r="I36" s="5">
        <v>208.99584229862339</v>
      </c>
      <c r="J36" s="5">
        <v>15.055242636607121</v>
      </c>
    </row>
    <row r="37" spans="2:10" x14ac:dyDescent="0.25">
      <c r="B37" s="15">
        <v>550</v>
      </c>
      <c r="C37" s="5">
        <v>160.11044905533242</v>
      </c>
      <c r="D37" s="5">
        <v>810.85475376604688</v>
      </c>
      <c r="E37" s="5">
        <v>156.13428559421959</v>
      </c>
      <c r="F37" s="5">
        <v>873.48190858756857</v>
      </c>
      <c r="G37" s="5">
        <v>200.41585705872819</v>
      </c>
      <c r="H37" s="5">
        <v>155.9053607923434</v>
      </c>
      <c r="I37" s="5">
        <v>209.06952495514909</v>
      </c>
      <c r="J37" s="5">
        <v>14.991309702485021</v>
      </c>
    </row>
    <row r="38" spans="2:10" x14ac:dyDescent="0.25">
      <c r="B38" s="15">
        <v>600</v>
      </c>
      <c r="C38" s="5">
        <v>164.07591215772621</v>
      </c>
      <c r="D38" s="5">
        <v>806.24601833582483</v>
      </c>
      <c r="E38" s="5">
        <v>160.4070034547488</v>
      </c>
      <c r="F38" s="5">
        <v>868.89724435846222</v>
      </c>
      <c r="G38" s="5">
        <v>201.17820641666481</v>
      </c>
      <c r="H38" s="5">
        <v>154.98056298695971</v>
      </c>
      <c r="I38" s="5">
        <v>209.1428955211428</v>
      </c>
      <c r="J38" s="5">
        <v>14.92796370574345</v>
      </c>
    </row>
    <row r="39" spans="2:10" x14ac:dyDescent="0.25">
      <c r="B39" s="15">
        <v>650</v>
      </c>
      <c r="C39" s="5">
        <v>168.01892347570219</v>
      </c>
      <c r="D39" s="5">
        <v>801.69794018646473</v>
      </c>
      <c r="E39" s="5">
        <v>164.65734259893159</v>
      </c>
      <c r="F39" s="5">
        <v>864.35556197154074</v>
      </c>
      <c r="G39" s="5">
        <v>201.93606695422011</v>
      </c>
      <c r="H39" s="5">
        <v>154.07422619894911</v>
      </c>
      <c r="I39" s="5">
        <v>209.21595685400649</v>
      </c>
      <c r="J39" s="5">
        <v>14.86519623353772</v>
      </c>
    </row>
    <row r="40" spans="2:10" x14ac:dyDescent="0.25">
      <c r="B40" s="15">
        <v>700</v>
      </c>
      <c r="C40" s="5">
        <v>171.93978442887101</v>
      </c>
      <c r="D40" s="5">
        <v>797.21201566463969</v>
      </c>
      <c r="E40" s="5">
        <v>168.88551739156031</v>
      </c>
      <c r="F40" s="5">
        <v>859.85824705420976</v>
      </c>
      <c r="G40" s="5">
        <v>202.68952782513051</v>
      </c>
      <c r="H40" s="5">
        <v>153.1858054508931</v>
      </c>
      <c r="I40" s="5">
        <v>209.28871177029879</v>
      </c>
      <c r="J40" s="5">
        <v>14.80299903763915</v>
      </c>
    </row>
    <row r="41" spans="2:10" x14ac:dyDescent="0.25">
      <c r="B41" s="15">
        <v>750</v>
      </c>
      <c r="C41" s="5">
        <v>175.8388032658045</v>
      </c>
      <c r="D41" s="5">
        <v>792.78953818349248</v>
      </c>
      <c r="E41" s="5">
        <v>173.09174896231849</v>
      </c>
      <c r="F41" s="5">
        <v>855.40667218201588</v>
      </c>
      <c r="G41" s="5">
        <v>203.4386755566926</v>
      </c>
      <c r="H41" s="5">
        <v>152.31477398758091</v>
      </c>
      <c r="I41" s="5">
        <v>209.36116304653191</v>
      </c>
      <c r="J41" s="5">
        <v>14.74136403035596</v>
      </c>
    </row>
    <row r="42" spans="2:10" x14ac:dyDescent="0.25">
      <c r="B42" s="15">
        <v>800</v>
      </c>
      <c r="C42" s="5">
        <v>179.71629403339674</v>
      </c>
      <c r="D42" s="5">
        <v>788.43158595982391</v>
      </c>
      <c r="E42" s="5">
        <v>177.27626512552101</v>
      </c>
      <c r="F42" s="5">
        <v>851.00218948102599</v>
      </c>
      <c r="G42" s="5">
        <v>204.1835941379002</v>
      </c>
      <c r="H42" s="5">
        <v>151.46062278661819</v>
      </c>
      <c r="I42" s="5">
        <v>209.43331341994849</v>
      </c>
      <c r="J42" s="5">
        <v>14.68028328057636</v>
      </c>
    </row>
    <row r="43" spans="2:10" x14ac:dyDescent="0.25">
      <c r="B43" s="15">
        <v>850</v>
      </c>
      <c r="C43" s="5">
        <v>183.57257551082256</v>
      </c>
      <c r="D43" s="5">
        <v>784.13901940178368</v>
      </c>
      <c r="E43" s="5">
        <v>181.43930024805519</v>
      </c>
      <c r="F43" s="5">
        <v>846.64611733448464</v>
      </c>
      <c r="G43" s="5">
        <v>204.92436510515191</v>
      </c>
      <c r="H43" s="5">
        <v>150.6228600583274</v>
      </c>
      <c r="I43" s="5">
        <v>209.50516558928081</v>
      </c>
      <c r="J43" s="5">
        <v>14.619749009929221</v>
      </c>
    </row>
    <row r="44" spans="2:10" x14ac:dyDescent="0.25">
      <c r="B44" s="15">
        <v>900</v>
      </c>
      <c r="C44" s="5">
        <v>187.40797015367133</v>
      </c>
      <c r="D44" s="5">
        <v>779.91248729654342</v>
      </c>
      <c r="E44" s="5">
        <v>185.58109504021709</v>
      </c>
      <c r="F44" s="5">
        <v>842.33972272629626</v>
      </c>
      <c r="G44" s="5">
        <v>205.66106762548699</v>
      </c>
      <c r="H44" s="5">
        <v>149.8010107390447</v>
      </c>
      <c r="I44" s="5">
        <v>209.57672221548941</v>
      </c>
      <c r="J44" s="5">
        <v>14.55975358905833</v>
      </c>
    </row>
    <row r="45" spans="2:10" x14ac:dyDescent="0.25">
      <c r="B45" s="15">
        <v>950</v>
      </c>
      <c r="C45" s="5">
        <v>191.22280308741125</v>
      </c>
      <c r="D45" s="5">
        <v>775.75244012547796</v>
      </c>
      <c r="E45" s="5">
        <v>189.7018962532259</v>
      </c>
      <c r="F45" s="5">
        <v>838.08420130895161</v>
      </c>
      <c r="G45" s="5">
        <v>206.3937785773266</v>
      </c>
      <c r="H45" s="5">
        <v>148.9946159813571</v>
      </c>
      <c r="I45" s="5">
        <v>209.6479859224853</v>
      </c>
      <c r="J45" s="5">
        <v>14.50028953400642</v>
      </c>
    </row>
    <row r="46" spans="2:10" x14ac:dyDescent="0.25">
      <c r="B46" s="15">
        <v>1000</v>
      </c>
      <c r="C46" s="5">
        <v>195.01740117986344</v>
      </c>
      <c r="D46" s="5">
        <v>771.65914839665834</v>
      </c>
      <c r="E46" s="5">
        <v>193.8019562780313</v>
      </c>
      <c r="F46" s="5">
        <v>833.88065746306995</v>
      </c>
      <c r="G46" s="5">
        <v>207.1225726287141</v>
      </c>
      <c r="H46" s="5">
        <v>148.20323264432341</v>
      </c>
      <c r="I46" s="5">
        <v>209.71895929783389</v>
      </c>
      <c r="J46" s="5">
        <v>14.44134950270513</v>
      </c>
    </row>
    <row r="47" spans="2:10" x14ac:dyDescent="0.25">
      <c r="B47" s="15">
        <v>1050</v>
      </c>
      <c r="C47" s="5">
        <v>198.79209221167758</v>
      </c>
      <c r="D47" s="5">
        <v>767.63272380401418</v>
      </c>
      <c r="E47" s="5">
        <v>197.8815326508965</v>
      </c>
      <c r="F47" s="5">
        <v>829.73008646458027</v>
      </c>
      <c r="G47" s="5">
        <v>207.84752231306001</v>
      </c>
      <c r="H47" s="5">
        <v>147.42643278627671</v>
      </c>
      <c r="I47" s="5">
        <v>209.78964489344239</v>
      </c>
      <c r="J47" s="5">
        <v>14.382926291567189</v>
      </c>
    </row>
    <row r="48" spans="2:10" x14ac:dyDescent="0.25">
      <c r="B48" s="15">
        <v>1100</v>
      </c>
      <c r="C48" s="5">
        <v>202.54720415346492</v>
      </c>
      <c r="D48" s="5">
        <v>763.67314121951949</v>
      </c>
      <c r="E48" s="5">
        <v>201.94088748061549</v>
      </c>
      <c r="F48" s="5">
        <v>825.63336044695302</v>
      </c>
      <c r="G48" s="5">
        <v>208.56869810241059</v>
      </c>
      <c r="H48" s="5">
        <v>146.6638031624037</v>
      </c>
      <c r="I48" s="5">
        <v>209.86004522623051</v>
      </c>
      <c r="J48" s="5">
        <v>14.32501283217746</v>
      </c>
    </row>
    <row r="49" spans="2:10" x14ac:dyDescent="0.25">
      <c r="B49" s="15">
        <v>1150</v>
      </c>
      <c r="C49" s="5">
        <v>206.28306454936461</v>
      </c>
      <c r="D49" s="5">
        <v>759.78025989708044</v>
      </c>
      <c r="E49" s="5">
        <v>205.98028681901269</v>
      </c>
      <c r="F49" s="5">
        <v>821.59121924258886</v>
      </c>
      <c r="G49" s="5">
        <v>209.28616847826811</v>
      </c>
      <c r="H49" s="5">
        <v>145.91494472894709</v>
      </c>
      <c r="I49" s="5">
        <v>209.93016277878519</v>
      </c>
      <c r="J49" s="5">
        <v>14.267602188079531</v>
      </c>
    </row>
    <row r="50" spans="2:10" x14ac:dyDescent="0.25">
      <c r="B50" s="15">
        <v>1200</v>
      </c>
      <c r="C50" s="5">
        <v>210</v>
      </c>
      <c r="D50" s="5">
        <v>755.95384271623266</v>
      </c>
      <c r="E50" s="5">
        <v>210</v>
      </c>
      <c r="F50" s="5">
        <v>817.60426652443198</v>
      </c>
      <c r="G50" s="5">
        <v>210</v>
      </c>
      <c r="H50" s="5">
        <v>145.1794721555662</v>
      </c>
      <c r="I50" s="5">
        <v>210</v>
      </c>
      <c r="J50" s="5">
        <v>14.21068755165444</v>
      </c>
    </row>
    <row r="51" spans="2:10" x14ac:dyDescent="0.25">
      <c r="B51" s="25" t="s">
        <v>174</v>
      </c>
    </row>
  </sheetData>
  <mergeCells count="1">
    <mergeCell ref="B4:H4"/>
  </mergeCells>
  <conditionalFormatting sqref="B8:F13 B26:J50">
    <cfRule type="expression" dxfId="19" priority="1">
      <formula>NOT(Stand_ok)</formula>
    </cfRule>
  </conditionalFormatting>
  <conditionalFormatting sqref="C18:C21">
    <cfRule type="expression" dxfId="18" priority="2">
      <formula>NOT(Stand_ok)</formula>
    </cfRule>
  </conditionalFormatting>
  <conditionalFormatting sqref="E18:F21">
    <cfRule type="expression" dxfId="17" priority="3">
      <formula>NOT(Stand_ok)</formula>
    </cfRule>
  </conditionalFormatting>
  <hyperlinks>
    <hyperlink ref="B3" location="'Übersicht'!A1" display="← zur Übersicht" xr:uid="{00000000-0004-0000-0200-000000000000}"/>
  </hyperlinks>
  <pageMargins left="0.4" right="0.4" top="0.5" bottom="0.5" header="0.3" footer="0.3"/>
  <pageSetup paperSize="9" fitToHeight="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C110E-4E63-4464-AF5C-966FC35C8B42}">
  <sheetPr>
    <tabColor rgb="FF007335"/>
    <pageSetUpPr fitToPage="1"/>
  </sheetPr>
  <dimension ref="B1:I29"/>
  <sheetViews>
    <sheetView showGridLines="0" workbookViewId="0"/>
  </sheetViews>
  <sheetFormatPr baseColWidth="10" defaultColWidth="9.140625" defaultRowHeight="15" x14ac:dyDescent="0.25"/>
  <cols>
    <col min="1" max="1" width="2.7109375" customWidth="1"/>
    <col min="2" max="2" width="5.7109375" customWidth="1"/>
    <col min="3" max="3" width="38.7109375" customWidth="1"/>
    <col min="4" max="4" width="34.7109375" customWidth="1"/>
    <col min="5" max="5" width="17.7109375" customWidth="1"/>
    <col min="6" max="6" width="10.7109375" customWidth="1"/>
    <col min="7" max="7" width="20.7109375" customWidth="1"/>
    <col min="8" max="31" width="9.7109375" customWidth="1"/>
  </cols>
  <sheetData>
    <row r="1" spans="2:7" ht="30" customHeight="1" x14ac:dyDescent="0.25">
      <c r="B1" s="1" t="s">
        <v>336</v>
      </c>
    </row>
    <row r="2" spans="2:7" x14ac:dyDescent="0.25">
      <c r="B2" s="2" t="s">
        <v>175</v>
      </c>
    </row>
    <row r="3" spans="2:7" x14ac:dyDescent="0.25">
      <c r="B3" s="9" t="s">
        <v>122</v>
      </c>
    </row>
    <row r="4" spans="2:7" ht="104.45" customHeight="1" x14ac:dyDescent="0.25">
      <c r="B4" s="83" t="s">
        <v>337</v>
      </c>
      <c r="C4" s="83"/>
      <c r="D4" s="83"/>
      <c r="E4" s="83"/>
      <c r="F4" s="83"/>
      <c r="G4" s="83"/>
    </row>
    <row r="6" spans="2:7" x14ac:dyDescent="0.25">
      <c r="B6" s="3" t="s">
        <v>176</v>
      </c>
    </row>
    <row r="7" spans="2:7" x14ac:dyDescent="0.25">
      <c r="B7" s="12" t="s">
        <v>177</v>
      </c>
      <c r="C7" s="12" t="s">
        <v>178</v>
      </c>
      <c r="D7" s="12" t="s">
        <v>179</v>
      </c>
      <c r="E7" s="12" t="s">
        <v>25</v>
      </c>
      <c r="F7" s="12" t="s">
        <v>26</v>
      </c>
      <c r="G7" s="12" t="s">
        <v>180</v>
      </c>
    </row>
    <row r="8" spans="2:7" x14ac:dyDescent="0.25">
      <c r="B8" s="13">
        <v>1</v>
      </c>
      <c r="C8" s="13" t="s">
        <v>181</v>
      </c>
      <c r="D8" s="13" t="s">
        <v>182</v>
      </c>
      <c r="E8" s="6">
        <f>p_S1</f>
        <v>91</v>
      </c>
      <c r="F8" s="13" t="s">
        <v>33</v>
      </c>
      <c r="G8" s="13" t="s">
        <v>183</v>
      </c>
    </row>
    <row r="9" spans="2:7" x14ac:dyDescent="0.25">
      <c r="B9" s="13">
        <v>2</v>
      </c>
      <c r="C9" s="13" t="s">
        <v>184</v>
      </c>
      <c r="D9" s="13" t="s">
        <v>185</v>
      </c>
      <c r="E9" s="6">
        <f>T_S1</f>
        <v>15</v>
      </c>
      <c r="F9" s="13" t="s">
        <v>37</v>
      </c>
      <c r="G9" s="13" t="s">
        <v>183</v>
      </c>
    </row>
    <row r="10" spans="2:7" x14ac:dyDescent="0.25">
      <c r="B10" s="13">
        <v>3</v>
      </c>
      <c r="C10" s="13" t="s">
        <v>186</v>
      </c>
      <c r="D10" s="13" t="s">
        <v>187</v>
      </c>
      <c r="E10" s="17">
        <v>246.62640532433457</v>
      </c>
      <c r="F10" s="13" t="s">
        <v>112</v>
      </c>
      <c r="G10" s="13" t="s">
        <v>188</v>
      </c>
    </row>
    <row r="11" spans="2:7" x14ac:dyDescent="0.25">
      <c r="B11" s="13">
        <v>4</v>
      </c>
      <c r="C11" s="13" t="s">
        <v>189</v>
      </c>
      <c r="D11" s="13" t="s">
        <v>190</v>
      </c>
      <c r="E11" s="26">
        <v>1.2726354460540883</v>
      </c>
      <c r="F11" s="13" t="s">
        <v>191</v>
      </c>
      <c r="G11" s="13" t="s">
        <v>188</v>
      </c>
    </row>
    <row r="12" spans="2:7" x14ac:dyDescent="0.25">
      <c r="B12" s="13">
        <v>5</v>
      </c>
      <c r="C12" s="13" t="s">
        <v>192</v>
      </c>
      <c r="D12" s="13" t="s">
        <v>193</v>
      </c>
      <c r="E12" s="6">
        <f>Kopf_voll</f>
        <v>114.93130198208927</v>
      </c>
      <c r="F12" s="13" t="s">
        <v>33</v>
      </c>
      <c r="G12" s="13" t="s">
        <v>183</v>
      </c>
    </row>
    <row r="13" spans="2:7" x14ac:dyDescent="0.25">
      <c r="B13" s="13">
        <v>6</v>
      </c>
      <c r="C13" s="13" t="s">
        <v>194</v>
      </c>
      <c r="D13" s="13" t="s">
        <v>195</v>
      </c>
      <c r="E13" s="17">
        <v>249.60521500953919</v>
      </c>
      <c r="F13" s="13" t="s">
        <v>112</v>
      </c>
      <c r="G13" s="13" t="s">
        <v>188</v>
      </c>
    </row>
    <row r="14" spans="2:7" x14ac:dyDescent="0.25">
      <c r="B14" s="13">
        <v>7</v>
      </c>
      <c r="C14" s="13" t="s">
        <v>196</v>
      </c>
      <c r="D14" s="13" t="s">
        <v>197</v>
      </c>
      <c r="E14" s="24">
        <f>eta</f>
        <v>0.8</v>
      </c>
      <c r="F14" s="13" t="s">
        <v>73</v>
      </c>
      <c r="G14" s="13" t="s">
        <v>183</v>
      </c>
    </row>
    <row r="15" spans="2:7" x14ac:dyDescent="0.25">
      <c r="B15" s="13">
        <v>8</v>
      </c>
      <c r="C15" s="13" t="s">
        <v>198</v>
      </c>
      <c r="D15" s="13" t="s">
        <v>199</v>
      </c>
      <c r="E15" s="24">
        <f>Szen1_h1+(Szen1_h2s-Szen1_h1)/eta</f>
        <v>250.34991743084035</v>
      </c>
      <c r="F15" s="13" t="s">
        <v>112</v>
      </c>
      <c r="G15" s="13" t="s">
        <v>200</v>
      </c>
    </row>
    <row r="16" spans="2:7" x14ac:dyDescent="0.25">
      <c r="B16" s="13">
        <v>9</v>
      </c>
      <c r="C16" s="13" t="s">
        <v>201</v>
      </c>
      <c r="D16" s="13" t="s">
        <v>202</v>
      </c>
      <c r="E16" s="17">
        <v>18.395619226701889</v>
      </c>
      <c r="F16" s="13" t="s">
        <v>37</v>
      </c>
      <c r="G16" s="13" t="s">
        <v>188</v>
      </c>
    </row>
    <row r="17" spans="2:9" x14ac:dyDescent="0.25">
      <c r="B17" s="13">
        <v>10</v>
      </c>
      <c r="C17" s="13" t="s">
        <v>203</v>
      </c>
      <c r="D17" s="13" t="s">
        <v>204</v>
      </c>
      <c r="E17" s="27" t="s">
        <v>338</v>
      </c>
      <c r="F17" s="13" t="s">
        <v>73</v>
      </c>
      <c r="G17" s="13" t="s">
        <v>188</v>
      </c>
    </row>
    <row r="18" spans="2:9" x14ac:dyDescent="0.25">
      <c r="B18" s="13">
        <v>11</v>
      </c>
      <c r="C18" s="13" t="s">
        <v>205</v>
      </c>
      <c r="D18" s="13" t="s">
        <v>206</v>
      </c>
      <c r="E18" s="21">
        <f>Szen1_h2-Szen1_h1</f>
        <v>3.7235121065057797</v>
      </c>
      <c r="F18" s="13" t="s">
        <v>112</v>
      </c>
      <c r="G18" s="13" t="s">
        <v>207</v>
      </c>
    </row>
    <row r="19" spans="2:9" x14ac:dyDescent="0.25">
      <c r="B19" s="13">
        <v>12</v>
      </c>
      <c r="C19" s="13" t="s">
        <v>339</v>
      </c>
      <c r="D19" s="13" t="s">
        <v>208</v>
      </c>
      <c r="E19" s="26">
        <v>1.9342849983910624</v>
      </c>
      <c r="F19" s="13" t="s">
        <v>69</v>
      </c>
      <c r="G19" s="13" t="s">
        <v>188</v>
      </c>
    </row>
    <row r="20" spans="2:9" x14ac:dyDescent="0.25">
      <c r="B20" s="13">
        <v>13</v>
      </c>
      <c r="C20" s="13" t="s">
        <v>209</v>
      </c>
      <c r="D20" s="13" t="s">
        <v>210</v>
      </c>
      <c r="E20" s="24">
        <f>V_min*rho_n/3600</f>
        <v>26.865069422098088</v>
      </c>
      <c r="F20" s="13" t="s">
        <v>211</v>
      </c>
      <c r="G20" s="13" t="s">
        <v>200</v>
      </c>
    </row>
    <row r="21" spans="2:9" x14ac:dyDescent="0.25">
      <c r="B21" s="13">
        <v>14</v>
      </c>
      <c r="C21" s="13" t="s">
        <v>212</v>
      </c>
      <c r="D21" s="13" t="s">
        <v>213</v>
      </c>
      <c r="E21" s="24">
        <f>V_max*rho_n/3600</f>
        <v>53.730138844196176</v>
      </c>
      <c r="F21" s="13" t="s">
        <v>211</v>
      </c>
      <c r="G21" s="13" t="s">
        <v>200</v>
      </c>
    </row>
    <row r="22" spans="2:9" x14ac:dyDescent="0.25">
      <c r="B22" s="13">
        <v>15</v>
      </c>
      <c r="C22" s="13" t="s">
        <v>214</v>
      </c>
      <c r="D22" s="13" t="s">
        <v>215</v>
      </c>
      <c r="E22" s="7">
        <f>Szen1_mmin*Szen1_w</f>
        <v>100.03241123530046</v>
      </c>
      <c r="F22" s="13" t="s">
        <v>115</v>
      </c>
      <c r="G22" s="13" t="s">
        <v>207</v>
      </c>
    </row>
    <row r="23" spans="2:9" x14ac:dyDescent="0.25">
      <c r="B23" s="13">
        <v>16</v>
      </c>
      <c r="C23" s="13" t="s">
        <v>216</v>
      </c>
      <c r="D23" s="13" t="s">
        <v>215</v>
      </c>
      <c r="E23" s="7">
        <f>Szen1_mmax*Szen1_w</f>
        <v>200.06482247060092</v>
      </c>
      <c r="F23" s="13" t="s">
        <v>115</v>
      </c>
      <c r="G23" s="13" t="s">
        <v>207</v>
      </c>
    </row>
    <row r="24" spans="2:9" x14ac:dyDescent="0.25">
      <c r="B24" s="25" t="s">
        <v>217</v>
      </c>
    </row>
    <row r="26" spans="2:9" x14ac:dyDescent="0.25">
      <c r="B26" s="3" t="s">
        <v>218</v>
      </c>
    </row>
    <row r="27" spans="2:9" x14ac:dyDescent="0.25">
      <c r="B27" s="12"/>
      <c r="C27" s="12" t="s">
        <v>219</v>
      </c>
      <c r="D27" s="12" t="s">
        <v>220</v>
      </c>
      <c r="E27" s="12" t="s">
        <v>145</v>
      </c>
      <c r="F27" s="12" t="s">
        <v>221</v>
      </c>
      <c r="G27" s="12" t="s">
        <v>222</v>
      </c>
    </row>
    <row r="28" spans="2:9" x14ac:dyDescent="0.25">
      <c r="B28" s="13"/>
      <c r="C28" s="10" t="s">
        <v>223</v>
      </c>
      <c r="D28" s="5">
        <v>91</v>
      </c>
      <c r="E28" s="17">
        <v>15</v>
      </c>
      <c r="F28" s="17">
        <v>246.62640532433457</v>
      </c>
      <c r="G28" s="27" t="s">
        <v>340</v>
      </c>
      <c r="I28" s="51" t="s">
        <v>507</v>
      </c>
    </row>
    <row r="29" spans="2:9" x14ac:dyDescent="0.25">
      <c r="B29" s="13"/>
      <c r="C29" s="10" t="s">
        <v>224</v>
      </c>
      <c r="D29" s="5">
        <v>114.93130198208927</v>
      </c>
      <c r="E29" s="17">
        <v>18.395619226701889</v>
      </c>
      <c r="F29" s="17">
        <v>250.34991743084035</v>
      </c>
      <c r="G29" s="27" t="s">
        <v>341</v>
      </c>
    </row>
  </sheetData>
  <mergeCells count="1">
    <mergeCell ref="B4:G4"/>
  </mergeCells>
  <conditionalFormatting sqref="D28:G29">
    <cfRule type="expression" dxfId="16" priority="7">
      <formula>NOT(Stand_ok)</formula>
    </cfRule>
  </conditionalFormatting>
  <conditionalFormatting sqref="E10:E11">
    <cfRule type="expression" dxfId="15" priority="1">
      <formula>NOT(Stand_ok)</formula>
    </cfRule>
  </conditionalFormatting>
  <conditionalFormatting sqref="E13">
    <cfRule type="expression" dxfId="14" priority="3">
      <formula>NOT(Stand_ok)</formula>
    </cfRule>
  </conditionalFormatting>
  <conditionalFormatting sqref="E16:E17">
    <cfRule type="expression" dxfId="13" priority="4">
      <formula>NOT(Stand_ok)</formula>
    </cfRule>
  </conditionalFormatting>
  <conditionalFormatting sqref="E19">
    <cfRule type="expression" dxfId="12" priority="6">
      <formula>NOT(Stand_ok)</formula>
    </cfRule>
  </conditionalFormatting>
  <hyperlinks>
    <hyperlink ref="B3" location="'Übersicht'!A1" display="← zur Übersicht" xr:uid="{00000000-0004-0000-0300-000000000000}"/>
  </hyperlinks>
  <pageMargins left="0.4" right="0.4" top="0.5" bottom="0.5" header="0.3" footer="0.3"/>
  <pageSetup paperSize="9" fitToHeight="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E114-47ED-4FF2-B053-338860492670}">
  <sheetPr>
    <tabColor rgb="FF0476D9"/>
    <pageSetUpPr fitToPage="1"/>
  </sheetPr>
  <dimension ref="B1:I78"/>
  <sheetViews>
    <sheetView showGridLines="0" tabSelected="1" workbookViewId="0"/>
  </sheetViews>
  <sheetFormatPr baseColWidth="10" defaultColWidth="9.140625" defaultRowHeight="15" customHeight="1" x14ac:dyDescent="0.25"/>
  <cols>
    <col min="1" max="1" width="3.42578125" style="28" customWidth="1"/>
    <col min="2" max="2" width="6.42578125" style="28" customWidth="1"/>
    <col min="3" max="3" width="39.42578125" style="28" customWidth="1"/>
    <col min="4" max="4" width="34.7109375" style="28" customWidth="1"/>
    <col min="5" max="5" width="18.7109375" style="28" customWidth="1"/>
    <col min="6" max="6" width="14.7109375" style="28" customWidth="1"/>
    <col min="7" max="7" width="24.7109375" style="28" customWidth="1"/>
    <col min="8" max="8" width="3.7109375" style="28" customWidth="1"/>
    <col min="9" max="31" width="9.7109375" style="28" customWidth="1"/>
    <col min="32" max="16384" width="9.140625" style="28"/>
  </cols>
  <sheetData>
    <row r="1" spans="2:7" ht="30" customHeight="1" x14ac:dyDescent="0.25">
      <c r="B1" s="1" t="s">
        <v>548</v>
      </c>
    </row>
    <row r="2" spans="2:7" ht="15" customHeight="1" x14ac:dyDescent="0.25">
      <c r="B2" s="2" t="s">
        <v>549</v>
      </c>
    </row>
    <row r="3" spans="2:7" ht="15" customHeight="1" x14ac:dyDescent="0.25">
      <c r="B3" s="29" t="s">
        <v>122</v>
      </c>
    </row>
    <row r="4" spans="2:7" ht="122.85" customHeight="1" x14ac:dyDescent="0.25">
      <c r="B4" s="88" t="s">
        <v>636</v>
      </c>
      <c r="C4" s="83"/>
      <c r="D4" s="83"/>
      <c r="E4" s="83"/>
      <c r="F4" s="83"/>
      <c r="G4" s="83"/>
    </row>
    <row r="6" spans="2:7" ht="20.100000000000001" customHeight="1" x14ac:dyDescent="0.25">
      <c r="B6" s="61" t="s">
        <v>176</v>
      </c>
      <c r="C6" s="61"/>
      <c r="D6" s="61"/>
      <c r="E6" s="61"/>
      <c r="F6" s="61"/>
      <c r="G6" s="61"/>
    </row>
    <row r="7" spans="2:7" ht="27.95" customHeight="1" x14ac:dyDescent="0.25">
      <c r="B7" s="30" t="s">
        <v>177</v>
      </c>
      <c r="C7" s="30" t="s">
        <v>178</v>
      </c>
      <c r="D7" s="30" t="s">
        <v>179</v>
      </c>
      <c r="E7" s="30" t="s">
        <v>25</v>
      </c>
      <c r="F7" s="30" t="s">
        <v>26</v>
      </c>
      <c r="G7" s="36" t="s">
        <v>180</v>
      </c>
    </row>
    <row r="8" spans="2:7" ht="15" customHeight="1" x14ac:dyDescent="0.25">
      <c r="B8" s="85" t="s">
        <v>247</v>
      </c>
      <c r="C8" s="85"/>
      <c r="D8" s="85"/>
      <c r="E8" s="85"/>
      <c r="F8" s="85"/>
      <c r="G8" s="85"/>
    </row>
    <row r="9" spans="2:7" ht="15" customHeight="1" x14ac:dyDescent="0.25">
      <c r="B9" s="38">
        <v>1</v>
      </c>
      <c r="C9" s="31" t="s">
        <v>181</v>
      </c>
      <c r="D9" s="62" t="s">
        <v>225</v>
      </c>
      <c r="E9" s="40">
        <f>p_S2</f>
        <v>30</v>
      </c>
      <c r="F9" s="38" t="s">
        <v>33</v>
      </c>
      <c r="G9" s="39" t="s">
        <v>183</v>
      </c>
    </row>
    <row r="10" spans="2:7" ht="15" customHeight="1" x14ac:dyDescent="0.25">
      <c r="B10" s="38">
        <v>2</v>
      </c>
      <c r="C10" s="31" t="s">
        <v>184</v>
      </c>
      <c r="D10" s="62" t="s">
        <v>225</v>
      </c>
      <c r="E10" s="40">
        <f>T_S2</f>
        <v>15</v>
      </c>
      <c r="F10" s="38" t="s">
        <v>37</v>
      </c>
      <c r="G10" s="39" t="s">
        <v>183</v>
      </c>
    </row>
    <row r="11" spans="2:7" ht="15" customHeight="1" x14ac:dyDescent="0.25">
      <c r="B11" s="38">
        <v>3</v>
      </c>
      <c r="C11" s="31" t="s">
        <v>226</v>
      </c>
      <c r="D11" s="31" t="s">
        <v>551</v>
      </c>
      <c r="E11" s="44">
        <v>460.12840004009058</v>
      </c>
      <c r="F11" s="38" t="s">
        <v>112</v>
      </c>
      <c r="G11" s="39" t="s">
        <v>188</v>
      </c>
    </row>
    <row r="12" spans="2:7" ht="15" customHeight="1" x14ac:dyDescent="0.25">
      <c r="B12" s="38">
        <v>4</v>
      </c>
      <c r="C12" s="31" t="s">
        <v>248</v>
      </c>
      <c r="D12" s="31" t="s">
        <v>197</v>
      </c>
      <c r="E12" s="40">
        <f>p_zw</f>
        <v>50</v>
      </c>
      <c r="F12" s="38" t="s">
        <v>33</v>
      </c>
      <c r="G12" s="39" t="s">
        <v>183</v>
      </c>
    </row>
    <row r="13" spans="2:7" ht="15" customHeight="1" x14ac:dyDescent="0.25">
      <c r="B13" s="38">
        <v>5</v>
      </c>
      <c r="C13" s="31" t="s">
        <v>227</v>
      </c>
      <c r="D13" s="31" t="s">
        <v>228</v>
      </c>
      <c r="E13" s="42">
        <f>eta_V1</f>
        <v>0.84</v>
      </c>
      <c r="F13" s="38" t="s">
        <v>73</v>
      </c>
      <c r="G13" s="39" t="s">
        <v>183</v>
      </c>
    </row>
    <row r="14" spans="2:7" ht="15" customHeight="1" x14ac:dyDescent="0.25">
      <c r="B14" s="38">
        <v>6</v>
      </c>
      <c r="C14" s="31" t="s">
        <v>249</v>
      </c>
      <c r="D14" s="31" t="s">
        <v>250</v>
      </c>
      <c r="E14" s="44">
        <v>484.78843376059831</v>
      </c>
      <c r="F14" s="38" t="s">
        <v>112</v>
      </c>
      <c r="G14" s="39" t="s">
        <v>188</v>
      </c>
    </row>
    <row r="15" spans="2:7" ht="15" customHeight="1" x14ac:dyDescent="0.25">
      <c r="B15" s="38">
        <v>7</v>
      </c>
      <c r="C15" s="31" t="s">
        <v>229</v>
      </c>
      <c r="D15" s="31" t="s">
        <v>230</v>
      </c>
      <c r="E15" s="42">
        <f>Szen2_h1+(Szen2_h1s-Szen2_h1)/eta_V1</f>
        <v>489.48558304069502</v>
      </c>
      <c r="F15" s="38" t="s">
        <v>112</v>
      </c>
      <c r="G15" s="39" t="s">
        <v>200</v>
      </c>
    </row>
    <row r="16" spans="2:7" ht="15" customHeight="1" x14ac:dyDescent="0.25">
      <c r="B16" s="38">
        <v>8</v>
      </c>
      <c r="C16" s="31" t="s">
        <v>231</v>
      </c>
      <c r="D16" s="31" t="s">
        <v>251</v>
      </c>
      <c r="E16" s="45">
        <v>57.499984474089729</v>
      </c>
      <c r="F16" s="38" t="s">
        <v>37</v>
      </c>
      <c r="G16" s="39" t="s">
        <v>188</v>
      </c>
    </row>
    <row r="17" spans="2:7" ht="27.95" customHeight="1" x14ac:dyDescent="0.25">
      <c r="B17" s="38">
        <v>9</v>
      </c>
      <c r="C17" s="31" t="s">
        <v>232</v>
      </c>
      <c r="D17" s="31" t="s">
        <v>233</v>
      </c>
      <c r="E17" s="65" t="str">
        <f>IF(Szen2_T1a&lt;=T_maxV,"✔ eingehalten","⚠ überschritten")</f>
        <v>✔ eingehalten</v>
      </c>
      <c r="F17" s="38" t="s">
        <v>73</v>
      </c>
      <c r="G17" s="39" t="s">
        <v>200</v>
      </c>
    </row>
    <row r="18" spans="2:7" ht="15" customHeight="1" x14ac:dyDescent="0.25">
      <c r="B18" s="38">
        <v>10</v>
      </c>
      <c r="C18" s="31" t="s">
        <v>252</v>
      </c>
      <c r="D18" s="31" t="s">
        <v>253</v>
      </c>
      <c r="E18" s="46">
        <f>Szen2_h1a-Szen2_h1</f>
        <v>29.357183000604437</v>
      </c>
      <c r="F18" s="38" t="s">
        <v>112</v>
      </c>
      <c r="G18" s="39" t="s">
        <v>207</v>
      </c>
    </row>
    <row r="19" spans="2:7" ht="15" customHeight="1" x14ac:dyDescent="0.25">
      <c r="B19" s="85" t="s">
        <v>254</v>
      </c>
      <c r="C19" s="85"/>
      <c r="D19" s="85"/>
      <c r="E19" s="85"/>
      <c r="F19" s="85"/>
      <c r="G19" s="85"/>
    </row>
    <row r="20" spans="2:7" ht="27.95" customHeight="1" x14ac:dyDescent="0.25">
      <c r="B20" s="38">
        <v>11</v>
      </c>
      <c r="C20" s="31" t="s">
        <v>552</v>
      </c>
      <c r="D20" s="31" t="s">
        <v>553</v>
      </c>
      <c r="E20" s="65" t="str">
        <f>IF(p_zw&lt;=p_tau_TK-U_PG,"✔ gasförmig ("&amp;FIXED(p_tau_TK-p_zw,1)&amp;" bar unter der Taulinie)","⚠ zu nah an der Taulinie")</f>
        <v>✔ gasförmig (24,4 bar unter der Taulinie)</v>
      </c>
      <c r="F20" s="38" t="s">
        <v>73</v>
      </c>
      <c r="G20" s="39" t="s">
        <v>200</v>
      </c>
    </row>
    <row r="21" spans="2:7" ht="15" customHeight="1" x14ac:dyDescent="0.25">
      <c r="B21" s="38">
        <v>12</v>
      </c>
      <c r="C21" s="31" t="s">
        <v>554</v>
      </c>
      <c r="D21" s="31" t="s">
        <v>256</v>
      </c>
      <c r="E21" s="44">
        <v>445.29662162946011</v>
      </c>
      <c r="F21" s="38" t="s">
        <v>112</v>
      </c>
      <c r="G21" s="39" t="s">
        <v>188</v>
      </c>
    </row>
    <row r="22" spans="2:7" ht="15" customHeight="1" x14ac:dyDescent="0.25">
      <c r="B22" s="38">
        <v>13</v>
      </c>
      <c r="C22" s="31" t="s">
        <v>234</v>
      </c>
      <c r="D22" s="31" t="s">
        <v>235</v>
      </c>
      <c r="E22" s="42">
        <f>Szen2_h1a-Szen2_hZK</f>
        <v>44.188961411234914</v>
      </c>
      <c r="F22" s="38" t="s">
        <v>112</v>
      </c>
      <c r="G22" s="39" t="s">
        <v>200</v>
      </c>
    </row>
    <row r="23" spans="2:7" ht="15" customHeight="1" x14ac:dyDescent="0.25">
      <c r="B23" s="38">
        <v>14</v>
      </c>
      <c r="C23" s="31" t="s">
        <v>465</v>
      </c>
      <c r="D23" s="31" t="s">
        <v>466</v>
      </c>
      <c r="E23" s="47">
        <v>0.7138599526711521</v>
      </c>
      <c r="F23" s="38" t="s">
        <v>73</v>
      </c>
      <c r="G23" s="39" t="s">
        <v>188</v>
      </c>
    </row>
    <row r="24" spans="2:7" ht="27.95" customHeight="1" x14ac:dyDescent="0.25">
      <c r="B24" s="38">
        <v>15</v>
      </c>
      <c r="C24" s="31" t="s">
        <v>637</v>
      </c>
      <c r="D24" s="31" t="s">
        <v>638</v>
      </c>
      <c r="E24" s="65" t="str">
        <f>IF(Szen2_Z2&gt;Z_min,"✔ eingehalten","⚠ nicht über "&amp;FIXED(Z_min,2))</f>
        <v>✔ eingehalten</v>
      </c>
      <c r="F24" s="38" t="s">
        <v>73</v>
      </c>
      <c r="G24" s="39" t="s">
        <v>200</v>
      </c>
    </row>
    <row r="25" spans="2:7" ht="15" customHeight="1" x14ac:dyDescent="0.25">
      <c r="B25" s="85" t="s">
        <v>257</v>
      </c>
      <c r="C25" s="85"/>
      <c r="D25" s="85"/>
      <c r="E25" s="85"/>
      <c r="F25" s="85"/>
      <c r="G25" s="85"/>
    </row>
    <row r="26" spans="2:7" ht="15" customHeight="1" x14ac:dyDescent="0.25">
      <c r="B26" s="38">
        <v>16</v>
      </c>
      <c r="C26" s="31" t="s">
        <v>258</v>
      </c>
      <c r="D26" s="31" t="s">
        <v>228</v>
      </c>
      <c r="E26" s="42">
        <f>eta_V2</f>
        <v>0.82</v>
      </c>
      <c r="F26" s="38" t="s">
        <v>73</v>
      </c>
      <c r="G26" s="39" t="s">
        <v>183</v>
      </c>
    </row>
    <row r="27" spans="2:7" ht="15" customHeight="1" x14ac:dyDescent="0.25">
      <c r="B27" s="38">
        <v>17</v>
      </c>
      <c r="C27" s="31" t="s">
        <v>555</v>
      </c>
      <c r="D27" s="31" t="s">
        <v>197</v>
      </c>
      <c r="E27" s="40">
        <f>p_uek</f>
        <v>91</v>
      </c>
      <c r="F27" s="38" t="s">
        <v>33</v>
      </c>
      <c r="G27" s="39" t="s">
        <v>183</v>
      </c>
    </row>
    <row r="28" spans="2:7" ht="15" customHeight="1" x14ac:dyDescent="0.25">
      <c r="B28" s="38">
        <v>18</v>
      </c>
      <c r="C28" s="31" t="s">
        <v>249</v>
      </c>
      <c r="D28" s="31" t="s">
        <v>469</v>
      </c>
      <c r="E28" s="44">
        <v>471.838630626412</v>
      </c>
      <c r="F28" s="38" t="s">
        <v>112</v>
      </c>
      <c r="G28" s="39" t="s">
        <v>188</v>
      </c>
    </row>
    <row r="29" spans="2:7" ht="15" customHeight="1" x14ac:dyDescent="0.25">
      <c r="B29" s="38">
        <v>19</v>
      </c>
      <c r="C29" s="31" t="s">
        <v>229</v>
      </c>
      <c r="D29" s="31" t="s">
        <v>259</v>
      </c>
      <c r="E29" s="42">
        <f>Szen2_hZK+(Szen2_h2s-Szen2_hZK)/eta_V2</f>
        <v>477.66492528427949</v>
      </c>
      <c r="F29" s="38" t="s">
        <v>112</v>
      </c>
      <c r="G29" s="39" t="s">
        <v>200</v>
      </c>
    </row>
    <row r="30" spans="2:7" ht="15" customHeight="1" x14ac:dyDescent="0.25">
      <c r="B30" s="38">
        <v>20</v>
      </c>
      <c r="C30" s="31" t="s">
        <v>231</v>
      </c>
      <c r="D30" s="31" t="s">
        <v>470</v>
      </c>
      <c r="E30" s="45">
        <v>77.377147339718988</v>
      </c>
      <c r="F30" s="38" t="s">
        <v>37</v>
      </c>
      <c r="G30" s="39" t="s">
        <v>188</v>
      </c>
    </row>
    <row r="31" spans="2:7" ht="27.95" customHeight="1" x14ac:dyDescent="0.25">
      <c r="B31" s="38">
        <v>21</v>
      </c>
      <c r="C31" s="31" t="s">
        <v>232</v>
      </c>
      <c r="D31" s="31" t="s">
        <v>233</v>
      </c>
      <c r="E31" s="65" t="str">
        <f>IF(Szen2_T2a&lt;=T_maxV,"✔ eingehalten","⚠ überschritten")</f>
        <v>✔ eingehalten</v>
      </c>
      <c r="F31" s="38" t="s">
        <v>73</v>
      </c>
      <c r="G31" s="39" t="s">
        <v>200</v>
      </c>
    </row>
    <row r="32" spans="2:7" ht="15" customHeight="1" x14ac:dyDescent="0.25">
      <c r="B32" s="38">
        <v>22</v>
      </c>
      <c r="C32" s="31" t="s">
        <v>260</v>
      </c>
      <c r="D32" s="31" t="s">
        <v>261</v>
      </c>
      <c r="E32" s="46">
        <f>Szen2_h2a-Szen2_hZK</f>
        <v>32.368303654819385</v>
      </c>
      <c r="F32" s="38" t="s">
        <v>112</v>
      </c>
      <c r="G32" s="39" t="s">
        <v>207</v>
      </c>
    </row>
    <row r="33" spans="2:7" ht="15" customHeight="1" x14ac:dyDescent="0.25">
      <c r="B33" s="85" t="s">
        <v>556</v>
      </c>
      <c r="C33" s="85"/>
      <c r="D33" s="85"/>
      <c r="E33" s="85"/>
      <c r="F33" s="85"/>
      <c r="G33" s="85"/>
    </row>
    <row r="34" spans="2:7" ht="27.95" customHeight="1" x14ac:dyDescent="0.25">
      <c r="B34" s="38">
        <v>23</v>
      </c>
      <c r="C34" s="31" t="s">
        <v>471</v>
      </c>
      <c r="D34" s="31" t="s">
        <v>472</v>
      </c>
      <c r="E34" s="65" t="str">
        <f>IF(p_uek&gt;=p_cricondenbar+U_PG,"✔ "&amp;FIXED(p_uek-p_cricondenbar,1)&amp;" bar darüber – keine Phasengrenze","⚠ Kühler kreuzt das Zweiphasengebiet")</f>
        <v>✔ 8,8 bar darüber – keine Phasengrenze</v>
      </c>
      <c r="F34" s="38" t="s">
        <v>73</v>
      </c>
      <c r="G34" s="39" t="s">
        <v>200</v>
      </c>
    </row>
    <row r="35" spans="2:7" ht="15" customHeight="1" x14ac:dyDescent="0.25">
      <c r="B35" s="38">
        <v>24</v>
      </c>
      <c r="C35" s="31" t="s">
        <v>255</v>
      </c>
      <c r="D35" s="31" t="s">
        <v>473</v>
      </c>
      <c r="E35" s="44">
        <v>287.13660430934499</v>
      </c>
      <c r="F35" s="38" t="s">
        <v>112</v>
      </c>
      <c r="G35" s="39" t="s">
        <v>188</v>
      </c>
    </row>
    <row r="36" spans="2:7" ht="15" customHeight="1" x14ac:dyDescent="0.25">
      <c r="B36" s="38">
        <v>25</v>
      </c>
      <c r="C36" s="31" t="s">
        <v>474</v>
      </c>
      <c r="D36" s="31" t="s">
        <v>475</v>
      </c>
      <c r="E36" s="48">
        <v>660.42105369180308</v>
      </c>
      <c r="F36" s="38" t="s">
        <v>69</v>
      </c>
      <c r="G36" s="39" t="s">
        <v>188</v>
      </c>
    </row>
    <row r="37" spans="2:7" ht="27.95" customHeight="1" x14ac:dyDescent="0.25">
      <c r="B37" s="38">
        <v>26</v>
      </c>
      <c r="C37" s="31" t="s">
        <v>557</v>
      </c>
      <c r="D37" s="31" t="s">
        <v>476</v>
      </c>
      <c r="E37" s="65" t="str">
        <f>IF(Szen2_rhoP&gt;=rho_min,"✔ pumpbar (≥ "&amp;TEXT(rho_min,"0")&amp;" kg/m³)","⚠ zu dünn für eine Pumpe")</f>
        <v>✔ pumpbar (≥ 500 kg/m³)</v>
      </c>
      <c r="F37" s="38" t="s">
        <v>73</v>
      </c>
      <c r="G37" s="39" t="s">
        <v>200</v>
      </c>
    </row>
    <row r="38" spans="2:7" ht="15" customHeight="1" x14ac:dyDescent="0.25">
      <c r="B38" s="38">
        <v>27</v>
      </c>
      <c r="C38" s="31" t="s">
        <v>234</v>
      </c>
      <c r="D38" s="31" t="s">
        <v>235</v>
      </c>
      <c r="E38" s="42">
        <f>Szen2_h2a-Szen2_hK</f>
        <v>190.5283209749345</v>
      </c>
      <c r="F38" s="38" t="s">
        <v>112</v>
      </c>
      <c r="G38" s="39" t="s">
        <v>200</v>
      </c>
    </row>
    <row r="39" spans="2:7" ht="15" customHeight="1" x14ac:dyDescent="0.25">
      <c r="B39" s="85" t="s">
        <v>236</v>
      </c>
      <c r="C39" s="85"/>
      <c r="D39" s="85"/>
      <c r="E39" s="85"/>
      <c r="F39" s="85"/>
      <c r="G39" s="85"/>
    </row>
    <row r="40" spans="2:7" ht="15" customHeight="1" x14ac:dyDescent="0.25">
      <c r="B40" s="38">
        <v>28</v>
      </c>
      <c r="C40" s="31" t="s">
        <v>263</v>
      </c>
      <c r="D40" s="31" t="s">
        <v>193</v>
      </c>
      <c r="E40" s="42">
        <f>Kopf_voll</f>
        <v>114.93130198208927</v>
      </c>
      <c r="F40" s="38" t="s">
        <v>33</v>
      </c>
      <c r="G40" s="39" t="s">
        <v>183</v>
      </c>
    </row>
    <row r="41" spans="2:7" ht="15" customHeight="1" x14ac:dyDescent="0.25">
      <c r="B41" s="38">
        <v>29</v>
      </c>
      <c r="C41" s="31" t="s">
        <v>558</v>
      </c>
      <c r="D41" s="31" t="s">
        <v>197</v>
      </c>
      <c r="E41" s="42">
        <f>eta</f>
        <v>0.8</v>
      </c>
      <c r="F41" s="38" t="s">
        <v>73</v>
      </c>
      <c r="G41" s="39" t="s">
        <v>183</v>
      </c>
    </row>
    <row r="42" spans="2:7" ht="15" customHeight="1" x14ac:dyDescent="0.25">
      <c r="B42" s="38">
        <v>30</v>
      </c>
      <c r="C42" s="31" t="s">
        <v>237</v>
      </c>
      <c r="D42" s="31" t="s">
        <v>477</v>
      </c>
      <c r="E42" s="44">
        <v>290.68977337252539</v>
      </c>
      <c r="F42" s="38" t="s">
        <v>112</v>
      </c>
      <c r="G42" s="39" t="s">
        <v>188</v>
      </c>
    </row>
    <row r="43" spans="2:7" ht="15" customHeight="1" x14ac:dyDescent="0.25">
      <c r="B43" s="38">
        <v>31</v>
      </c>
      <c r="C43" s="31" t="s">
        <v>229</v>
      </c>
      <c r="D43" s="31" t="s">
        <v>238</v>
      </c>
      <c r="E43" s="42">
        <f>Szen2_hK+(Szen2_hPs-Szen2_hK)/eta</f>
        <v>291.57806563832048</v>
      </c>
      <c r="F43" s="38" t="s">
        <v>112</v>
      </c>
      <c r="G43" s="39" t="s">
        <v>200</v>
      </c>
    </row>
    <row r="44" spans="2:7" ht="15" customHeight="1" x14ac:dyDescent="0.25">
      <c r="B44" s="38">
        <v>32</v>
      </c>
      <c r="C44" s="31" t="s">
        <v>231</v>
      </c>
      <c r="D44" s="31" t="s">
        <v>239</v>
      </c>
      <c r="E44" s="45">
        <v>31.749694462642424</v>
      </c>
      <c r="F44" s="38" t="s">
        <v>37</v>
      </c>
      <c r="G44" s="39" t="s">
        <v>188</v>
      </c>
    </row>
    <row r="45" spans="2:7" ht="15" customHeight="1" x14ac:dyDescent="0.25">
      <c r="B45" s="38">
        <v>33</v>
      </c>
      <c r="C45" s="31" t="s">
        <v>240</v>
      </c>
      <c r="D45" s="31" t="s">
        <v>241</v>
      </c>
      <c r="E45" s="46">
        <f>Szen2_hPa-Szen2_hK</f>
        <v>4.4414613289754925</v>
      </c>
      <c r="F45" s="38" t="s">
        <v>112</v>
      </c>
      <c r="G45" s="39" t="s">
        <v>207</v>
      </c>
    </row>
    <row r="46" spans="2:7" ht="15" customHeight="1" x14ac:dyDescent="0.25">
      <c r="B46" s="85" t="s">
        <v>559</v>
      </c>
      <c r="C46" s="85"/>
      <c r="D46" s="85"/>
      <c r="E46" s="85"/>
      <c r="F46" s="85"/>
      <c r="G46" s="85"/>
    </row>
    <row r="47" spans="2:7" ht="15" customHeight="1" x14ac:dyDescent="0.25">
      <c r="B47" s="38">
        <v>34</v>
      </c>
      <c r="C47" s="31" t="s">
        <v>242</v>
      </c>
      <c r="D47" s="31" t="s">
        <v>262</v>
      </c>
      <c r="E47" s="46">
        <f>Szen2_w1+Szen2_w2+Szen2_wP</f>
        <v>66.166947984399314</v>
      </c>
      <c r="F47" s="38" t="s">
        <v>112</v>
      </c>
      <c r="G47" s="39" t="s">
        <v>207</v>
      </c>
    </row>
    <row r="48" spans="2:7" ht="15" customHeight="1" x14ac:dyDescent="0.25">
      <c r="B48" s="38">
        <v>35</v>
      </c>
      <c r="C48" s="31" t="s">
        <v>264</v>
      </c>
      <c r="D48" s="31" t="s">
        <v>478</v>
      </c>
      <c r="E48" s="42">
        <f>Szen2_qZK+Szen2_qK</f>
        <v>234.71728238616942</v>
      </c>
      <c r="F48" s="38" t="s">
        <v>112</v>
      </c>
      <c r="G48" s="39" t="s">
        <v>200</v>
      </c>
    </row>
    <row r="49" spans="2:9" ht="15" customHeight="1" x14ac:dyDescent="0.25">
      <c r="B49" s="38">
        <v>36</v>
      </c>
      <c r="C49" s="31" t="s">
        <v>243</v>
      </c>
      <c r="D49" s="31" t="s">
        <v>244</v>
      </c>
      <c r="E49" s="66">
        <f>Szen1_mmin*Szen2_w_ges</f>
        <v>1777.5796510492407</v>
      </c>
      <c r="F49" s="38" t="s">
        <v>115</v>
      </c>
      <c r="G49" s="39" t="s">
        <v>207</v>
      </c>
      <c r="I49" s="25" t="s">
        <v>598</v>
      </c>
    </row>
    <row r="50" spans="2:9" ht="15" customHeight="1" x14ac:dyDescent="0.25">
      <c r="B50" s="38">
        <v>37</v>
      </c>
      <c r="C50" s="31" t="s">
        <v>245</v>
      </c>
      <c r="D50" s="31" t="s">
        <v>246</v>
      </c>
      <c r="E50" s="66">
        <f>Szen1_mmax*Szen2_w_ges</f>
        <v>3555.1593020984815</v>
      </c>
      <c r="F50" s="38" t="s">
        <v>115</v>
      </c>
      <c r="G50" s="39" t="s">
        <v>207</v>
      </c>
    </row>
    <row r="51" spans="2:9" ht="15" customHeight="1" x14ac:dyDescent="0.25">
      <c r="B51" s="35">
        <v>38</v>
      </c>
      <c r="C51" s="32" t="s">
        <v>560</v>
      </c>
      <c r="D51" s="32" t="s">
        <v>479</v>
      </c>
      <c r="E51" s="67">
        <f>Szen1_mmax*Szen2_q_ges</f>
        <v>12611.392171741285</v>
      </c>
      <c r="F51" s="35" t="s">
        <v>115</v>
      </c>
      <c r="G51" s="13" t="s">
        <v>200</v>
      </c>
    </row>
    <row r="52" spans="2:9" ht="15" customHeight="1" x14ac:dyDescent="0.25">
      <c r="B52" s="25" t="s">
        <v>561</v>
      </c>
    </row>
    <row r="54" spans="2:9" ht="20.100000000000001" customHeight="1" thickBot="1" x14ac:dyDescent="0.3">
      <c r="B54" s="3" t="s">
        <v>218</v>
      </c>
      <c r="C54" s="61"/>
      <c r="D54" s="61"/>
      <c r="E54" s="61"/>
      <c r="F54" s="61"/>
      <c r="G54" s="61"/>
    </row>
    <row r="55" spans="2:9" ht="27.95" customHeight="1" x14ac:dyDescent="0.25">
      <c r="C55" s="30" t="s">
        <v>219</v>
      </c>
      <c r="D55" s="30" t="s">
        <v>220</v>
      </c>
      <c r="E55" s="30" t="s">
        <v>145</v>
      </c>
      <c r="F55" s="30" t="s">
        <v>221</v>
      </c>
      <c r="G55" s="36" t="s">
        <v>222</v>
      </c>
    </row>
    <row r="56" spans="2:9" ht="15" customHeight="1" x14ac:dyDescent="0.25">
      <c r="C56" s="31" t="s">
        <v>562</v>
      </c>
      <c r="D56" s="40">
        <f>p_S2</f>
        <v>30</v>
      </c>
      <c r="E56" s="40">
        <f>T_S2</f>
        <v>15</v>
      </c>
      <c r="F56" s="42">
        <f>Szen2_h1</f>
        <v>460.12840004009058</v>
      </c>
      <c r="G56" s="41" t="s">
        <v>480</v>
      </c>
    </row>
    <row r="57" spans="2:9" ht="15" customHeight="1" x14ac:dyDescent="0.25">
      <c r="C57" s="31" t="s">
        <v>563</v>
      </c>
      <c r="D57" s="40">
        <f>p_zw</f>
        <v>50</v>
      </c>
      <c r="E57" s="40">
        <f>Szen2_T1a</f>
        <v>57.499984474089729</v>
      </c>
      <c r="F57" s="42">
        <f>Szen2_h1a</f>
        <v>489.48558304069502</v>
      </c>
      <c r="G57" s="41" t="s">
        <v>480</v>
      </c>
    </row>
    <row r="58" spans="2:9" ht="15" customHeight="1" x14ac:dyDescent="0.25">
      <c r="C58" s="31" t="s">
        <v>564</v>
      </c>
      <c r="D58" s="40">
        <f>p_zw</f>
        <v>50</v>
      </c>
      <c r="E58" s="40">
        <f>T_K</f>
        <v>26</v>
      </c>
      <c r="F58" s="42">
        <f>Szen2_hZK</f>
        <v>445.29662162946011</v>
      </c>
      <c r="G58" s="41" t="s">
        <v>480</v>
      </c>
    </row>
    <row r="59" spans="2:9" ht="15" customHeight="1" x14ac:dyDescent="0.25">
      <c r="C59" s="31" t="s">
        <v>565</v>
      </c>
      <c r="D59" s="40">
        <f>p_uek</f>
        <v>91</v>
      </c>
      <c r="E59" s="40">
        <f>Szen2_T2a</f>
        <v>77.377147339718988</v>
      </c>
      <c r="F59" s="42">
        <f>Szen2_h2a</f>
        <v>477.66492528427949</v>
      </c>
      <c r="G59" s="41" t="s">
        <v>566</v>
      </c>
    </row>
    <row r="60" spans="2:9" ht="15" customHeight="1" x14ac:dyDescent="0.25">
      <c r="C60" s="31" t="s">
        <v>567</v>
      </c>
      <c r="D60" s="40">
        <f>p_uek</f>
        <v>91</v>
      </c>
      <c r="E60" s="40">
        <f>T_K</f>
        <v>26</v>
      </c>
      <c r="F60" s="42">
        <f>Szen2_hK</f>
        <v>287.13660430934499</v>
      </c>
      <c r="G60" s="41" t="s">
        <v>568</v>
      </c>
    </row>
    <row r="61" spans="2:9" ht="15" customHeight="1" x14ac:dyDescent="0.25">
      <c r="C61" s="32" t="s">
        <v>569</v>
      </c>
      <c r="D61" s="63">
        <f>Kopf_voll</f>
        <v>114.93130198208927</v>
      </c>
      <c r="E61" s="63">
        <f>Szen2_TPa</f>
        <v>31.749694462642424</v>
      </c>
      <c r="F61" s="64">
        <f>Szen2_hPa</f>
        <v>291.57806563832048</v>
      </c>
      <c r="G61" s="34" t="s">
        <v>570</v>
      </c>
    </row>
    <row r="63" spans="2:9" ht="20.100000000000001" customHeight="1" x14ac:dyDescent="0.25">
      <c r="B63" s="61" t="s">
        <v>571</v>
      </c>
      <c r="C63" s="61"/>
      <c r="D63" s="61"/>
      <c r="E63" s="61"/>
      <c r="F63" s="61"/>
      <c r="G63" s="61"/>
    </row>
    <row r="64" spans="2:9" ht="122.85" customHeight="1" x14ac:dyDescent="0.25">
      <c r="B64" s="86" t="s">
        <v>625</v>
      </c>
      <c r="C64" s="87"/>
      <c r="D64" s="87"/>
      <c r="E64" s="87"/>
      <c r="F64" s="87"/>
      <c r="G64" s="87"/>
    </row>
    <row r="65" spans="2:9" ht="27.95" customHeight="1" x14ac:dyDescent="0.25">
      <c r="B65" s="30" t="s">
        <v>454</v>
      </c>
      <c r="C65" s="30" t="s">
        <v>455</v>
      </c>
      <c r="D65" s="30" t="s">
        <v>572</v>
      </c>
      <c r="E65" s="30" t="s">
        <v>573</v>
      </c>
      <c r="F65" s="30" t="s">
        <v>574</v>
      </c>
      <c r="G65" s="36" t="s">
        <v>481</v>
      </c>
    </row>
    <row r="66" spans="2:9" ht="27.95" customHeight="1" x14ac:dyDescent="0.25">
      <c r="B66" s="37" t="s">
        <v>457</v>
      </c>
      <c r="C66" s="31" t="s">
        <v>575</v>
      </c>
      <c r="D66" s="31" t="s">
        <v>576</v>
      </c>
      <c r="E66" s="38" t="s">
        <v>577</v>
      </c>
      <c r="F66" s="46">
        <f>Szen2_w_ges</f>
        <v>66.166947984399314</v>
      </c>
      <c r="G66" s="55" t="s">
        <v>578</v>
      </c>
    </row>
    <row r="67" spans="2:9" ht="27.95" customHeight="1" x14ac:dyDescent="0.25">
      <c r="B67" s="37" t="s">
        <v>456</v>
      </c>
      <c r="C67" s="31" t="s">
        <v>579</v>
      </c>
      <c r="D67" s="31" t="s">
        <v>580</v>
      </c>
      <c r="E67" s="38" t="s">
        <v>581</v>
      </c>
      <c r="F67" s="44">
        <v>58.94886150577554</v>
      </c>
      <c r="G67" s="56" t="s">
        <v>582</v>
      </c>
    </row>
    <row r="68" spans="2:9" ht="27.95" customHeight="1" x14ac:dyDescent="0.25">
      <c r="B68" s="37" t="s">
        <v>458</v>
      </c>
      <c r="C68" s="31" t="s">
        <v>583</v>
      </c>
      <c r="D68" s="31" t="s">
        <v>584</v>
      </c>
      <c r="E68" s="38" t="s">
        <v>585</v>
      </c>
      <c r="F68" s="44">
        <v>74.891001078700072</v>
      </c>
      <c r="G68" s="56" t="s">
        <v>586</v>
      </c>
    </row>
    <row r="69" spans="2:9" ht="27.95" customHeight="1" x14ac:dyDescent="0.25">
      <c r="B69" s="37" t="s">
        <v>459</v>
      </c>
      <c r="C69" s="31" t="s">
        <v>587</v>
      </c>
      <c r="D69" s="31" t="s">
        <v>588</v>
      </c>
      <c r="E69" s="38" t="s">
        <v>73</v>
      </c>
      <c r="F69" s="38" t="s">
        <v>73</v>
      </c>
      <c r="G69" s="57" t="s">
        <v>589</v>
      </c>
    </row>
    <row r="70" spans="2:9" ht="27.95" customHeight="1" x14ac:dyDescent="0.25">
      <c r="B70" s="33" t="s">
        <v>460</v>
      </c>
      <c r="C70" s="32" t="s">
        <v>590</v>
      </c>
      <c r="D70" s="32" t="s">
        <v>591</v>
      </c>
      <c r="E70" s="35" t="s">
        <v>73</v>
      </c>
      <c r="F70" s="35" t="s">
        <v>73</v>
      </c>
      <c r="G70" s="58" t="s">
        <v>589</v>
      </c>
    </row>
    <row r="71" spans="2:9" ht="15" customHeight="1" x14ac:dyDescent="0.25">
      <c r="B71" s="25" t="s">
        <v>592</v>
      </c>
      <c r="I71" s="25" t="s">
        <v>631</v>
      </c>
    </row>
    <row r="73" spans="2:9" ht="20.100000000000001" customHeight="1" thickBot="1" x14ac:dyDescent="0.3">
      <c r="B73" s="3" t="s">
        <v>594</v>
      </c>
      <c r="C73" s="61"/>
      <c r="D73" s="61"/>
      <c r="E73" s="61"/>
      <c r="F73" s="61"/>
      <c r="G73" s="3"/>
    </row>
    <row r="74" spans="2:9" ht="27.95" customHeight="1" x14ac:dyDescent="0.25">
      <c r="C74" s="30" t="s">
        <v>455</v>
      </c>
      <c r="D74" s="30" t="s">
        <v>247</v>
      </c>
      <c r="E74" s="30" t="s">
        <v>257</v>
      </c>
      <c r="F74" s="36" t="s">
        <v>236</v>
      </c>
    </row>
    <row r="75" spans="2:9" ht="15" customHeight="1" x14ac:dyDescent="0.25">
      <c r="C75" s="31" t="s">
        <v>279</v>
      </c>
      <c r="D75" s="42">
        <v>0</v>
      </c>
      <c r="E75" s="42">
        <v>0</v>
      </c>
      <c r="F75" s="68">
        <f>Szen1_w</f>
        <v>3.7235121065057797</v>
      </c>
    </row>
    <row r="76" spans="2:9" ht="15" customHeight="1" x14ac:dyDescent="0.25">
      <c r="C76" s="31" t="s">
        <v>595</v>
      </c>
      <c r="D76" s="42">
        <f>Szen2_w1</f>
        <v>29.357183000604437</v>
      </c>
      <c r="E76" s="42">
        <f>Szen2_w2</f>
        <v>32.368303654819385</v>
      </c>
      <c r="F76" s="68">
        <f>Szen2_wP</f>
        <v>4.4414613289754925</v>
      </c>
    </row>
    <row r="77" spans="2:9" ht="15" customHeight="1" x14ac:dyDescent="0.25">
      <c r="C77" s="31" t="s">
        <v>596</v>
      </c>
      <c r="D77" s="44">
        <v>28.11953813276341</v>
      </c>
      <c r="E77" s="44">
        <v>24.794489797663005</v>
      </c>
      <c r="F77" s="49">
        <v>6.0348335753491256</v>
      </c>
    </row>
    <row r="78" spans="2:9" ht="15" customHeight="1" x14ac:dyDescent="0.25">
      <c r="C78" s="32" t="s">
        <v>597</v>
      </c>
      <c r="D78" s="43">
        <v>31.751301030879631</v>
      </c>
      <c r="E78" s="43">
        <v>43.13970004782044</v>
      </c>
      <c r="F78" s="17">
        <v>0</v>
      </c>
    </row>
  </sheetData>
  <mergeCells count="8">
    <mergeCell ref="B33:G33"/>
    <mergeCell ref="B46:G46"/>
    <mergeCell ref="B64:G64"/>
    <mergeCell ref="B4:G4"/>
    <mergeCell ref="B8:G8"/>
    <mergeCell ref="B19:G19"/>
    <mergeCell ref="B25:G25"/>
    <mergeCell ref="B39:G39"/>
  </mergeCells>
  <conditionalFormatting sqref="D77:F78">
    <cfRule type="expression" dxfId="11" priority="14" stopIfTrue="1">
      <formula>NOT(Stand_ok)</formula>
    </cfRule>
  </conditionalFormatting>
  <conditionalFormatting sqref="E11">
    <cfRule type="expression" dxfId="10" priority="1" stopIfTrue="1">
      <formula>NOT(Stand_ok)</formula>
    </cfRule>
  </conditionalFormatting>
  <conditionalFormatting sqref="E14">
    <cfRule type="expression" dxfId="9" priority="2" stopIfTrue="1">
      <formula>NOT(Stand_ok)</formula>
    </cfRule>
  </conditionalFormatting>
  <conditionalFormatting sqref="E16">
    <cfRule type="expression" dxfId="8" priority="3" stopIfTrue="1">
      <formula>NOT(Stand_ok)</formula>
    </cfRule>
  </conditionalFormatting>
  <conditionalFormatting sqref="E21">
    <cfRule type="expression" dxfId="7" priority="4" stopIfTrue="1">
      <formula>NOT(Stand_ok)</formula>
    </cfRule>
  </conditionalFormatting>
  <conditionalFormatting sqref="E23">
    <cfRule type="expression" dxfId="6" priority="5" stopIfTrue="1">
      <formula>NOT(Stand_ok)</formula>
    </cfRule>
  </conditionalFormatting>
  <conditionalFormatting sqref="E28">
    <cfRule type="expression" dxfId="5" priority="6" stopIfTrue="1">
      <formula>NOT(Stand_ok)</formula>
    </cfRule>
  </conditionalFormatting>
  <conditionalFormatting sqref="E30">
    <cfRule type="expression" dxfId="4" priority="7" stopIfTrue="1">
      <formula>NOT(Stand_ok)</formula>
    </cfRule>
  </conditionalFormatting>
  <conditionalFormatting sqref="E35:E36">
    <cfRule type="expression" dxfId="3" priority="8" stopIfTrue="1">
      <formula>NOT(Stand_ok)</formula>
    </cfRule>
  </conditionalFormatting>
  <conditionalFormatting sqref="E42">
    <cfRule type="expression" dxfId="2" priority="10" stopIfTrue="1">
      <formula>NOT(Stand_ok)</formula>
    </cfRule>
  </conditionalFormatting>
  <conditionalFormatting sqref="E44">
    <cfRule type="expression" dxfId="1" priority="11" stopIfTrue="1">
      <formula>NOT(Stand_ok)</formula>
    </cfRule>
  </conditionalFormatting>
  <conditionalFormatting sqref="F67:F68">
    <cfRule type="expression" dxfId="0" priority="12" stopIfTrue="1">
      <formula>NOT(Stand_ok)</formula>
    </cfRule>
  </conditionalFormatting>
  <hyperlinks>
    <hyperlink ref="B3" location="'Übersicht'!A1" display="← zur Übersicht" xr:uid="{3862B83C-063B-41D2-B0E5-31BB1810B2E1}"/>
  </hyperlinks>
  <pageMargins left="0.4" right="0.4" top="0.5" bottom="0.5" header="0.3" footer="0.3"/>
  <pageSetup paperSize="9"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E498C-4BC0-41F0-976E-54FFDBDF4202}">
  <sheetPr>
    <tabColor rgb="FFEE7203"/>
    <pageSetUpPr fitToPage="1"/>
  </sheetPr>
  <dimension ref="B1:Q72"/>
  <sheetViews>
    <sheetView showGridLines="0" topLeftCell="A23" workbookViewId="0">
      <selection activeCell="V19" sqref="V19"/>
    </sheetView>
  </sheetViews>
  <sheetFormatPr baseColWidth="10" defaultColWidth="9.140625" defaultRowHeight="15" x14ac:dyDescent="0.25"/>
  <cols>
    <col min="1" max="1" width="2.7109375" customWidth="1"/>
    <col min="2" max="31" width="9.7109375" customWidth="1"/>
  </cols>
  <sheetData>
    <row r="1" spans="2:2" ht="30" customHeight="1" x14ac:dyDescent="0.25">
      <c r="B1" s="1" t="s">
        <v>342</v>
      </c>
    </row>
    <row r="2" spans="2:2" x14ac:dyDescent="0.25">
      <c r="B2" s="2" t="s">
        <v>343</v>
      </c>
    </row>
    <row r="3" spans="2:2" x14ac:dyDescent="0.25">
      <c r="B3" s="9" t="s">
        <v>122</v>
      </c>
    </row>
    <row r="4" spans="2:2" x14ac:dyDescent="0.25">
      <c r="B4" s="3" t="s">
        <v>287</v>
      </c>
    </row>
    <row r="36" spans="2:17" ht="78.599999999999994" customHeight="1" x14ac:dyDescent="0.25">
      <c r="B36" s="83" t="s">
        <v>547</v>
      </c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</row>
    <row r="39" spans="2:17" x14ac:dyDescent="0.25">
      <c r="B39" s="3" t="s">
        <v>288</v>
      </c>
    </row>
    <row r="40" spans="2:17" ht="36" customHeight="1" x14ac:dyDescent="0.25">
      <c r="B40" s="82" t="s">
        <v>289</v>
      </c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</row>
    <row r="72" spans="2:17" ht="158.44999999999999" customHeight="1" x14ac:dyDescent="0.25">
      <c r="B72" s="83" t="s">
        <v>344</v>
      </c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</row>
  </sheetData>
  <mergeCells count="3">
    <mergeCell ref="B36:Q36"/>
    <mergeCell ref="B40:Q40"/>
    <mergeCell ref="B72:Q72"/>
  </mergeCells>
  <hyperlinks>
    <hyperlink ref="B3" location="'Übersicht'!A1" display="← zur Übersicht" xr:uid="{00000000-0004-0000-0500-000000000000}"/>
  </hyperlinks>
  <pageMargins left="0.4" right="0.4" top="0.5" bottom="0.5" header="0.3" footer="0.3"/>
  <pageSetup paperSize="9" fitToHeight="0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CF57F-1E4E-4F78-9B86-2E4C0F0D58D8}">
  <sheetPr>
    <tabColor rgb="FFA6A6A6"/>
    <pageSetUpPr fitToPage="1"/>
  </sheetPr>
  <dimension ref="B1:D24"/>
  <sheetViews>
    <sheetView showGridLines="0" topLeftCell="A3" workbookViewId="0">
      <selection activeCell="A23" sqref="A23:XFD23"/>
    </sheetView>
  </sheetViews>
  <sheetFormatPr baseColWidth="10" defaultColWidth="9.140625" defaultRowHeight="15" x14ac:dyDescent="0.25"/>
  <cols>
    <col min="1" max="1" width="2.7109375" customWidth="1"/>
    <col min="2" max="2" width="16.7109375" customWidth="1"/>
    <col min="3" max="3" width="70.7109375" customWidth="1"/>
    <col min="4" max="4" width="60.7109375" customWidth="1"/>
  </cols>
  <sheetData>
    <row r="1" spans="2:4" ht="30" customHeight="1" x14ac:dyDescent="0.25">
      <c r="B1" s="1" t="s">
        <v>290</v>
      </c>
    </row>
    <row r="2" spans="2:4" x14ac:dyDescent="0.25">
      <c r="B2" s="2" t="s">
        <v>291</v>
      </c>
    </row>
    <row r="3" spans="2:4" x14ac:dyDescent="0.25">
      <c r="B3" s="9" t="s">
        <v>122</v>
      </c>
    </row>
    <row r="4" spans="2:4" x14ac:dyDescent="0.25">
      <c r="B4" s="12" t="s">
        <v>292</v>
      </c>
      <c r="C4" s="12" t="s">
        <v>293</v>
      </c>
      <c r="D4" s="12" t="s">
        <v>294</v>
      </c>
    </row>
    <row r="5" spans="2:4" ht="45" customHeight="1" x14ac:dyDescent="0.25">
      <c r="B5" s="10" t="s">
        <v>295</v>
      </c>
      <c r="C5" s="13" t="s">
        <v>296</v>
      </c>
      <c r="D5" s="13" t="s">
        <v>297</v>
      </c>
    </row>
    <row r="6" spans="2:4" ht="45" customHeight="1" x14ac:dyDescent="0.25">
      <c r="B6" s="10" t="s">
        <v>298</v>
      </c>
      <c r="C6" s="13" t="s">
        <v>299</v>
      </c>
      <c r="D6" s="13" t="s">
        <v>617</v>
      </c>
    </row>
    <row r="7" spans="2:4" ht="45" customHeight="1" x14ac:dyDescent="0.25">
      <c r="B7" s="10" t="s">
        <v>60</v>
      </c>
      <c r="C7" s="13" t="s">
        <v>300</v>
      </c>
      <c r="D7" s="13" t="s">
        <v>301</v>
      </c>
    </row>
    <row r="8" spans="2:4" ht="45" customHeight="1" x14ac:dyDescent="0.25">
      <c r="B8" s="10" t="s">
        <v>302</v>
      </c>
      <c r="C8" s="13" t="s">
        <v>303</v>
      </c>
      <c r="D8" s="13" t="s">
        <v>304</v>
      </c>
    </row>
    <row r="9" spans="2:4" ht="45" customHeight="1" x14ac:dyDescent="0.25">
      <c r="B9" s="10" t="s">
        <v>305</v>
      </c>
      <c r="C9" s="13" t="s">
        <v>306</v>
      </c>
      <c r="D9" s="13" t="s">
        <v>307</v>
      </c>
    </row>
    <row r="10" spans="2:4" ht="45" customHeight="1" x14ac:dyDescent="0.25">
      <c r="B10" s="10" t="s">
        <v>308</v>
      </c>
      <c r="C10" s="13" t="s">
        <v>309</v>
      </c>
      <c r="D10" s="13" t="s">
        <v>310</v>
      </c>
    </row>
    <row r="11" spans="2:4" ht="45" customHeight="1" x14ac:dyDescent="0.25">
      <c r="B11" s="10" t="s">
        <v>311</v>
      </c>
      <c r="C11" s="13" t="s">
        <v>312</v>
      </c>
      <c r="D11" s="13" t="s">
        <v>621</v>
      </c>
    </row>
    <row r="12" spans="2:4" ht="45" customHeight="1" x14ac:dyDescent="0.25">
      <c r="B12" s="10" t="s">
        <v>313</v>
      </c>
      <c r="C12" s="13" t="s">
        <v>314</v>
      </c>
      <c r="D12" s="13" t="s">
        <v>315</v>
      </c>
    </row>
    <row r="13" spans="2:4" ht="45" customHeight="1" x14ac:dyDescent="0.25">
      <c r="B13" s="10" t="s">
        <v>316</v>
      </c>
      <c r="C13" s="13" t="s">
        <v>317</v>
      </c>
      <c r="D13" s="13" t="s">
        <v>318</v>
      </c>
    </row>
    <row r="14" spans="2:4" ht="45" customHeight="1" x14ac:dyDescent="0.25">
      <c r="B14" s="10" t="s">
        <v>316</v>
      </c>
      <c r="C14" s="13" t="s">
        <v>319</v>
      </c>
      <c r="D14" s="13" t="s">
        <v>320</v>
      </c>
    </row>
    <row r="15" spans="2:4" ht="45" customHeight="1" x14ac:dyDescent="0.25">
      <c r="B15" s="10" t="s">
        <v>321</v>
      </c>
      <c r="C15" s="13" t="s">
        <v>322</v>
      </c>
      <c r="D15" s="13" t="s">
        <v>622</v>
      </c>
    </row>
    <row r="16" spans="2:4" ht="45" customHeight="1" x14ac:dyDescent="0.25">
      <c r="B16" s="10" t="s">
        <v>345</v>
      </c>
      <c r="C16" s="13" t="s">
        <v>346</v>
      </c>
      <c r="D16" s="13" t="s">
        <v>347</v>
      </c>
    </row>
    <row r="17" spans="2:4" ht="45" customHeight="1" x14ac:dyDescent="0.25">
      <c r="B17" s="10" t="s">
        <v>348</v>
      </c>
      <c r="C17" s="13" t="s">
        <v>349</v>
      </c>
      <c r="D17" s="13" t="s">
        <v>350</v>
      </c>
    </row>
    <row r="18" spans="2:4" ht="45" customHeight="1" x14ac:dyDescent="0.25">
      <c r="B18" s="10" t="s">
        <v>351</v>
      </c>
      <c r="C18" s="13" t="s">
        <v>352</v>
      </c>
      <c r="D18" s="13" t="s">
        <v>353</v>
      </c>
    </row>
    <row r="19" spans="2:4" ht="45" customHeight="1" x14ac:dyDescent="0.25">
      <c r="B19" s="10" t="s">
        <v>354</v>
      </c>
      <c r="C19" s="13" t="s">
        <v>355</v>
      </c>
      <c r="D19" s="13" t="s">
        <v>356</v>
      </c>
    </row>
    <row r="20" spans="2:4" ht="45" customHeight="1" x14ac:dyDescent="0.25">
      <c r="B20" s="10" t="s">
        <v>493</v>
      </c>
      <c r="C20" s="13" t="s">
        <v>494</v>
      </c>
      <c r="D20" s="13" t="s">
        <v>639</v>
      </c>
    </row>
    <row r="21" spans="2:4" ht="45" customHeight="1" x14ac:dyDescent="0.25">
      <c r="B21" s="10" t="s">
        <v>495</v>
      </c>
      <c r="C21" s="13" t="s">
        <v>496</v>
      </c>
      <c r="D21" s="13" t="s">
        <v>619</v>
      </c>
    </row>
    <row r="22" spans="2:4" ht="45" customHeight="1" x14ac:dyDescent="0.25">
      <c r="B22" s="10" t="s">
        <v>497</v>
      </c>
      <c r="C22" s="13" t="s">
        <v>498</v>
      </c>
      <c r="D22" s="13" t="s">
        <v>620</v>
      </c>
    </row>
    <row r="23" spans="2:4" ht="45" customHeight="1" x14ac:dyDescent="0.25">
      <c r="B23" s="10" t="s">
        <v>613</v>
      </c>
      <c r="C23" s="13" t="s">
        <v>623</v>
      </c>
      <c r="D23" s="13" t="s">
        <v>624</v>
      </c>
    </row>
    <row r="24" ht="45" customHeight="1" x14ac:dyDescent="0.25">
      <c r="B24" s="10" t="s">
        <v>640</v>
      </c>
      <c r="C24" s="13" t="s">
        <v>641</v>
      </c>
      <c r="D24" s="13" t="s">
        <v>642</v>
      </c>
    </row>
  </sheetData>
  <hyperlinks>
    <hyperlink ref="B3" location="'Übersicht'!A1" display="← zur Übersicht" xr:uid="{00000000-0004-0000-0600-000000000000}"/>
  </hyperlinks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F5403-990A-479E-B4AA-C13857FD927B}">
  <sheetPr>
    <tabColor rgb="FFD9D9D9"/>
    <pageSetUpPr fitToPage="1"/>
  </sheetPr>
  <dimension ref="B1:R402"/>
  <sheetViews>
    <sheetView showGridLines="0" workbookViewId="0">
      <selection activeCell="N8" sqref="N8:N402"/>
    </sheetView>
  </sheetViews>
  <sheetFormatPr baseColWidth="10" defaultColWidth="9.140625" defaultRowHeight="15" x14ac:dyDescent="0.25"/>
  <cols>
    <col min="1" max="1" width="2.7109375" customWidth="1"/>
    <col min="2" max="8" width="12.7109375" customWidth="1"/>
    <col min="9" max="9" width="34.7109375" customWidth="1"/>
    <col min="10" max="12" width="12.7109375" customWidth="1"/>
  </cols>
  <sheetData>
    <row r="1" spans="2:18" ht="30" customHeight="1" x14ac:dyDescent="0.25">
      <c r="B1" s="1" t="s">
        <v>265</v>
      </c>
    </row>
    <row r="2" spans="2:18" x14ac:dyDescent="0.25">
      <c r="B2" s="2" t="s">
        <v>357</v>
      </c>
    </row>
    <row r="3" spans="2:18" x14ac:dyDescent="0.25">
      <c r="B3" s="9" t="s">
        <v>122</v>
      </c>
    </row>
    <row r="4" spans="2:18" x14ac:dyDescent="0.25">
      <c r="B4" s="13" t="s">
        <v>266</v>
      </c>
      <c r="C4" s="6">
        <v>-80</v>
      </c>
      <c r="D4" s="74" t="s">
        <v>268</v>
      </c>
      <c r="E4" s="74"/>
      <c r="F4" s="74"/>
      <c r="G4" s="74"/>
    </row>
    <row r="5" spans="2:18" x14ac:dyDescent="0.25">
      <c r="B5" s="13" t="s">
        <v>267</v>
      </c>
      <c r="C5" s="6">
        <v>0.5</v>
      </c>
      <c r="D5" s="74"/>
      <c r="E5" s="74"/>
      <c r="F5" s="74"/>
      <c r="G5" s="74"/>
    </row>
    <row r="6" spans="2:18" x14ac:dyDescent="0.25">
      <c r="B6" t="s">
        <v>500</v>
      </c>
      <c r="C6">
        <v>-20</v>
      </c>
      <c r="E6" t="s">
        <v>626</v>
      </c>
      <c r="F6">
        <v>-60</v>
      </c>
      <c r="M6" s="54" t="s">
        <v>528</v>
      </c>
      <c r="P6" t="s">
        <v>502</v>
      </c>
    </row>
    <row r="7" spans="2:18" ht="51" x14ac:dyDescent="0.25">
      <c r="B7" s="12" t="s">
        <v>145</v>
      </c>
      <c r="C7" s="12" t="s">
        <v>269</v>
      </c>
      <c r="D7" s="12" t="s">
        <v>270</v>
      </c>
      <c r="E7" s="12" t="s">
        <v>271</v>
      </c>
      <c r="F7" s="12" t="s">
        <v>272</v>
      </c>
      <c r="G7" s="12" t="s">
        <v>273</v>
      </c>
      <c r="H7" s="12" t="s">
        <v>358</v>
      </c>
      <c r="I7" s="12" t="s">
        <v>274</v>
      </c>
      <c r="J7" s="12" t="s">
        <v>145</v>
      </c>
      <c r="K7" s="12" t="s">
        <v>220</v>
      </c>
      <c r="L7" s="12" t="s">
        <v>275</v>
      </c>
      <c r="M7" s="12" t="s">
        <v>501</v>
      </c>
      <c r="N7" s="12" t="s">
        <v>627</v>
      </c>
      <c r="P7" s="12" t="s">
        <v>270</v>
      </c>
      <c r="Q7" s="12" t="s">
        <v>271</v>
      </c>
      <c r="R7" s="12" t="s">
        <v>272</v>
      </c>
    </row>
    <row r="8" spans="2:18" x14ac:dyDescent="0.25">
      <c r="B8">
        <v>-80</v>
      </c>
      <c r="C8" t="str">
        <f t="shared" ref="C8:C71" si="0">IF(MOD(B8,20)=0,TEXT(B8,"0"),"")</f>
        <v>-80</v>
      </c>
      <c r="D8">
        <v>0.89241567971802016</v>
      </c>
      <c r="E8">
        <v>0</v>
      </c>
      <c r="F8">
        <v>0</v>
      </c>
      <c r="G8">
        <v>249.10758432028197</v>
      </c>
      <c r="H8">
        <v>0</v>
      </c>
      <c r="I8" s="10" t="s">
        <v>359</v>
      </c>
      <c r="J8">
        <v>-56.557999999999964</v>
      </c>
      <c r="K8">
        <v>5.4780051259929632</v>
      </c>
      <c r="L8">
        <f t="shared" ref="L8:L39" si="1">(J8-Diagramm_Tmin)/Diagramm_dT+1</f>
        <v>47.884000000000071</v>
      </c>
      <c r="M8" t="e">
        <f t="shared" ref="M8:M71" si="2">IF(J8="","",IF(J8&lt;Zoom_Tmin,NA(),(J8-Zoom_Tmin)/Diagramm_dT+1))</f>
        <v>#N/A</v>
      </c>
      <c r="N8">
        <f t="shared" ref="N8:N71" si="3">IF(J8="","",IF(J8&lt;Zoom2_Tmin,NA(),(J8-Zoom2_Tmin)/Diagramm_dT+1))</f>
        <v>7.8840000000000714</v>
      </c>
      <c r="P8">
        <v>0.89241567971802027</v>
      </c>
      <c r="Q8">
        <v>0</v>
      </c>
      <c r="R8">
        <v>0</v>
      </c>
    </row>
    <row r="9" spans="2:18" x14ac:dyDescent="0.25">
      <c r="B9">
        <v>-79.5</v>
      </c>
      <c r="C9" t="str">
        <f t="shared" si="0"/>
        <v/>
      </c>
      <c r="D9">
        <v>0.93029797403040304</v>
      </c>
      <c r="E9">
        <v>0</v>
      </c>
      <c r="F9">
        <v>0</v>
      </c>
      <c r="G9">
        <v>249.0697020259696</v>
      </c>
      <c r="H9">
        <v>0</v>
      </c>
      <c r="J9">
        <v>-53.501973286128383</v>
      </c>
      <c r="K9">
        <v>6.2465283664309963</v>
      </c>
      <c r="L9">
        <f t="shared" si="1"/>
        <v>53.996053427743234</v>
      </c>
      <c r="M9" t="e">
        <f t="shared" si="2"/>
        <v>#N/A</v>
      </c>
      <c r="N9">
        <f t="shared" si="3"/>
        <v>13.996053427743234</v>
      </c>
      <c r="P9">
        <v>0.93029797403040304</v>
      </c>
      <c r="Q9">
        <v>0</v>
      </c>
      <c r="R9">
        <v>0</v>
      </c>
    </row>
    <row r="10" spans="2:18" x14ac:dyDescent="0.25">
      <c r="B10">
        <v>-79</v>
      </c>
      <c r="C10" t="str">
        <f t="shared" si="0"/>
        <v/>
      </c>
      <c r="D10">
        <v>0.96958837381022944</v>
      </c>
      <c r="E10">
        <v>0</v>
      </c>
      <c r="F10">
        <v>0</v>
      </c>
      <c r="G10">
        <v>249.03041162618976</v>
      </c>
      <c r="H10">
        <v>0</v>
      </c>
      <c r="J10">
        <v>-50.445946572256801</v>
      </c>
      <c r="K10">
        <v>7.094026716138905</v>
      </c>
      <c r="L10">
        <f t="shared" si="1"/>
        <v>60.108106855486398</v>
      </c>
      <c r="M10" t="e">
        <f t="shared" si="2"/>
        <v>#N/A</v>
      </c>
      <c r="N10">
        <f t="shared" si="3"/>
        <v>20.108106855486398</v>
      </c>
      <c r="P10">
        <v>0.96958837381022944</v>
      </c>
      <c r="Q10">
        <v>0</v>
      </c>
      <c r="R10">
        <v>0</v>
      </c>
    </row>
    <row r="11" spans="2:18" x14ac:dyDescent="0.25">
      <c r="B11">
        <v>-78.5</v>
      </c>
      <c r="C11" t="str">
        <f t="shared" si="0"/>
        <v/>
      </c>
      <c r="D11">
        <v>1.010331934508877</v>
      </c>
      <c r="E11">
        <v>0</v>
      </c>
      <c r="F11">
        <v>0</v>
      </c>
      <c r="G11">
        <v>248.98966806549112</v>
      </c>
      <c r="H11">
        <v>0</v>
      </c>
      <c r="J11">
        <v>-47.38991985838522</v>
      </c>
      <c r="K11">
        <v>8.0255579412624787</v>
      </c>
      <c r="L11">
        <f t="shared" si="1"/>
        <v>66.220160283229561</v>
      </c>
      <c r="M11" t="e">
        <f t="shared" si="2"/>
        <v>#N/A</v>
      </c>
      <c r="N11">
        <f t="shared" si="3"/>
        <v>26.220160283229561</v>
      </c>
      <c r="P11">
        <v>1.010331934508877</v>
      </c>
      <c r="Q11">
        <v>0</v>
      </c>
      <c r="R11">
        <v>0</v>
      </c>
    </row>
    <row r="12" spans="2:18" x14ac:dyDescent="0.25">
      <c r="B12">
        <v>-78</v>
      </c>
      <c r="C12" t="str">
        <f t="shared" si="0"/>
        <v/>
      </c>
      <c r="D12">
        <v>1.0525749397826214</v>
      </c>
      <c r="E12">
        <v>0</v>
      </c>
      <c r="F12">
        <v>0</v>
      </c>
      <c r="G12">
        <v>248.94742506021737</v>
      </c>
      <c r="H12">
        <v>0</v>
      </c>
      <c r="J12">
        <v>-44.333893144513638</v>
      </c>
      <c r="K12">
        <v>9.0463049806261271</v>
      </c>
      <c r="L12">
        <f t="shared" si="1"/>
        <v>72.332213710972724</v>
      </c>
      <c r="M12" t="e">
        <f t="shared" si="2"/>
        <v>#N/A</v>
      </c>
      <c r="N12">
        <f t="shared" si="3"/>
        <v>32.332213710972724</v>
      </c>
      <c r="P12">
        <v>1.0525749397826214</v>
      </c>
      <c r="Q12">
        <v>0</v>
      </c>
      <c r="R12">
        <v>0</v>
      </c>
    </row>
    <row r="13" spans="2:18" x14ac:dyDescent="0.25">
      <c r="B13">
        <v>-77.5</v>
      </c>
      <c r="C13" t="str">
        <f t="shared" si="0"/>
        <v/>
      </c>
      <c r="D13">
        <v>1.0963649308553405</v>
      </c>
      <c r="E13">
        <v>0</v>
      </c>
      <c r="F13">
        <v>0</v>
      </c>
      <c r="G13">
        <v>248.90363506914466</v>
      </c>
      <c r="H13">
        <v>0</v>
      </c>
      <c r="J13">
        <v>-41.277866430642057</v>
      </c>
      <c r="K13">
        <v>10.161580260227899</v>
      </c>
      <c r="L13">
        <f t="shared" si="1"/>
        <v>78.444267138715887</v>
      </c>
      <c r="M13" t="e">
        <f t="shared" si="2"/>
        <v>#N/A</v>
      </c>
      <c r="N13">
        <f t="shared" si="3"/>
        <v>38.444267138715887</v>
      </c>
      <c r="P13">
        <v>1.0963649308553405</v>
      </c>
      <c r="Q13">
        <v>0</v>
      </c>
      <c r="R13">
        <v>0</v>
      </c>
    </row>
    <row r="14" spans="2:18" x14ac:dyDescent="0.25">
      <c r="B14">
        <v>-77</v>
      </c>
      <c r="C14" t="str">
        <f t="shared" si="0"/>
        <v/>
      </c>
      <c r="D14">
        <v>1.1417507366031867</v>
      </c>
      <c r="E14">
        <v>0</v>
      </c>
      <c r="F14">
        <v>0</v>
      </c>
      <c r="G14">
        <v>248.8582492633968</v>
      </c>
      <c r="H14">
        <v>0</v>
      </c>
      <c r="J14">
        <v>-38.221839716770475</v>
      </c>
      <c r="K14">
        <v>11.376832494554185</v>
      </c>
      <c r="L14">
        <f t="shared" si="1"/>
        <v>84.55632056645905</v>
      </c>
      <c r="M14" t="e">
        <f t="shared" si="2"/>
        <v>#N/A</v>
      </c>
      <c r="N14">
        <f t="shared" si="3"/>
        <v>44.55632056645905</v>
      </c>
      <c r="P14">
        <v>1.1417507366031867</v>
      </c>
      <c r="Q14">
        <v>0</v>
      </c>
      <c r="R14">
        <v>0</v>
      </c>
    </row>
    <row r="15" spans="2:18" x14ac:dyDescent="0.25">
      <c r="B15">
        <v>-76.5</v>
      </c>
      <c r="C15" t="str">
        <f t="shared" si="0"/>
        <v/>
      </c>
      <c r="D15">
        <v>1.1887825043863187</v>
      </c>
      <c r="E15">
        <v>0</v>
      </c>
      <c r="F15">
        <v>0</v>
      </c>
      <c r="G15">
        <v>248.81121749561368</v>
      </c>
      <c r="H15">
        <v>0</v>
      </c>
      <c r="J15">
        <v>-35.165813002898886</v>
      </c>
      <c r="K15">
        <v>12.697656236143098</v>
      </c>
      <c r="L15">
        <f t="shared" si="1"/>
        <v>90.668373994202227</v>
      </c>
      <c r="M15" t="e">
        <f t="shared" si="2"/>
        <v>#N/A</v>
      </c>
      <c r="N15">
        <f t="shared" si="3"/>
        <v>50.668373994202227</v>
      </c>
      <c r="P15">
        <v>1.1887825043863187</v>
      </c>
      <c r="Q15">
        <v>0</v>
      </c>
      <c r="R15">
        <v>0</v>
      </c>
    </row>
    <row r="16" spans="2:18" x14ac:dyDescent="0.25">
      <c r="B16">
        <v>-76</v>
      </c>
      <c r="C16" t="str">
        <f t="shared" si="0"/>
        <v/>
      </c>
      <c r="D16">
        <v>1.2375117316542428</v>
      </c>
      <c r="E16">
        <v>0</v>
      </c>
      <c r="F16">
        <v>0</v>
      </c>
      <c r="G16">
        <v>248.76248826834575</v>
      </c>
      <c r="H16">
        <v>0</v>
      </c>
      <c r="J16">
        <v>-32.109786289027312</v>
      </c>
      <c r="K16">
        <v>14.129804656079587</v>
      </c>
      <c r="L16">
        <f t="shared" si="1"/>
        <v>96.780427421945376</v>
      </c>
      <c r="M16" t="e">
        <f t="shared" si="2"/>
        <v>#N/A</v>
      </c>
      <c r="N16">
        <f t="shared" si="3"/>
        <v>56.780427421945376</v>
      </c>
      <c r="P16">
        <v>1.2375117316542428</v>
      </c>
      <c r="Q16">
        <v>0</v>
      </c>
      <c r="R16">
        <v>0</v>
      </c>
    </row>
    <row r="17" spans="2:18" x14ac:dyDescent="0.25">
      <c r="B17">
        <v>-75.5</v>
      </c>
      <c r="C17" t="str">
        <f t="shared" si="0"/>
        <v/>
      </c>
      <c r="D17">
        <v>1.2879912983528754</v>
      </c>
      <c r="E17">
        <v>0</v>
      </c>
      <c r="F17">
        <v>0</v>
      </c>
      <c r="G17">
        <v>248.71200870164714</v>
      </c>
      <c r="H17">
        <v>0</v>
      </c>
      <c r="J17">
        <v>-29.053759575155727</v>
      </c>
      <c r="K17">
        <v>15.67923451447156</v>
      </c>
      <c r="L17">
        <f t="shared" si="1"/>
        <v>102.89248084968855</v>
      </c>
      <c r="M17" t="e">
        <f t="shared" si="2"/>
        <v>#N/A</v>
      </c>
      <c r="N17">
        <f t="shared" si="3"/>
        <v>62.892480849688546</v>
      </c>
      <c r="P17">
        <v>1.2879912983528754</v>
      </c>
      <c r="Q17">
        <v>0</v>
      </c>
      <c r="R17">
        <v>0</v>
      </c>
    </row>
    <row r="18" spans="2:18" x14ac:dyDescent="0.25">
      <c r="B18">
        <v>-75</v>
      </c>
      <c r="C18" t="str">
        <f t="shared" si="0"/>
        <v/>
      </c>
      <c r="D18">
        <v>1.340275500163288</v>
      </c>
      <c r="E18">
        <v>0</v>
      </c>
      <c r="F18">
        <v>0</v>
      </c>
      <c r="G18">
        <v>248.6597244998367</v>
      </c>
      <c r="H18">
        <v>0</v>
      </c>
      <c r="J18">
        <v>-25.997732861284145</v>
      </c>
      <c r="K18">
        <v>17.352406968327372</v>
      </c>
      <c r="L18">
        <f t="shared" si="1"/>
        <v>109.0045342774317</v>
      </c>
      <c r="M18" t="e">
        <f t="shared" si="2"/>
        <v>#N/A</v>
      </c>
      <c r="N18">
        <f t="shared" si="3"/>
        <v>69.004534277431702</v>
      </c>
      <c r="P18">
        <v>1.340275500163288</v>
      </c>
      <c r="Q18">
        <v>0</v>
      </c>
      <c r="R18">
        <v>0</v>
      </c>
    </row>
    <row r="19" spans="2:18" x14ac:dyDescent="0.25">
      <c r="B19">
        <v>-74.5</v>
      </c>
      <c r="C19" t="str">
        <f t="shared" si="0"/>
        <v/>
      </c>
      <c r="D19">
        <v>1.3944200826039743</v>
      </c>
      <c r="E19">
        <v>0</v>
      </c>
      <c r="F19">
        <v>0</v>
      </c>
      <c r="G19">
        <v>248.60557991739603</v>
      </c>
      <c r="H19">
        <v>0</v>
      </c>
      <c r="J19">
        <v>-22.94170614741256</v>
      </c>
      <c r="K19">
        <v>19.155353708527862</v>
      </c>
      <c r="L19">
        <f t="shared" si="1"/>
        <v>115.11658770517488</v>
      </c>
      <c r="M19" t="e">
        <f t="shared" si="2"/>
        <v>#N/A</v>
      </c>
      <c r="N19">
        <f t="shared" si="3"/>
        <v>75.116587705174879</v>
      </c>
      <c r="P19">
        <v>1.3944200826039743</v>
      </c>
      <c r="Q19">
        <v>0</v>
      </c>
      <c r="R19">
        <v>0</v>
      </c>
    </row>
    <row r="20" spans="2:18" x14ac:dyDescent="0.25">
      <c r="B20">
        <v>-74</v>
      </c>
      <c r="C20" t="str">
        <f t="shared" si="0"/>
        <v/>
      </c>
      <c r="D20">
        <v>1.4504822760307026</v>
      </c>
      <c r="E20">
        <v>0</v>
      </c>
      <c r="F20">
        <v>0</v>
      </c>
      <c r="G20">
        <v>248.5495177239693</v>
      </c>
      <c r="H20">
        <v>0</v>
      </c>
      <c r="J20">
        <v>-19.885679433540979</v>
      </c>
      <c r="K20">
        <v>21.094699875721581</v>
      </c>
      <c r="L20">
        <f t="shared" si="1"/>
        <v>121.22864113291804</v>
      </c>
      <c r="M20">
        <f t="shared" si="2"/>
        <v>1.2286411329180424</v>
      </c>
      <c r="N20">
        <f t="shared" si="3"/>
        <v>81.228641132918042</v>
      </c>
      <c r="P20">
        <v>1.4504822760307026</v>
      </c>
      <c r="Q20">
        <v>0</v>
      </c>
      <c r="R20">
        <v>0</v>
      </c>
    </row>
    <row r="21" spans="2:18" x14ac:dyDescent="0.25">
      <c r="B21">
        <v>-73.5</v>
      </c>
      <c r="C21" t="str">
        <f t="shared" si="0"/>
        <v/>
      </c>
      <c r="D21">
        <v>1.5085208315704552</v>
      </c>
      <c r="E21">
        <v>0</v>
      </c>
      <c r="F21">
        <v>0</v>
      </c>
      <c r="G21">
        <v>248.49147916842955</v>
      </c>
      <c r="H21">
        <v>0</v>
      </c>
      <c r="J21">
        <v>-16.829652719669397</v>
      </c>
      <c r="K21">
        <v>23.177390130610402</v>
      </c>
      <c r="L21">
        <f t="shared" si="1"/>
        <v>127.34069456066121</v>
      </c>
      <c r="M21">
        <f t="shared" si="2"/>
        <v>7.3406945606612055</v>
      </c>
      <c r="N21">
        <f t="shared" si="3"/>
        <v>87.340694560661206</v>
      </c>
      <c r="P21">
        <v>1.5085208315704552</v>
      </c>
      <c r="Q21">
        <v>0</v>
      </c>
      <c r="R21">
        <v>0</v>
      </c>
    </row>
    <row r="22" spans="2:18" x14ac:dyDescent="0.25">
      <c r="B22">
        <v>-73</v>
      </c>
      <c r="C22" t="str">
        <f t="shared" si="0"/>
        <v/>
      </c>
      <c r="D22">
        <v>1.5685960580286391</v>
      </c>
      <c r="E22">
        <v>0</v>
      </c>
      <c r="F22">
        <v>0</v>
      </c>
      <c r="G22">
        <v>248.43140394197135</v>
      </c>
      <c r="H22">
        <v>0</v>
      </c>
      <c r="J22">
        <v>-13.773626005797816</v>
      </c>
      <c r="K22">
        <v>25.410755922853671</v>
      </c>
      <c r="L22">
        <f t="shared" si="1"/>
        <v>133.45274798840438</v>
      </c>
      <c r="M22">
        <f t="shared" si="2"/>
        <v>13.452747988404369</v>
      </c>
      <c r="N22">
        <f t="shared" si="3"/>
        <v>93.452747988404369</v>
      </c>
      <c r="P22">
        <v>1.5685960580286391</v>
      </c>
      <c r="Q22">
        <v>0</v>
      </c>
      <c r="R22">
        <v>0</v>
      </c>
    </row>
    <row r="23" spans="2:18" x14ac:dyDescent="0.25">
      <c r="B23">
        <v>-72.5</v>
      </c>
      <c r="C23" t="str">
        <f t="shared" si="0"/>
        <v/>
      </c>
      <c r="D23">
        <v>1.6307698598119242</v>
      </c>
      <c r="E23">
        <v>0</v>
      </c>
      <c r="F23">
        <v>0</v>
      </c>
      <c r="G23">
        <v>248.36923014018808</v>
      </c>
      <c r="H23">
        <v>0</v>
      </c>
      <c r="J23">
        <v>-10.717599291926234</v>
      </c>
      <c r="K23">
        <v>27.802604003304531</v>
      </c>
      <c r="L23">
        <f t="shared" si="1"/>
        <v>139.56480141614753</v>
      </c>
      <c r="M23">
        <f t="shared" si="2"/>
        <v>19.564801416147532</v>
      </c>
      <c r="N23">
        <f t="shared" si="3"/>
        <v>99.564801416147532</v>
      </c>
      <c r="P23">
        <v>1.6307698598119242</v>
      </c>
      <c r="Q23">
        <v>0</v>
      </c>
      <c r="R23">
        <v>0</v>
      </c>
    </row>
    <row r="24" spans="2:18" x14ac:dyDescent="0.25">
      <c r="B24">
        <v>-72</v>
      </c>
      <c r="C24" t="str">
        <f t="shared" si="0"/>
        <v/>
      </c>
      <c r="D24">
        <v>1.6951057759124981</v>
      </c>
      <c r="E24">
        <v>0</v>
      </c>
      <c r="F24">
        <v>0</v>
      </c>
      <c r="G24">
        <v>248.30489422408749</v>
      </c>
      <c r="H24">
        <v>0</v>
      </c>
      <c r="J24">
        <v>-7.6615725780546526</v>
      </c>
      <c r="K24">
        <v>30.363205999893026</v>
      </c>
      <c r="L24">
        <f t="shared" si="1"/>
        <v>145.67685484389068</v>
      </c>
      <c r="M24">
        <f t="shared" si="2"/>
        <v>25.676854843890695</v>
      </c>
      <c r="N24">
        <f t="shared" si="3"/>
        <v>105.67685484389069</v>
      </c>
      <c r="P24">
        <v>1.6951057759124981</v>
      </c>
      <c r="Q24">
        <v>0</v>
      </c>
      <c r="R24">
        <v>0</v>
      </c>
    </row>
    <row r="25" spans="2:18" x14ac:dyDescent="0.25">
      <c r="B25">
        <v>-71.5</v>
      </c>
      <c r="C25" t="str">
        <f t="shared" si="0"/>
        <v/>
      </c>
      <c r="D25">
        <v>1.7616690200035732</v>
      </c>
      <c r="E25">
        <v>0</v>
      </c>
      <c r="F25">
        <v>0</v>
      </c>
      <c r="G25">
        <v>248.23833097999642</v>
      </c>
      <c r="H25">
        <v>0</v>
      </c>
      <c r="J25">
        <v>-4.6055458641830711</v>
      </c>
      <c r="K25">
        <v>33.096101826227539</v>
      </c>
      <c r="L25">
        <f t="shared" si="1"/>
        <v>151.78890827163386</v>
      </c>
      <c r="M25">
        <f t="shared" si="2"/>
        <v>31.788908271633858</v>
      </c>
      <c r="N25">
        <f t="shared" si="3"/>
        <v>111.78890827163386</v>
      </c>
      <c r="P25">
        <v>1.7616690200035732</v>
      </c>
      <c r="Q25">
        <v>0</v>
      </c>
      <c r="R25">
        <v>0</v>
      </c>
    </row>
    <row r="26" spans="2:18" x14ac:dyDescent="0.25">
      <c r="B26">
        <v>-71</v>
      </c>
      <c r="C26" t="str">
        <f t="shared" si="0"/>
        <v/>
      </c>
      <c r="D26">
        <v>1.8305265217005857</v>
      </c>
      <c r="E26">
        <v>0</v>
      </c>
      <c r="F26">
        <v>0</v>
      </c>
      <c r="G26">
        <v>248.16947347829941</v>
      </c>
      <c r="H26">
        <v>0</v>
      </c>
      <c r="J26">
        <v>-1.5495191503114896</v>
      </c>
      <c r="K26">
        <v>36.017129110207115</v>
      </c>
      <c r="L26">
        <f t="shared" si="1"/>
        <v>157.90096169937704</v>
      </c>
      <c r="M26">
        <f t="shared" si="2"/>
        <v>37.900961699377021</v>
      </c>
      <c r="N26">
        <f t="shared" si="3"/>
        <v>117.90096169937702</v>
      </c>
      <c r="P26">
        <v>1.8305265217005857</v>
      </c>
      <c r="Q26">
        <v>0</v>
      </c>
      <c r="R26">
        <v>0</v>
      </c>
    </row>
    <row r="27" spans="2:18" x14ac:dyDescent="0.25">
      <c r="B27">
        <v>-70.5</v>
      </c>
      <c r="C27" t="str">
        <f t="shared" si="0"/>
        <v/>
      </c>
      <c r="D27">
        <v>1.901746969047835</v>
      </c>
      <c r="E27">
        <v>0</v>
      </c>
      <c r="F27">
        <v>0</v>
      </c>
      <c r="G27">
        <v>248.09825303095215</v>
      </c>
      <c r="H27">
        <v>0</v>
      </c>
      <c r="J27">
        <v>1.506507563560092</v>
      </c>
      <c r="K27">
        <v>39.136313339837116</v>
      </c>
      <c r="L27">
        <f t="shared" si="1"/>
        <v>164.01301512712018</v>
      </c>
      <c r="M27">
        <f t="shared" si="2"/>
        <v>44.013015127120184</v>
      </c>
      <c r="N27">
        <f t="shared" si="3"/>
        <v>124.01301512712018</v>
      </c>
      <c r="P27">
        <v>1.901746969047835</v>
      </c>
      <c r="Q27">
        <v>0</v>
      </c>
      <c r="R27">
        <v>0</v>
      </c>
    </row>
    <row r="28" spans="2:18" x14ac:dyDescent="0.25">
      <c r="B28">
        <v>-70</v>
      </c>
      <c r="C28" t="str">
        <f t="shared" si="0"/>
        <v/>
      </c>
      <c r="D28">
        <v>1.9754008522965969</v>
      </c>
      <c r="E28">
        <v>0</v>
      </c>
      <c r="F28">
        <v>0</v>
      </c>
      <c r="G28">
        <v>248.02459914770341</v>
      </c>
      <c r="H28">
        <v>0</v>
      </c>
      <c r="J28">
        <v>4.5625342774316735</v>
      </c>
      <c r="K28">
        <v>42.466439159222979</v>
      </c>
      <c r="L28">
        <f t="shared" si="1"/>
        <v>170.12506855486333</v>
      </c>
      <c r="M28">
        <f t="shared" si="2"/>
        <v>50.125068554863347</v>
      </c>
      <c r="N28">
        <f t="shared" si="3"/>
        <v>130.12506855486333</v>
      </c>
      <c r="P28">
        <v>1.9754008522965969</v>
      </c>
      <c r="Q28">
        <v>0</v>
      </c>
      <c r="R28">
        <v>0</v>
      </c>
    </row>
    <row r="29" spans="2:18" x14ac:dyDescent="0.25">
      <c r="B29">
        <v>-69.5</v>
      </c>
      <c r="C29" t="str">
        <f t="shared" si="0"/>
        <v/>
      </c>
      <c r="D29">
        <v>2.0515605090479743</v>
      </c>
      <c r="E29">
        <v>0</v>
      </c>
      <c r="F29">
        <v>0</v>
      </c>
      <c r="G29">
        <v>247.94843949095201</v>
      </c>
      <c r="H29">
        <v>0</v>
      </c>
      <c r="J29">
        <v>7.618560991303255</v>
      </c>
      <c r="K29">
        <v>46.023360530623989</v>
      </c>
      <c r="L29">
        <f t="shared" si="1"/>
        <v>176.23712198260651</v>
      </c>
      <c r="M29">
        <f t="shared" si="2"/>
        <v>56.23712198260651</v>
      </c>
      <c r="N29">
        <f t="shared" si="3"/>
        <v>136.23712198260651</v>
      </c>
      <c r="P29">
        <v>2.0515605090479743</v>
      </c>
      <c r="Q29">
        <v>0</v>
      </c>
      <c r="R29">
        <v>0</v>
      </c>
    </row>
    <row r="30" spans="2:18" x14ac:dyDescent="0.25">
      <c r="B30">
        <v>-69</v>
      </c>
      <c r="C30" t="str">
        <f t="shared" si="0"/>
        <v/>
      </c>
      <c r="D30">
        <v>2.1303001708424727</v>
      </c>
      <c r="E30">
        <v>0</v>
      </c>
      <c r="F30">
        <v>0</v>
      </c>
      <c r="G30">
        <v>247.86969982915753</v>
      </c>
      <c r="H30">
        <v>0</v>
      </c>
      <c r="J30">
        <v>10.674587705174844</v>
      </c>
      <c r="K30">
        <v>49.826593298424697</v>
      </c>
      <c r="L30">
        <f t="shared" si="1"/>
        <v>182.34917541034969</v>
      </c>
      <c r="M30">
        <f t="shared" si="2"/>
        <v>62.349175410349687</v>
      </c>
      <c r="N30">
        <f t="shared" si="3"/>
        <v>142.34917541034969</v>
      </c>
      <c r="P30">
        <v>2.1303001708424727</v>
      </c>
      <c r="Q30">
        <v>0</v>
      </c>
      <c r="R30">
        <v>0</v>
      </c>
    </row>
    <row r="31" spans="2:18" x14ac:dyDescent="0.25">
      <c r="B31">
        <v>-68.5</v>
      </c>
      <c r="C31" t="str">
        <f t="shared" si="0"/>
        <v/>
      </c>
      <c r="D31">
        <v>2.2116960112886028</v>
      </c>
      <c r="E31">
        <v>0</v>
      </c>
      <c r="F31">
        <v>0</v>
      </c>
      <c r="G31">
        <v>247.78830398871139</v>
      </c>
      <c r="H31">
        <v>0</v>
      </c>
      <c r="J31">
        <v>13.730614419046418</v>
      </c>
      <c r="K31">
        <v>53.902917038676897</v>
      </c>
      <c r="L31">
        <f t="shared" si="1"/>
        <v>188.46122883809284</v>
      </c>
      <c r="M31">
        <f t="shared" si="2"/>
        <v>68.461228838092836</v>
      </c>
      <c r="N31">
        <f t="shared" si="3"/>
        <v>148.46122883809284</v>
      </c>
      <c r="P31">
        <v>2.2116960112886028</v>
      </c>
      <c r="Q31">
        <v>0</v>
      </c>
      <c r="R31">
        <v>0</v>
      </c>
    </row>
    <row r="32" spans="2:18" x14ac:dyDescent="0.25">
      <c r="B32">
        <v>-68</v>
      </c>
      <c r="C32" t="str">
        <f t="shared" si="0"/>
        <v/>
      </c>
      <c r="D32">
        <v>2.2958261958352479</v>
      </c>
      <c r="E32">
        <v>0</v>
      </c>
      <c r="F32">
        <v>0</v>
      </c>
      <c r="G32">
        <v>247.70417380416475</v>
      </c>
      <c r="H32">
        <v>0</v>
      </c>
      <c r="J32">
        <v>16.786641132918007</v>
      </c>
      <c r="K32">
        <v>58.288588500852839</v>
      </c>
      <c r="L32">
        <f t="shared" si="1"/>
        <v>194.57328226583601</v>
      </c>
      <c r="M32">
        <f t="shared" si="2"/>
        <v>74.573282265836013</v>
      </c>
      <c r="N32">
        <f t="shared" si="3"/>
        <v>154.57328226583601</v>
      </c>
      <c r="P32">
        <v>2.2958261958352479</v>
      </c>
      <c r="Q32">
        <v>0</v>
      </c>
      <c r="R32">
        <v>0</v>
      </c>
    </row>
    <row r="33" spans="2:18" x14ac:dyDescent="0.25">
      <c r="B33">
        <v>-67.5</v>
      </c>
      <c r="C33" t="str">
        <f t="shared" si="0"/>
        <v/>
      </c>
      <c r="D33">
        <v>2.3827709333077967</v>
      </c>
      <c r="E33">
        <v>0</v>
      </c>
      <c r="F33">
        <v>0</v>
      </c>
      <c r="G33">
        <v>247.6172290666922</v>
      </c>
      <c r="H33">
        <v>0</v>
      </c>
      <c r="J33">
        <v>19.842667846789581</v>
      </c>
      <c r="K33">
        <v>63.115296932976065</v>
      </c>
      <c r="L33">
        <f t="shared" si="1"/>
        <v>200.68533569357916</v>
      </c>
      <c r="M33">
        <f t="shared" si="2"/>
        <v>80.685335693579162</v>
      </c>
      <c r="N33">
        <f t="shared" si="3"/>
        <v>160.68533569357916</v>
      </c>
      <c r="P33">
        <v>2.3827709333077967</v>
      </c>
      <c r="Q33">
        <v>0</v>
      </c>
      <c r="R33">
        <v>0</v>
      </c>
    </row>
    <row r="34" spans="2:18" x14ac:dyDescent="0.25">
      <c r="B34">
        <v>-67</v>
      </c>
      <c r="C34" t="str">
        <f t="shared" si="0"/>
        <v/>
      </c>
      <c r="D34">
        <v>2.4726125293466135</v>
      </c>
      <c r="E34">
        <v>0</v>
      </c>
      <c r="F34">
        <v>0</v>
      </c>
      <c r="G34">
        <v>247.52738747065339</v>
      </c>
      <c r="H34">
        <v>0</v>
      </c>
      <c r="J34">
        <v>22.89869456066117</v>
      </c>
      <c r="K34">
        <v>68.296439810562831</v>
      </c>
      <c r="L34">
        <f t="shared" si="1"/>
        <v>206.79738912132234</v>
      </c>
      <c r="M34">
        <f t="shared" si="2"/>
        <v>86.79738912132234</v>
      </c>
      <c r="N34">
        <f t="shared" si="3"/>
        <v>166.79738912132234</v>
      </c>
      <c r="P34">
        <v>2.4726125293466135</v>
      </c>
      <c r="Q34">
        <v>0</v>
      </c>
      <c r="R34">
        <v>0</v>
      </c>
    </row>
    <row r="35" spans="2:18" x14ac:dyDescent="0.25">
      <c r="B35">
        <v>-66.5</v>
      </c>
      <c r="C35" t="str">
        <f t="shared" si="0"/>
        <v/>
      </c>
      <c r="D35">
        <v>2.5654354419096896</v>
      </c>
      <c r="E35">
        <v>0</v>
      </c>
      <c r="F35">
        <v>0</v>
      </c>
      <c r="G35">
        <v>247.4345645580903</v>
      </c>
      <c r="H35">
        <v>0</v>
      </c>
      <c r="J35">
        <v>25.954721274532744</v>
      </c>
      <c r="K35">
        <v>74.339555460510013</v>
      </c>
      <c r="L35">
        <f t="shared" si="1"/>
        <v>212.90944254906549</v>
      </c>
      <c r="M35">
        <f t="shared" si="2"/>
        <v>92.909442549065488</v>
      </c>
      <c r="N35">
        <f t="shared" si="3"/>
        <v>172.90944254906549</v>
      </c>
      <c r="P35">
        <v>2.5654354419096896</v>
      </c>
      <c r="Q35">
        <v>0</v>
      </c>
      <c r="R35">
        <v>0</v>
      </c>
    </row>
    <row r="36" spans="2:18" x14ac:dyDescent="0.25">
      <c r="B36">
        <v>-66</v>
      </c>
      <c r="C36" t="str">
        <f t="shared" si="0"/>
        <v/>
      </c>
      <c r="D36">
        <v>2.6613263390304978</v>
      </c>
      <c r="E36">
        <v>0</v>
      </c>
      <c r="F36">
        <v>0</v>
      </c>
      <c r="G36">
        <v>247.3386736609695</v>
      </c>
      <c r="H36">
        <v>0</v>
      </c>
      <c r="J36">
        <v>26.057651672672023</v>
      </c>
      <c r="K36">
        <v>74.556723930467271</v>
      </c>
      <c r="L36">
        <f t="shared" si="1"/>
        <v>213.11530334534405</v>
      </c>
      <c r="M36">
        <f t="shared" si="2"/>
        <v>93.115303345344046</v>
      </c>
      <c r="N36">
        <f t="shared" si="3"/>
        <v>173.11530334534405</v>
      </c>
      <c r="P36">
        <v>2.6613263390304978</v>
      </c>
      <c r="Q36">
        <v>0</v>
      </c>
      <c r="R36">
        <v>0</v>
      </c>
    </row>
    <row r="37" spans="2:18" x14ac:dyDescent="0.25">
      <c r="B37">
        <v>-65.5</v>
      </c>
      <c r="C37" t="str">
        <f t="shared" si="0"/>
        <v/>
      </c>
      <c r="D37">
        <v>2.7603741590594004</v>
      </c>
      <c r="E37">
        <v>0</v>
      </c>
      <c r="F37">
        <v>0</v>
      </c>
      <c r="G37">
        <v>247.23962584094059</v>
      </c>
      <c r="H37">
        <v>0</v>
      </c>
      <c r="J37">
        <v>27.048355436591578</v>
      </c>
      <c r="K37">
        <v>76.933953502157294</v>
      </c>
      <c r="L37">
        <f t="shared" si="1"/>
        <v>215.09671087318316</v>
      </c>
      <c r="M37">
        <f t="shared" si="2"/>
        <v>95.096710873183156</v>
      </c>
      <c r="N37">
        <f t="shared" si="3"/>
        <v>175.09671087318316</v>
      </c>
      <c r="P37">
        <v>2.7603741590594004</v>
      </c>
      <c r="Q37">
        <v>0</v>
      </c>
      <c r="R37">
        <v>0</v>
      </c>
    </row>
    <row r="38" spans="2:18" x14ac:dyDescent="0.25">
      <c r="B38">
        <v>-65</v>
      </c>
      <c r="C38" t="str">
        <f t="shared" si="0"/>
        <v/>
      </c>
      <c r="D38">
        <v>2.862670173664994</v>
      </c>
      <c r="E38">
        <v>0</v>
      </c>
      <c r="F38">
        <v>0</v>
      </c>
      <c r="G38">
        <v>247.13732982633502</v>
      </c>
      <c r="H38">
        <v>0</v>
      </c>
      <c r="J38">
        <v>27.734889984125346</v>
      </c>
      <c r="K38">
        <v>78.941156502790562</v>
      </c>
      <c r="L38">
        <f t="shared" si="1"/>
        <v>216.46977996825069</v>
      </c>
      <c r="M38">
        <f t="shared" si="2"/>
        <v>96.469779968250691</v>
      </c>
      <c r="N38">
        <f t="shared" si="3"/>
        <v>176.46977996825069</v>
      </c>
      <c r="P38">
        <v>2.862670173664994</v>
      </c>
      <c r="Q38">
        <v>0</v>
      </c>
      <c r="R38">
        <v>0</v>
      </c>
    </row>
    <row r="39" spans="2:18" x14ac:dyDescent="0.25">
      <c r="B39">
        <v>-64.5</v>
      </c>
      <c r="C39" t="str">
        <f t="shared" si="0"/>
        <v/>
      </c>
      <c r="D39">
        <v>2.9683080539352531</v>
      </c>
      <c r="E39">
        <v>0</v>
      </c>
      <c r="F39">
        <v>0</v>
      </c>
      <c r="G39">
        <v>247.03169194606474</v>
      </c>
      <c r="H39">
        <v>0</v>
      </c>
      <c r="J39">
        <v>28.073541864743618</v>
      </c>
      <c r="K39">
        <v>80.494760566134005</v>
      </c>
      <c r="L39">
        <f t="shared" si="1"/>
        <v>217.14708372948724</v>
      </c>
      <c r="M39">
        <f t="shared" si="2"/>
        <v>97.147083729487235</v>
      </c>
      <c r="N39">
        <f t="shared" si="3"/>
        <v>177.14708372948724</v>
      </c>
      <c r="P39">
        <v>2.9683080539352531</v>
      </c>
      <c r="Q39">
        <v>0</v>
      </c>
      <c r="R39">
        <v>0</v>
      </c>
    </row>
    <row r="40" spans="2:18" x14ac:dyDescent="0.25">
      <c r="B40">
        <v>-64</v>
      </c>
      <c r="C40" t="str">
        <f t="shared" si="0"/>
        <v/>
      </c>
      <c r="D40">
        <v>3.0773839400026244</v>
      </c>
      <c r="E40">
        <v>0</v>
      </c>
      <c r="F40">
        <v>0</v>
      </c>
      <c r="G40">
        <v>246.92261605999738</v>
      </c>
      <c r="H40">
        <v>0</v>
      </c>
      <c r="J40">
        <v>28.093324350116518</v>
      </c>
      <c r="K40">
        <v>80.896473762668705</v>
      </c>
      <c r="L40">
        <f t="shared" ref="L40:L71" si="4">(J40-Diagramm_Tmin)/Diagramm_dT+1</f>
        <v>217.18664870023304</v>
      </c>
      <c r="M40">
        <f t="shared" si="2"/>
        <v>97.186648700233036</v>
      </c>
      <c r="N40">
        <f t="shared" si="3"/>
        <v>177.18664870023304</v>
      </c>
      <c r="P40">
        <v>3.0773839400026244</v>
      </c>
      <c r="Q40">
        <v>0</v>
      </c>
      <c r="R40">
        <v>0</v>
      </c>
    </row>
    <row r="41" spans="2:18" x14ac:dyDescent="0.25">
      <c r="B41">
        <v>-63.5</v>
      </c>
      <c r="C41" t="str">
        <f t="shared" si="0"/>
        <v/>
      </c>
      <c r="D41">
        <v>3.1899965147323135</v>
      </c>
      <c r="E41">
        <v>0</v>
      </c>
      <c r="F41">
        <v>0</v>
      </c>
      <c r="G41">
        <v>246.81000348526769</v>
      </c>
      <c r="H41">
        <v>0</v>
      </c>
      <c r="J41">
        <v>28.059882291791212</v>
      </c>
      <c r="K41">
        <v>81.224767037052715</v>
      </c>
      <c r="L41">
        <f t="shared" si="4"/>
        <v>217.11976458358242</v>
      </c>
      <c r="M41">
        <f t="shared" si="2"/>
        <v>97.119764583582423</v>
      </c>
      <c r="N41">
        <f t="shared" si="3"/>
        <v>177.11976458358242</v>
      </c>
      <c r="P41">
        <v>3.1899965147323135</v>
      </c>
      <c r="Q41">
        <v>0</v>
      </c>
      <c r="R41">
        <v>0</v>
      </c>
    </row>
    <row r="42" spans="2:18" x14ac:dyDescent="0.25">
      <c r="B42">
        <v>-63</v>
      </c>
      <c r="C42" t="str">
        <f t="shared" si="0"/>
        <v/>
      </c>
      <c r="D42">
        <v>3.3062470821726935</v>
      </c>
      <c r="E42">
        <v>0</v>
      </c>
      <c r="F42">
        <v>0</v>
      </c>
      <c r="G42">
        <v>246.69375291782731</v>
      </c>
      <c r="H42">
        <v>0</v>
      </c>
      <c r="J42">
        <v>27.84956025727422</v>
      </c>
      <c r="K42">
        <v>81.685344406773822</v>
      </c>
      <c r="L42">
        <f t="shared" si="4"/>
        <v>216.69912051454844</v>
      </c>
      <c r="M42">
        <f t="shared" si="2"/>
        <v>96.69912051454844</v>
      </c>
      <c r="N42">
        <f t="shared" si="3"/>
        <v>176.69912051454844</v>
      </c>
      <c r="P42">
        <v>3.3062470821726935</v>
      </c>
      <c r="Q42">
        <v>0</v>
      </c>
      <c r="R42">
        <v>0</v>
      </c>
    </row>
    <row r="43" spans="2:18" x14ac:dyDescent="0.25">
      <c r="B43">
        <v>-62.5</v>
      </c>
      <c r="C43" t="str">
        <f t="shared" si="0"/>
        <v/>
      </c>
      <c r="D43">
        <v>3.426239651693705</v>
      </c>
      <c r="E43">
        <v>0</v>
      </c>
      <c r="F43">
        <v>0</v>
      </c>
      <c r="G43">
        <v>246.57376034830631</v>
      </c>
      <c r="H43">
        <v>0</v>
      </c>
      <c r="J43">
        <v>27.766665644219358</v>
      </c>
      <c r="K43">
        <v>81.838319578037911</v>
      </c>
      <c r="L43">
        <f t="shared" si="4"/>
        <v>216.53333128843872</v>
      </c>
      <c r="M43">
        <f t="shared" si="2"/>
        <v>96.533331288438717</v>
      </c>
      <c r="N43">
        <f t="shared" si="3"/>
        <v>176.53333128843872</v>
      </c>
      <c r="P43">
        <v>3.4262396516937059</v>
      </c>
      <c r="Q43">
        <v>0</v>
      </c>
      <c r="R43">
        <v>0</v>
      </c>
    </row>
    <row r="44" spans="2:18" x14ac:dyDescent="0.25">
      <c r="B44">
        <v>-62</v>
      </c>
      <c r="C44" t="str">
        <f t="shared" si="0"/>
        <v/>
      </c>
      <c r="D44">
        <v>3.5500810290707134</v>
      </c>
      <c r="E44">
        <v>0</v>
      </c>
      <c r="F44">
        <v>0</v>
      </c>
      <c r="G44">
        <v>246.44991897092928</v>
      </c>
      <c r="H44">
        <v>0</v>
      </c>
      <c r="J44">
        <v>27.54550628587981</v>
      </c>
      <c r="K44">
        <v>82.075301596995402</v>
      </c>
      <c r="L44">
        <f t="shared" si="4"/>
        <v>216.09101257175962</v>
      </c>
      <c r="M44">
        <f t="shared" si="2"/>
        <v>96.09101257175962</v>
      </c>
      <c r="N44">
        <f t="shared" si="3"/>
        <v>176.09101257175962</v>
      </c>
      <c r="P44">
        <v>3.5500810290707134</v>
      </c>
      <c r="Q44">
        <v>0</v>
      </c>
      <c r="R44">
        <v>0</v>
      </c>
    </row>
    <row r="45" spans="2:18" x14ac:dyDescent="0.25">
      <c r="B45">
        <v>-61.5</v>
      </c>
      <c r="C45" t="str">
        <f t="shared" si="0"/>
        <v/>
      </c>
      <c r="D45">
        <v>3.6778809162695403</v>
      </c>
      <c r="E45">
        <v>0</v>
      </c>
      <c r="F45">
        <v>0</v>
      </c>
      <c r="G45">
        <v>246.32211908373046</v>
      </c>
      <c r="H45">
        <v>0</v>
      </c>
      <c r="J45">
        <v>27.447833566950521</v>
      </c>
      <c r="K45">
        <v>82.127440129186695</v>
      </c>
      <c r="L45">
        <f t="shared" si="4"/>
        <v>215.89566713390104</v>
      </c>
      <c r="M45">
        <f t="shared" si="2"/>
        <v>95.895667133901043</v>
      </c>
      <c r="N45">
        <f t="shared" si="3"/>
        <v>175.89566713390104</v>
      </c>
      <c r="P45">
        <v>3.6778809162695403</v>
      </c>
      <c r="Q45">
        <v>0</v>
      </c>
      <c r="R45">
        <v>0</v>
      </c>
    </row>
    <row r="46" spans="2:18" x14ac:dyDescent="0.25">
      <c r="B46">
        <v>-61</v>
      </c>
      <c r="C46" t="str">
        <f t="shared" si="0"/>
        <v/>
      </c>
      <c r="D46">
        <v>3.8097520224647976</v>
      </c>
      <c r="E46">
        <v>0</v>
      </c>
      <c r="F46">
        <v>0</v>
      </c>
      <c r="G46">
        <v>246.19024797753519</v>
      </c>
      <c r="H46">
        <v>0</v>
      </c>
      <c r="J46">
        <v>27.213117993384571</v>
      </c>
      <c r="K46">
        <v>82.17759431791859</v>
      </c>
      <c r="L46">
        <f t="shared" si="4"/>
        <v>215.42623598676914</v>
      </c>
      <c r="M46">
        <f t="shared" si="2"/>
        <v>95.426235986769143</v>
      </c>
      <c r="N46">
        <f t="shared" si="3"/>
        <v>175.42623598676914</v>
      </c>
      <c r="P46">
        <v>3.8097520224647976</v>
      </c>
      <c r="Q46">
        <v>0</v>
      </c>
      <c r="R46">
        <v>0</v>
      </c>
    </row>
    <row r="47" spans="2:18" x14ac:dyDescent="0.25">
      <c r="B47">
        <v>-60.5</v>
      </c>
      <c r="C47" t="str">
        <f t="shared" si="0"/>
        <v/>
      </c>
      <c r="D47">
        <v>3.9458101900827693</v>
      </c>
      <c r="E47">
        <v>0</v>
      </c>
      <c r="F47">
        <v>0</v>
      </c>
      <c r="G47">
        <v>246.05418980991723</v>
      </c>
      <c r="H47">
        <v>0</v>
      </c>
      <c r="J47">
        <v>26.914682352240902</v>
      </c>
      <c r="K47">
        <v>82.142568673071494</v>
      </c>
      <c r="L47">
        <f t="shared" si="4"/>
        <v>214.8293647044818</v>
      </c>
      <c r="M47">
        <f t="shared" si="2"/>
        <v>94.829364704481804</v>
      </c>
      <c r="N47">
        <f t="shared" si="3"/>
        <v>174.8293647044818</v>
      </c>
      <c r="P47">
        <v>3.9458101900827693</v>
      </c>
      <c r="Q47">
        <v>0</v>
      </c>
      <c r="R47">
        <v>0</v>
      </c>
    </row>
    <row r="48" spans="2:18" x14ac:dyDescent="0.25">
      <c r="B48">
        <v>-60</v>
      </c>
      <c r="C48" t="str">
        <f t="shared" si="0"/>
        <v>-60</v>
      </c>
      <c r="D48">
        <v>4.0861745418042217</v>
      </c>
      <c r="E48">
        <v>0</v>
      </c>
      <c r="F48">
        <v>0</v>
      </c>
      <c r="G48">
        <v>245.91382545819579</v>
      </c>
      <c r="H48">
        <v>0</v>
      </c>
      <c r="J48">
        <v>26.112170954875467</v>
      </c>
      <c r="K48">
        <v>81.790286378469247</v>
      </c>
      <c r="L48">
        <f t="shared" si="4"/>
        <v>213.22434190975093</v>
      </c>
      <c r="M48">
        <f t="shared" si="2"/>
        <v>93.224341909750933</v>
      </c>
      <c r="N48">
        <f t="shared" si="3"/>
        <v>173.22434190975093</v>
      </c>
      <c r="P48">
        <v>4.0861745418042217</v>
      </c>
      <c r="Q48">
        <v>0</v>
      </c>
      <c r="R48">
        <v>0</v>
      </c>
    </row>
    <row r="49" spans="2:18" x14ac:dyDescent="0.25">
      <c r="B49">
        <v>-59.5</v>
      </c>
      <c r="C49" t="str">
        <f t="shared" si="0"/>
        <v/>
      </c>
      <c r="D49">
        <v>4.2309676583365281</v>
      </c>
      <c r="E49">
        <v>0</v>
      </c>
      <c r="F49">
        <v>0</v>
      </c>
      <c r="G49">
        <v>245.76903234166346</v>
      </c>
      <c r="H49">
        <v>0</v>
      </c>
      <c r="J49">
        <v>25.954721274532744</v>
      </c>
      <c r="K49">
        <v>81.686326049855197</v>
      </c>
      <c r="L49">
        <f t="shared" si="4"/>
        <v>212.90944254906549</v>
      </c>
      <c r="M49">
        <f t="shared" si="2"/>
        <v>92.909442549065488</v>
      </c>
      <c r="N49">
        <f t="shared" si="3"/>
        <v>172.90944254906549</v>
      </c>
      <c r="P49">
        <v>4.2309676583365281</v>
      </c>
      <c r="Q49">
        <v>0</v>
      </c>
      <c r="R49">
        <v>0</v>
      </c>
    </row>
    <row r="50" spans="2:18" x14ac:dyDescent="0.25">
      <c r="B50">
        <v>-59</v>
      </c>
      <c r="C50" t="str">
        <f t="shared" si="0"/>
        <v/>
      </c>
      <c r="D50">
        <v>4.3803158042993156</v>
      </c>
      <c r="E50">
        <v>0</v>
      </c>
      <c r="F50">
        <v>0</v>
      </c>
      <c r="G50">
        <v>245.61968419570067</v>
      </c>
      <c r="H50">
        <v>0</v>
      </c>
      <c r="J50">
        <v>23.007838371870861</v>
      </c>
      <c r="K50">
        <v>79.403896306172044</v>
      </c>
      <c r="L50">
        <f t="shared" si="4"/>
        <v>207.01567674374172</v>
      </c>
      <c r="M50">
        <f t="shared" si="2"/>
        <v>87.015676743741722</v>
      </c>
      <c r="N50">
        <f t="shared" si="3"/>
        <v>167.01567674374172</v>
      </c>
      <c r="P50">
        <v>4.3803158042993156</v>
      </c>
      <c r="Q50">
        <v>0</v>
      </c>
      <c r="R50">
        <v>0</v>
      </c>
    </row>
    <row r="51" spans="2:18" x14ac:dyDescent="0.25">
      <c r="B51">
        <v>-58.5</v>
      </c>
      <c r="C51" t="str">
        <f t="shared" si="0"/>
        <v/>
      </c>
      <c r="D51">
        <v>4.5343492356916677</v>
      </c>
      <c r="E51">
        <v>0</v>
      </c>
      <c r="F51">
        <v>0</v>
      </c>
      <c r="G51">
        <v>245.46565076430832</v>
      </c>
      <c r="H51">
        <v>0</v>
      </c>
      <c r="J51">
        <v>20.060955469208977</v>
      </c>
      <c r="K51">
        <v>76.706643047108898</v>
      </c>
      <c r="L51">
        <f t="shared" si="4"/>
        <v>201.12191093841795</v>
      </c>
      <c r="M51">
        <f t="shared" si="2"/>
        <v>81.121910938417955</v>
      </c>
      <c r="N51">
        <f t="shared" si="3"/>
        <v>161.12191093841795</v>
      </c>
      <c r="P51">
        <v>4.5343492356916677</v>
      </c>
      <c r="Q51">
        <v>0</v>
      </c>
      <c r="R51">
        <v>0</v>
      </c>
    </row>
    <row r="52" spans="2:18" x14ac:dyDescent="0.25">
      <c r="B52">
        <v>-58</v>
      </c>
      <c r="C52" t="str">
        <f t="shared" si="0"/>
        <v/>
      </c>
      <c r="D52">
        <v>4.6932026616762457</v>
      </c>
      <c r="E52">
        <v>0</v>
      </c>
      <c r="F52">
        <v>0</v>
      </c>
      <c r="G52">
        <v>245.30679733832375</v>
      </c>
      <c r="H52">
        <v>0</v>
      </c>
      <c r="J52">
        <v>17.114072566547097</v>
      </c>
      <c r="K52">
        <v>73.917273160672508</v>
      </c>
      <c r="L52">
        <f t="shared" si="4"/>
        <v>195.22814513309419</v>
      </c>
      <c r="M52">
        <f t="shared" si="2"/>
        <v>75.228145133094188</v>
      </c>
      <c r="N52">
        <f t="shared" si="3"/>
        <v>155.22814513309419</v>
      </c>
      <c r="P52">
        <v>4.6932026616762457</v>
      </c>
      <c r="Q52">
        <v>0</v>
      </c>
      <c r="R52">
        <v>0</v>
      </c>
    </row>
    <row r="53" spans="2:18" x14ac:dyDescent="0.25">
      <c r="B53">
        <v>-57.5</v>
      </c>
      <c r="C53" t="str">
        <f t="shared" si="0"/>
        <v/>
      </c>
      <c r="D53">
        <v>4.8570160489607197</v>
      </c>
      <c r="E53">
        <v>0</v>
      </c>
      <c r="F53">
        <v>0</v>
      </c>
      <c r="G53">
        <v>245.14298395103927</v>
      </c>
      <c r="H53">
        <v>0</v>
      </c>
      <c r="J53">
        <v>14.167189663885214</v>
      </c>
      <c r="K53">
        <v>71.162241328121723</v>
      </c>
      <c r="L53">
        <f t="shared" si="4"/>
        <v>189.33437932777042</v>
      </c>
      <c r="M53">
        <f t="shared" si="2"/>
        <v>69.334379327770421</v>
      </c>
      <c r="N53">
        <f t="shared" si="3"/>
        <v>149.33437932777042</v>
      </c>
      <c r="P53">
        <v>4.8570160489607197</v>
      </c>
      <c r="Q53">
        <v>0</v>
      </c>
      <c r="R53">
        <v>0</v>
      </c>
    </row>
    <row r="54" spans="2:18" x14ac:dyDescent="0.25">
      <c r="B54">
        <v>-57</v>
      </c>
      <c r="C54" t="str">
        <f t="shared" si="0"/>
        <v/>
      </c>
      <c r="D54">
        <v>5.0259364249698981</v>
      </c>
      <c r="E54">
        <v>0</v>
      </c>
      <c r="F54">
        <v>0</v>
      </c>
      <c r="G54">
        <v>244.9740635750301</v>
      </c>
      <c r="H54">
        <v>0</v>
      </c>
      <c r="J54">
        <v>11.22030676122333</v>
      </c>
      <c r="K54">
        <v>68.499105449613097</v>
      </c>
      <c r="L54">
        <f t="shared" si="4"/>
        <v>183.44061352244665</v>
      </c>
      <c r="M54">
        <f t="shared" si="2"/>
        <v>63.440613522446661</v>
      </c>
      <c r="N54">
        <f t="shared" si="3"/>
        <v>143.44061352244665</v>
      </c>
      <c r="P54">
        <v>5.0259364249698981</v>
      </c>
      <c r="Q54">
        <v>0</v>
      </c>
      <c r="R54">
        <v>0</v>
      </c>
    </row>
    <row r="55" spans="2:18" x14ac:dyDescent="0.25">
      <c r="B55">
        <v>-56.5</v>
      </c>
      <c r="C55" t="str">
        <f t="shared" si="0"/>
        <v/>
      </c>
      <c r="D55">
        <v>5.4919860799449749</v>
      </c>
      <c r="E55">
        <v>-43.321938775399936</v>
      </c>
      <c r="F55">
        <v>0</v>
      </c>
      <c r="G55">
        <v>242.10720440871191</v>
      </c>
      <c r="H55">
        <v>45.722748286743055</v>
      </c>
      <c r="J55">
        <v>8.2734238585614506</v>
      </c>
      <c r="K55">
        <v>65.950868682966799</v>
      </c>
      <c r="L55">
        <f t="shared" si="4"/>
        <v>177.54684771712289</v>
      </c>
      <c r="M55">
        <f t="shared" si="2"/>
        <v>57.546847717122901</v>
      </c>
      <c r="N55">
        <f t="shared" si="3"/>
        <v>137.54684771712289</v>
      </c>
      <c r="P55">
        <v>5.1927198057659556</v>
      </c>
      <c r="Q55">
        <v>2.7000757855221309</v>
      </c>
      <c r="R55">
        <v>0</v>
      </c>
    </row>
    <row r="56" spans="2:18" x14ac:dyDescent="0.25">
      <c r="B56">
        <v>-56</v>
      </c>
      <c r="C56" t="str">
        <f t="shared" si="0"/>
        <v/>
      </c>
      <c r="D56">
        <v>5.6127439371801966</v>
      </c>
      <c r="E56">
        <v>-19.573657769234739</v>
      </c>
      <c r="F56">
        <v>0</v>
      </c>
      <c r="G56">
        <v>218.65464354090309</v>
      </c>
      <c r="H56">
        <v>45.306270291151449</v>
      </c>
      <c r="J56">
        <v>5.3265409558995671</v>
      </c>
      <c r="K56">
        <v>63.532027644965225</v>
      </c>
      <c r="L56">
        <f t="shared" si="4"/>
        <v>171.65308191179912</v>
      </c>
      <c r="M56">
        <f t="shared" si="2"/>
        <v>51.653081911799134</v>
      </c>
      <c r="N56">
        <f t="shared" si="3"/>
        <v>131.65308191179912</v>
      </c>
      <c r="P56">
        <v>5.3064848802506397</v>
      </c>
      <c r="Q56">
        <v>26.038871578846255</v>
      </c>
      <c r="R56">
        <v>0</v>
      </c>
    </row>
    <row r="57" spans="2:18" x14ac:dyDescent="0.25">
      <c r="B57">
        <v>-55.5</v>
      </c>
      <c r="C57" t="str">
        <f t="shared" si="0"/>
        <v/>
      </c>
      <c r="D57">
        <v>5.7355076682387329</v>
      </c>
      <c r="E57">
        <v>4.2776478480946309</v>
      </c>
      <c r="F57">
        <v>0</v>
      </c>
      <c r="G57">
        <v>195.08860930988234</v>
      </c>
      <c r="H57">
        <v>44.898235173784293</v>
      </c>
      <c r="J57">
        <v>2.3796580532376836</v>
      </c>
      <c r="K57">
        <v>61.252710857907914</v>
      </c>
      <c r="L57">
        <f t="shared" si="4"/>
        <v>165.75931610647535</v>
      </c>
      <c r="M57">
        <f t="shared" si="2"/>
        <v>45.759316106475367</v>
      </c>
      <c r="N57">
        <f t="shared" si="3"/>
        <v>125.75931610647537</v>
      </c>
      <c r="P57">
        <v>5.4221234030281806</v>
      </c>
      <c r="Q57">
        <v>49.489267287089461</v>
      </c>
      <c r="R57">
        <v>0</v>
      </c>
    </row>
    <row r="58" spans="2:18" x14ac:dyDescent="0.25">
      <c r="B58">
        <v>-55</v>
      </c>
      <c r="C58" t="str">
        <f t="shared" si="0"/>
        <v/>
      </c>
      <c r="D58">
        <v>5.8602987779670137</v>
      </c>
      <c r="E58">
        <v>28.232206246358245</v>
      </c>
      <c r="F58">
        <v>0</v>
      </c>
      <c r="G58">
        <v>171.40910171565417</v>
      </c>
      <c r="H58">
        <v>44.498393260020549</v>
      </c>
      <c r="J58">
        <v>-0.56722484942419982</v>
      </c>
      <c r="K58">
        <v>59.119111530194637</v>
      </c>
      <c r="L58">
        <f t="shared" si="4"/>
        <v>159.86555030115159</v>
      </c>
      <c r="M58">
        <f t="shared" si="2"/>
        <v>39.8655503011516</v>
      </c>
      <c r="N58">
        <f t="shared" si="3"/>
        <v>119.8655503011516</v>
      </c>
      <c r="P58">
        <v>5.539654879524182</v>
      </c>
      <c r="Q58">
        <v>73.051243404821633</v>
      </c>
      <c r="R58">
        <v>0</v>
      </c>
    </row>
    <row r="59" spans="2:18" x14ac:dyDescent="0.25">
      <c r="B59">
        <v>-54.5</v>
      </c>
      <c r="C59" t="str">
        <f t="shared" si="0"/>
        <v/>
      </c>
      <c r="D59">
        <v>5.9871388591800443</v>
      </c>
      <c r="E59">
        <v>52.290236706728436</v>
      </c>
      <c r="F59">
        <v>0</v>
      </c>
      <c r="G59">
        <v>147.61612075821634</v>
      </c>
      <c r="H59">
        <v>44.106503675875182</v>
      </c>
      <c r="J59">
        <v>-3.5141077520860833</v>
      </c>
      <c r="K59">
        <v>57.135698205735828</v>
      </c>
      <c r="L59">
        <f t="shared" si="4"/>
        <v>153.97178449582782</v>
      </c>
      <c r="M59">
        <f t="shared" si="2"/>
        <v>33.971784495827833</v>
      </c>
      <c r="N59">
        <f t="shared" si="3"/>
        <v>113.97178449582783</v>
      </c>
      <c r="P59">
        <v>5.6590988759954195</v>
      </c>
      <c r="Q59">
        <v>96.724780365788234</v>
      </c>
      <c r="R59">
        <v>0</v>
      </c>
    </row>
    <row r="60" spans="2:18" x14ac:dyDescent="0.25">
      <c r="B60">
        <v>-54</v>
      </c>
      <c r="C60" t="str">
        <f t="shared" si="0"/>
        <v/>
      </c>
      <c r="D60">
        <v>6.1160495926643224</v>
      </c>
      <c r="E60">
        <v>76.451950006248808</v>
      </c>
      <c r="F60">
        <v>0</v>
      </c>
      <c r="G60">
        <v>123.70966643756657</v>
      </c>
      <c r="H60">
        <v>43.722333963520306</v>
      </c>
      <c r="J60">
        <v>-6.4609906547479667</v>
      </c>
      <c r="K60">
        <v>55.304834874033894</v>
      </c>
      <c r="L60">
        <f t="shared" si="4"/>
        <v>148.07801869050405</v>
      </c>
      <c r="M60">
        <f t="shared" si="2"/>
        <v>28.078018690504067</v>
      </c>
      <c r="N60">
        <f t="shared" si="3"/>
        <v>108.07801869050407</v>
      </c>
      <c r="P60">
        <v>5.7804750190074019</v>
      </c>
      <c r="Q60">
        <v>120.50985854342602</v>
      </c>
      <c r="R60">
        <v>0</v>
      </c>
    </row>
    <row r="61" spans="2:18" x14ac:dyDescent="0.25">
      <c r="B61">
        <v>-53.5</v>
      </c>
      <c r="C61" t="str">
        <f t="shared" si="0"/>
        <v/>
      </c>
      <c r="D61">
        <v>6.2470527471981425</v>
      </c>
      <c r="E61">
        <v>100.71754902042227</v>
      </c>
      <c r="F61">
        <v>0</v>
      </c>
      <c r="G61">
        <v>99.689738753709378</v>
      </c>
      <c r="H61">
        <v>43.345659478670214</v>
      </c>
      <c r="J61">
        <v>-9.4078735574098431</v>
      </c>
      <c r="K61">
        <v>53.628494465250789</v>
      </c>
      <c r="L61">
        <f t="shared" si="4"/>
        <v>142.18425288518031</v>
      </c>
      <c r="M61">
        <f t="shared" si="2"/>
        <v>22.184252885180314</v>
      </c>
      <c r="N61">
        <f t="shared" si="3"/>
        <v>102.18425288518031</v>
      </c>
      <c r="P61">
        <v>5.9038029949308406</v>
      </c>
      <c r="Q61">
        <v>144.40645825135979</v>
      </c>
      <c r="R61">
        <v>0</v>
      </c>
    </row>
    <row r="62" spans="2:18" x14ac:dyDescent="0.25">
      <c r="B62">
        <v>-53</v>
      </c>
      <c r="C62" t="str">
        <f t="shared" si="0"/>
        <v/>
      </c>
      <c r="D62">
        <v>6.3801701795764982</v>
      </c>
      <c r="E62">
        <v>125.08722989143178</v>
      </c>
      <c r="F62">
        <v>0</v>
      </c>
      <c r="G62">
        <v>75.556337706640221</v>
      </c>
      <c r="H62">
        <v>42.976262222351501</v>
      </c>
      <c r="J62">
        <v>-12.354756460071727</v>
      </c>
      <c r="K62">
        <v>52.108566858257042</v>
      </c>
      <c r="L62">
        <f t="shared" si="4"/>
        <v>136.29048707985655</v>
      </c>
      <c r="M62">
        <f t="shared" si="2"/>
        <v>16.290487079856547</v>
      </c>
      <c r="N62">
        <f t="shared" si="3"/>
        <v>96.290487079856547</v>
      </c>
      <c r="P62">
        <v>6.0291025494573338</v>
      </c>
      <c r="Q62">
        <v>168.41455974390246</v>
      </c>
      <c r="R62">
        <v>0</v>
      </c>
    </row>
    <row r="63" spans="2:18" x14ac:dyDescent="0.25">
      <c r="B63">
        <v>-52.5</v>
      </c>
      <c r="C63" t="str">
        <f t="shared" si="0"/>
        <v/>
      </c>
      <c r="D63">
        <v>6.5154238347897238</v>
      </c>
      <c r="E63">
        <v>149.56117636254928</v>
      </c>
      <c r="F63">
        <v>0</v>
      </c>
      <c r="G63">
        <v>51.309463296363703</v>
      </c>
      <c r="H63">
        <v>42.6139365062973</v>
      </c>
      <c r="J63">
        <v>-15.30163936273361</v>
      </c>
      <c r="K63">
        <v>50.747017816934239</v>
      </c>
      <c r="L63">
        <f t="shared" si="4"/>
        <v>130.39672127453278</v>
      </c>
      <c r="M63">
        <f t="shared" si="2"/>
        <v>10.39672127453278</v>
      </c>
      <c r="N63">
        <f t="shared" si="3"/>
        <v>90.39672127453278</v>
      </c>
      <c r="P63">
        <v>6.1563934871346557</v>
      </c>
      <c r="Q63">
        <v>192.53414321650163</v>
      </c>
      <c r="R63">
        <v>0</v>
      </c>
    </row>
    <row r="64" spans="2:18" x14ac:dyDescent="0.25">
      <c r="B64">
        <v>-52</v>
      </c>
      <c r="C64" t="str">
        <f t="shared" si="0"/>
        <v/>
      </c>
      <c r="D64">
        <v>6.6528357460767671</v>
      </c>
      <c r="E64">
        <v>174.13957082020011</v>
      </c>
      <c r="F64">
        <v>0</v>
      </c>
      <c r="G64">
        <v>26.94911552287752</v>
      </c>
      <c r="H64">
        <v>42.25847791084562</v>
      </c>
      <c r="J64">
        <v>-18.248522265395493</v>
      </c>
      <c r="K64">
        <v>49.546046180813249</v>
      </c>
      <c r="L64">
        <f t="shared" si="4"/>
        <v>124.50295546920901</v>
      </c>
      <c r="M64">
        <f t="shared" si="2"/>
        <v>4.502955469209013</v>
      </c>
      <c r="N64">
        <f t="shared" si="3"/>
        <v>84.502955469209013</v>
      </c>
      <c r="P64">
        <v>6.2856956709220215</v>
      </c>
      <c r="Q64">
        <v>216.76518880620046</v>
      </c>
      <c r="R64">
        <v>0</v>
      </c>
    </row>
    <row r="65" spans="2:18" x14ac:dyDescent="0.25">
      <c r="B65">
        <v>-51.5</v>
      </c>
      <c r="C65" t="str">
        <f t="shared" si="0"/>
        <v/>
      </c>
      <c r="D65">
        <v>6.7924280351432822</v>
      </c>
      <c r="E65">
        <v>198.82258663142241</v>
      </c>
      <c r="F65">
        <v>0</v>
      </c>
      <c r="G65">
        <v>2.4752943861793142</v>
      </c>
      <c r="H65">
        <v>41.909690947254987</v>
      </c>
      <c r="J65">
        <v>-21.195405168057377</v>
      </c>
      <c r="K65">
        <v>48.508227960961797</v>
      </c>
      <c r="L65">
        <f t="shared" si="4"/>
        <v>118.60918966388525</v>
      </c>
      <c r="M65" t="e">
        <f t="shared" si="2"/>
        <v>#N/A</v>
      </c>
      <c r="N65">
        <f t="shared" si="3"/>
        <v>78.609189663885246</v>
      </c>
      <c r="P65">
        <v>6.4170290217656518</v>
      </c>
      <c r="Q65">
        <v>241.10767659205504</v>
      </c>
      <c r="R65">
        <v>0</v>
      </c>
    </row>
    <row r="66" spans="2:18" x14ac:dyDescent="0.25">
      <c r="B66">
        <v>-51</v>
      </c>
      <c r="C66" t="str">
        <f t="shared" si="0"/>
        <v/>
      </c>
      <c r="D66">
        <v>6.9342229123897052</v>
      </c>
      <c r="E66">
        <v>201.49839048002895</v>
      </c>
      <c r="F66">
        <v>0</v>
      </c>
      <c r="G66">
        <v>0</v>
      </c>
      <c r="H66">
        <v>41.567386607581334</v>
      </c>
      <c r="J66">
        <v>-24.14228807071926</v>
      </c>
      <c r="K66">
        <v>47.636678138918917</v>
      </c>
      <c r="L66">
        <f t="shared" si="4"/>
        <v>112.71542385856148</v>
      </c>
      <c r="M66" t="e">
        <f t="shared" si="2"/>
        <v>#N/A</v>
      </c>
      <c r="N66">
        <f t="shared" si="3"/>
        <v>72.715423858561479</v>
      </c>
      <c r="P66">
        <v>6.5504135181950858</v>
      </c>
      <c r="Q66">
        <v>243.44958648180491</v>
      </c>
      <c r="R66">
        <v>0</v>
      </c>
    </row>
    <row r="67" spans="2:18" x14ac:dyDescent="0.25">
      <c r="B67">
        <v>-50.5</v>
      </c>
      <c r="C67" t="str">
        <f t="shared" si="0"/>
        <v/>
      </c>
      <c r="D67">
        <v>7.0782426771019722</v>
      </c>
      <c r="E67">
        <v>201.69061626761874</v>
      </c>
      <c r="F67">
        <v>0</v>
      </c>
      <c r="G67">
        <v>0</v>
      </c>
      <c r="H67">
        <v>41.231141055279281</v>
      </c>
      <c r="J67">
        <v>-27.089170973381144</v>
      </c>
      <c r="K67">
        <v>46.935238191457664</v>
      </c>
      <c r="L67">
        <f t="shared" si="4"/>
        <v>106.82165805323771</v>
      </c>
      <c r="M67" t="e">
        <f t="shared" si="2"/>
        <v>#N/A</v>
      </c>
      <c r="N67">
        <f t="shared" si="3"/>
        <v>66.821658053237712</v>
      </c>
      <c r="P67">
        <v>6.6858691959405734</v>
      </c>
      <c r="Q67">
        <v>243.31413080405943</v>
      </c>
      <c r="R67">
        <v>0</v>
      </c>
    </row>
    <row r="68" spans="2:18" x14ac:dyDescent="0.25">
      <c r="B68">
        <v>-50</v>
      </c>
      <c r="C68" t="str">
        <f t="shared" si="0"/>
        <v/>
      </c>
      <c r="D68">
        <v>7.2245097178489024</v>
      </c>
      <c r="E68">
        <v>201.87398971257522</v>
      </c>
      <c r="F68">
        <v>0</v>
      </c>
      <c r="G68">
        <v>0</v>
      </c>
      <c r="H68">
        <v>40.901500569575866</v>
      </c>
      <c r="J68">
        <v>-30.036053876043027</v>
      </c>
      <c r="K68">
        <v>46.40892779619076</v>
      </c>
      <c r="L68">
        <f t="shared" si="4"/>
        <v>100.92789224791395</v>
      </c>
      <c r="M68" t="e">
        <f t="shared" si="2"/>
        <v>#N/A</v>
      </c>
      <c r="N68">
        <f t="shared" si="3"/>
        <v>60.927892247913945</v>
      </c>
      <c r="P68">
        <v>6.8234161475719795</v>
      </c>
      <c r="Q68">
        <v>243.17658385242802</v>
      </c>
      <c r="R68">
        <v>0</v>
      </c>
    </row>
    <row r="69" spans="2:18" x14ac:dyDescent="0.25">
      <c r="B69">
        <v>-49.5</v>
      </c>
      <c r="C69" t="str">
        <f t="shared" si="0"/>
        <v/>
      </c>
      <c r="D69">
        <v>7.3730465127103502</v>
      </c>
      <c r="E69">
        <v>202.04938258815807</v>
      </c>
      <c r="F69">
        <v>0</v>
      </c>
      <c r="G69">
        <v>0</v>
      </c>
      <c r="H69">
        <v>40.577570899131587</v>
      </c>
      <c r="J69">
        <v>-32.982936778704911</v>
      </c>
      <c r="K69">
        <v>46.063863329321116</v>
      </c>
      <c r="L69">
        <f t="shared" si="4"/>
        <v>95.034126442590178</v>
      </c>
      <c r="M69" t="e">
        <f t="shared" si="2"/>
        <v>#N/A</v>
      </c>
      <c r="N69">
        <f t="shared" si="3"/>
        <v>55.034126442590178</v>
      </c>
      <c r="P69">
        <v>6.9630745221595642</v>
      </c>
      <c r="Q69">
        <v>243.03692547784044</v>
      </c>
      <c r="R69">
        <v>0</v>
      </c>
    </row>
    <row r="70" spans="2:18" x14ac:dyDescent="0.25">
      <c r="B70">
        <v>-49</v>
      </c>
      <c r="C70" t="str">
        <f t="shared" si="0"/>
        <v/>
      </c>
      <c r="D70">
        <v>7.5238756297246789</v>
      </c>
      <c r="E70">
        <v>202.21669693946419</v>
      </c>
      <c r="F70">
        <v>0</v>
      </c>
      <c r="G70">
        <v>0</v>
      </c>
      <c r="H70">
        <v>40.25942743081113</v>
      </c>
      <c r="J70">
        <v>-35.929819681366787</v>
      </c>
      <c r="K70">
        <v>45.907235940758852</v>
      </c>
      <c r="L70">
        <f t="shared" si="4"/>
        <v>89.140360637266426</v>
      </c>
      <c r="M70" t="e">
        <f t="shared" si="2"/>
        <v>#N/A</v>
      </c>
      <c r="N70">
        <f t="shared" si="3"/>
        <v>49.140360637266426</v>
      </c>
      <c r="P70">
        <v>7.1048645249570672</v>
      </c>
      <c r="Q70">
        <v>242.89513547504293</v>
      </c>
      <c r="R70">
        <v>0</v>
      </c>
    </row>
    <row r="71" spans="2:18" x14ac:dyDescent="0.25">
      <c r="B71">
        <v>-48.5</v>
      </c>
      <c r="C71" t="str">
        <f t="shared" si="0"/>
        <v/>
      </c>
      <c r="D71">
        <v>7.6770197272943728</v>
      </c>
      <c r="E71">
        <v>202.37607050637166</v>
      </c>
      <c r="F71">
        <v>0</v>
      </c>
      <c r="G71">
        <v>0</v>
      </c>
      <c r="H71">
        <v>39.946909766333974</v>
      </c>
      <c r="J71">
        <v>-38.876702584028678</v>
      </c>
      <c r="K71">
        <v>45.948412119295952</v>
      </c>
      <c r="L71">
        <f t="shared" si="4"/>
        <v>83.246594831942645</v>
      </c>
      <c r="M71" t="e">
        <f t="shared" si="2"/>
        <v>#N/A</v>
      </c>
      <c r="N71">
        <f t="shared" si="3"/>
        <v>43.246594831942645</v>
      </c>
      <c r="P71">
        <v>7.2488064171074891</v>
      </c>
      <c r="Q71">
        <v>242.75119358289251</v>
      </c>
      <c r="R71">
        <v>0</v>
      </c>
    </row>
    <row r="72" spans="2:18" x14ac:dyDescent="0.25">
      <c r="B72">
        <v>-48</v>
      </c>
      <c r="C72" t="str">
        <f t="shared" ref="C72:C135" si="5">IF(MOD(B72,20)=0,TEXT(B72,"0"),"")</f>
        <v/>
      </c>
      <c r="D72">
        <v>7.8324218604236382</v>
      </c>
      <c r="E72">
        <v>202.52763589515823</v>
      </c>
      <c r="F72">
        <v>0</v>
      </c>
      <c r="G72">
        <v>0</v>
      </c>
      <c r="H72">
        <v>39.639942244418144</v>
      </c>
      <c r="J72">
        <v>-41.823585486690561</v>
      </c>
      <c r="K72">
        <v>46.199065481880361</v>
      </c>
      <c r="L72">
        <f t="shared" ref="L72:L77" si="6">(J72-Diagramm_Tmin)/Diagramm_dT+1</f>
        <v>77.352829026618878</v>
      </c>
      <c r="M72" t="e">
        <f t="shared" ref="M72:M135" si="7">IF(J72="","",IF(J72&lt;Zoom_Tmin,NA(),(J72-Zoom_Tmin)/Diagramm_dT+1))</f>
        <v>#N/A</v>
      </c>
      <c r="N72">
        <f t="shared" ref="N72:N135" si="8">IF(J72="","",IF(J72&lt;Zoom2_Tmin,NA(),(J72-Zoom2_Tmin)/Diagramm_dT+1))</f>
        <v>37.352829026618878</v>
      </c>
      <c r="P72">
        <v>7.3949205153719406</v>
      </c>
      <c r="Q72">
        <v>242.60507948462805</v>
      </c>
      <c r="R72">
        <v>0</v>
      </c>
    </row>
    <row r="73" spans="2:18" x14ac:dyDescent="0.25">
      <c r="B73">
        <v>-47.5</v>
      </c>
      <c r="C73" t="str">
        <f t="shared" si="5"/>
        <v/>
      </c>
      <c r="D73">
        <v>7.9903439524663922</v>
      </c>
      <c r="E73">
        <v>202.67152078069856</v>
      </c>
      <c r="F73">
        <v>0</v>
      </c>
      <c r="G73">
        <v>0</v>
      </c>
      <c r="H73">
        <v>39.33813526683506</v>
      </c>
      <c r="J73">
        <v>-44.77046838935243</v>
      </c>
      <c r="K73">
        <v>46.673734775122661</v>
      </c>
      <c r="L73">
        <f t="shared" si="6"/>
        <v>71.459063221295139</v>
      </c>
      <c r="M73" t="e">
        <f t="shared" si="7"/>
        <v>#N/A</v>
      </c>
      <c r="N73">
        <f t="shared" si="8"/>
        <v>31.459063221295139</v>
      </c>
      <c r="P73">
        <v>7.5432271918819795</v>
      </c>
      <c r="Q73">
        <v>242.45677280811802</v>
      </c>
      <c r="R73">
        <v>0</v>
      </c>
    </row>
    <row r="74" spans="2:18" x14ac:dyDescent="0.25">
      <c r="B74">
        <v>-47</v>
      </c>
      <c r="C74" t="str">
        <f t="shared" si="5"/>
        <v/>
      </c>
      <c r="D74">
        <v>8.1505698531683723</v>
      </c>
      <c r="E74">
        <v>202.80784809955981</v>
      </c>
      <c r="F74">
        <v>0</v>
      </c>
      <c r="G74">
        <v>0</v>
      </c>
      <c r="H74">
        <v>39.04158204727181</v>
      </c>
      <c r="J74">
        <v>-47.717351292014314</v>
      </c>
      <c r="K74">
        <v>47.390529862815043</v>
      </c>
      <c r="L74">
        <f t="shared" si="6"/>
        <v>65.565297415971372</v>
      </c>
      <c r="M74" t="e">
        <f t="shared" si="7"/>
        <v>#N/A</v>
      </c>
      <c r="N74">
        <f t="shared" si="8"/>
        <v>25.565297415971372</v>
      </c>
      <c r="P74">
        <v>7.6937468739157939</v>
      </c>
      <c r="Q74">
        <v>242.30625312608421</v>
      </c>
      <c r="R74">
        <v>0</v>
      </c>
    </row>
    <row r="75" spans="2:18" x14ac:dyDescent="0.25">
      <c r="B75">
        <v>-46.5</v>
      </c>
      <c r="C75" t="str">
        <f t="shared" si="5"/>
        <v/>
      </c>
      <c r="D75">
        <v>8.3132022818456477</v>
      </c>
      <c r="E75">
        <v>202.93673623452793</v>
      </c>
      <c r="F75">
        <v>0</v>
      </c>
      <c r="G75">
        <v>0</v>
      </c>
      <c r="H75">
        <v>38.750061483626425</v>
      </c>
      <c r="J75">
        <v>-50.664234194676197</v>
      </c>
      <c r="K75">
        <v>48.372032320327683</v>
      </c>
      <c r="L75">
        <f t="shared" si="6"/>
        <v>59.671531610647605</v>
      </c>
      <c r="M75" t="e">
        <f t="shared" si="7"/>
        <v>#N/A</v>
      </c>
      <c r="N75">
        <f t="shared" si="8"/>
        <v>19.671531610647605</v>
      </c>
      <c r="P75">
        <v>7.8465000436985717</v>
      </c>
      <c r="Q75">
        <v>242.15349995630143</v>
      </c>
      <c r="R75">
        <v>0</v>
      </c>
    </row>
    <row r="76" spans="2:18" x14ac:dyDescent="0.25">
      <c r="B76">
        <v>-46</v>
      </c>
      <c r="C76" t="str">
        <f t="shared" si="5"/>
        <v/>
      </c>
      <c r="D76">
        <v>8.4782643567241394</v>
      </c>
      <c r="E76">
        <v>203.05829919095555</v>
      </c>
      <c r="F76">
        <v>0</v>
      </c>
      <c r="G76">
        <v>0</v>
      </c>
      <c r="H76">
        <v>38.463436452320316</v>
      </c>
      <c r="J76">
        <v>-53.611117097338081</v>
      </c>
      <c r="K76">
        <v>49.646459563221228</v>
      </c>
      <c r="L76">
        <f t="shared" si="6"/>
        <v>53.777765805323838</v>
      </c>
      <c r="M76" t="e">
        <f t="shared" si="7"/>
        <v>#N/A</v>
      </c>
      <c r="N76">
        <f t="shared" si="8"/>
        <v>13.777765805323838</v>
      </c>
      <c r="P76">
        <v>8.0015072382274344</v>
      </c>
      <c r="Q76">
        <v>241.99849276177255</v>
      </c>
      <c r="R76">
        <v>0</v>
      </c>
    </row>
    <row r="77" spans="2:18" x14ac:dyDescent="0.25">
      <c r="B77">
        <v>-45.5</v>
      </c>
      <c r="C77" t="str">
        <f t="shared" si="5"/>
        <v/>
      </c>
      <c r="D77">
        <v>8.6457792899035155</v>
      </c>
      <c r="E77">
        <v>203.17264676543894</v>
      </c>
      <c r="F77">
        <v>0</v>
      </c>
      <c r="G77">
        <v>0</v>
      </c>
      <c r="H77">
        <v>38.181573944657551</v>
      </c>
      <c r="J77">
        <v>-56.557999999999964</v>
      </c>
      <c r="K77">
        <v>51.249178858911719</v>
      </c>
      <c r="L77">
        <f t="shared" si="6"/>
        <v>47.884000000000071</v>
      </c>
      <c r="M77" t="e">
        <f t="shared" si="7"/>
        <v>#N/A</v>
      </c>
      <c r="N77">
        <f t="shared" si="8"/>
        <v>7.8840000000000714</v>
      </c>
      <c r="P77">
        <v>8.1587890491211841</v>
      </c>
      <c r="Q77">
        <v>241.8412109508788</v>
      </c>
      <c r="R77">
        <v>0</v>
      </c>
    </row>
    <row r="78" spans="2:18" x14ac:dyDescent="0.25">
      <c r="B78">
        <v>-45</v>
      </c>
      <c r="C78" t="str">
        <f t="shared" si="5"/>
        <v/>
      </c>
      <c r="D78">
        <v>8.8157703881778495</v>
      </c>
      <c r="E78">
        <v>203.27988470717835</v>
      </c>
      <c r="F78">
        <v>0</v>
      </c>
      <c r="G78">
        <v>0</v>
      </c>
      <c r="H78">
        <v>37.904344904643793</v>
      </c>
      <c r="M78" t="str">
        <f t="shared" si="7"/>
        <v/>
      </c>
      <c r="N78" t="str">
        <f t="shared" si="8"/>
        <v/>
      </c>
      <c r="P78">
        <v>8.3183661224951848</v>
      </c>
      <c r="Q78">
        <v>241.68163387750482</v>
      </c>
      <c r="R78">
        <v>0</v>
      </c>
    </row>
    <row r="79" spans="2:18" x14ac:dyDescent="0.25">
      <c r="B79">
        <v>-44.5</v>
      </c>
      <c r="C79" t="str">
        <f t="shared" si="5"/>
        <v/>
      </c>
      <c r="D79">
        <v>8.9882610537478094</v>
      </c>
      <c r="E79">
        <v>203.38011487239996</v>
      </c>
      <c r="F79">
        <v>0</v>
      </c>
      <c r="G79">
        <v>0</v>
      </c>
      <c r="H79">
        <v>37.631624073852237</v>
      </c>
      <c r="I79" s="10" t="s">
        <v>276</v>
      </c>
      <c r="J79">
        <v>-80</v>
      </c>
      <c r="K79">
        <v>0.89239999999999997</v>
      </c>
      <c r="L79">
        <f t="shared" ref="L79:L103" si="9">(J79-Diagramm_Tmin)/Diagramm_dT+1</f>
        <v>1</v>
      </c>
      <c r="M79" t="e">
        <f t="shared" si="7"/>
        <v>#N/A</v>
      </c>
      <c r="N79" t="e">
        <f t="shared" si="8"/>
        <v>#N/A</v>
      </c>
      <c r="P79">
        <v>8.4802591588616014</v>
      </c>
      <c r="Q79">
        <v>241.5197408411384</v>
      </c>
      <c r="R79">
        <v>0</v>
      </c>
    </row>
    <row r="80" spans="2:18" x14ac:dyDescent="0.25">
      <c r="B80">
        <v>-44</v>
      </c>
      <c r="C80" t="str">
        <f t="shared" si="5"/>
        <v/>
      </c>
      <c r="D80">
        <v>9.1632747851362311</v>
      </c>
      <c r="E80">
        <v>203.4734353722308</v>
      </c>
      <c r="F80">
        <v>0</v>
      </c>
      <c r="G80">
        <v>0</v>
      </c>
      <c r="H80">
        <v>37.36328984263298</v>
      </c>
      <c r="J80">
        <v>-79.023200000000003</v>
      </c>
      <c r="K80">
        <v>0.9677</v>
      </c>
      <c r="L80">
        <f t="shared" si="9"/>
        <v>2.9535999999999945</v>
      </c>
      <c r="M80" t="e">
        <f t="shared" si="7"/>
        <v>#N/A</v>
      </c>
      <c r="N80" t="e">
        <f t="shared" si="8"/>
        <v>#N/A</v>
      </c>
      <c r="P80">
        <v>8.6444889130551719</v>
      </c>
      <c r="Q80">
        <v>241.35551108694483</v>
      </c>
      <c r="R80">
        <v>0</v>
      </c>
    </row>
    <row r="81" spans="2:18" x14ac:dyDescent="0.25">
      <c r="B81">
        <v>-43.5</v>
      </c>
      <c r="C81" t="str">
        <f t="shared" si="5"/>
        <v/>
      </c>
      <c r="D81">
        <v>9.3408351781147942</v>
      </c>
      <c r="E81">
        <v>203.55994071433321</v>
      </c>
      <c r="F81">
        <v>0</v>
      </c>
      <c r="G81">
        <v>0</v>
      </c>
      <c r="H81">
        <v>37.099224107551983</v>
      </c>
      <c r="J81">
        <v>-78.046499999999995</v>
      </c>
      <c r="K81">
        <v>1.0486</v>
      </c>
      <c r="L81">
        <f t="shared" si="9"/>
        <v>4.9070000000000107</v>
      </c>
      <c r="M81" t="e">
        <f t="shared" si="7"/>
        <v>#N/A</v>
      </c>
      <c r="N81" t="e">
        <f t="shared" si="8"/>
        <v>#N/A</v>
      </c>
      <c r="P81">
        <v>8.8110761941846807</v>
      </c>
      <c r="Q81">
        <v>241.18892380581531</v>
      </c>
      <c r="R81">
        <v>0</v>
      </c>
    </row>
    <row r="82" spans="2:18" x14ac:dyDescent="0.25">
      <c r="B82">
        <v>-43</v>
      </c>
      <c r="C82" t="str">
        <f t="shared" si="5"/>
        <v/>
      </c>
      <c r="D82">
        <v>9.5209659265827469</v>
      </c>
      <c r="E82">
        <v>203.63972193860764</v>
      </c>
      <c r="F82">
        <v>0</v>
      </c>
      <c r="G82">
        <v>0</v>
      </c>
      <c r="H82">
        <v>36.839312134809603</v>
      </c>
      <c r="J82">
        <v>-77.069699999999997</v>
      </c>
      <c r="K82">
        <v>1.1353</v>
      </c>
      <c r="L82">
        <f t="shared" si="9"/>
        <v>6.8606000000000051</v>
      </c>
      <c r="M82" t="e">
        <f t="shared" si="7"/>
        <v>#N/A</v>
      </c>
      <c r="N82" t="e">
        <f t="shared" si="8"/>
        <v>#N/A</v>
      </c>
      <c r="P82">
        <v>8.9800418656102678</v>
      </c>
      <c r="Q82">
        <v>241.01995813438973</v>
      </c>
      <c r="R82">
        <v>0</v>
      </c>
    </row>
    <row r="83" spans="2:18" x14ac:dyDescent="0.25">
      <c r="B83">
        <v>-42.5</v>
      </c>
      <c r="C83" t="str">
        <f t="shared" si="5"/>
        <v/>
      </c>
      <c r="D83">
        <v>9.7036908236466317</v>
      </c>
      <c r="E83">
        <v>203.71286674726446</v>
      </c>
      <c r="F83">
        <v>0</v>
      </c>
      <c r="G83">
        <v>0</v>
      </c>
      <c r="H83">
        <v>36.583442429088898</v>
      </c>
      <c r="J83">
        <v>-76.093000000000004</v>
      </c>
      <c r="K83">
        <v>1.2282999999999999</v>
      </c>
      <c r="L83">
        <f t="shared" si="9"/>
        <v>8.813999999999993</v>
      </c>
      <c r="M83" t="e">
        <f t="shared" si="7"/>
        <v>#N/A</v>
      </c>
      <c r="N83" t="e">
        <f t="shared" si="8"/>
        <v>#N/A</v>
      </c>
      <c r="P83">
        <v>9.1514068449465498</v>
      </c>
      <c r="Q83">
        <v>240.84859315505344</v>
      </c>
      <c r="R83">
        <v>0</v>
      </c>
    </row>
    <row r="84" spans="2:18" x14ac:dyDescent="0.25">
      <c r="B84">
        <v>-42</v>
      </c>
      <c r="C84" t="str">
        <f t="shared" si="5"/>
        <v/>
      </c>
      <c r="D84">
        <v>9.889033762673316</v>
      </c>
      <c r="E84">
        <v>203.77945962955687</v>
      </c>
      <c r="F84">
        <v>0</v>
      </c>
      <c r="G84">
        <v>0</v>
      </c>
      <c r="H84">
        <v>36.331506607769825</v>
      </c>
      <c r="J84">
        <v>-75.116200000000006</v>
      </c>
      <c r="K84">
        <v>1.3280000000000001</v>
      </c>
      <c r="L84">
        <f t="shared" si="9"/>
        <v>10.767599999999987</v>
      </c>
      <c r="M84" t="e">
        <f t="shared" si="7"/>
        <v>#N/A</v>
      </c>
      <c r="N84" t="e">
        <f t="shared" si="8"/>
        <v>#N/A</v>
      </c>
      <c r="P84">
        <v>9.3251921040916734</v>
      </c>
      <c r="Q84">
        <v>240.67480789590832</v>
      </c>
      <c r="R84">
        <v>0</v>
      </c>
    </row>
    <row r="85" spans="2:18" x14ac:dyDescent="0.25">
      <c r="B85">
        <v>-41.5</v>
      </c>
      <c r="C85" t="str">
        <f t="shared" si="5"/>
        <v/>
      </c>
      <c r="D85">
        <v>10.077018738400762</v>
      </c>
      <c r="E85">
        <v>203.83958198140675</v>
      </c>
      <c r="F85">
        <v>0</v>
      </c>
      <c r="G85">
        <v>0</v>
      </c>
      <c r="H85">
        <v>36.083399280192502</v>
      </c>
      <c r="J85">
        <v>-74.139499999999998</v>
      </c>
      <c r="K85">
        <v>1.4346000000000001</v>
      </c>
      <c r="L85">
        <f t="shared" si="9"/>
        <v>12.721000000000004</v>
      </c>
      <c r="M85" t="e">
        <f t="shared" si="7"/>
        <v>#N/A</v>
      </c>
      <c r="N85" t="e">
        <f t="shared" si="8"/>
        <v>#N/A</v>
      </c>
      <c r="P85">
        <v>9.5014186692821738</v>
      </c>
      <c r="Q85">
        <v>240.49858133071783</v>
      </c>
      <c r="R85">
        <v>0</v>
      </c>
    </row>
    <row r="86" spans="2:18" x14ac:dyDescent="0.25">
      <c r="B86">
        <v>-41</v>
      </c>
      <c r="C86" t="str">
        <f t="shared" si="5"/>
        <v/>
      </c>
      <c r="D86">
        <v>10.267669848055281</v>
      </c>
      <c r="E86">
        <v>203.89331222017265</v>
      </c>
      <c r="F86">
        <v>0</v>
      </c>
      <c r="G86">
        <v>0</v>
      </c>
      <c r="H86">
        <v>35.839017931772077</v>
      </c>
      <c r="J86">
        <v>-73.162700000000001</v>
      </c>
      <c r="K86">
        <v>1.5488</v>
      </c>
      <c r="L86">
        <f t="shared" si="9"/>
        <v>14.674599999999998</v>
      </c>
      <c r="M86" t="e">
        <f t="shared" si="7"/>
        <v>#N/A</v>
      </c>
      <c r="N86" t="e">
        <f t="shared" si="8"/>
        <v>#N/A</v>
      </c>
      <c r="P86">
        <v>9.680107621173665</v>
      </c>
      <c r="Q86">
        <v>240.31989237882632</v>
      </c>
      <c r="R86">
        <v>0</v>
      </c>
    </row>
    <row r="87" spans="2:18" x14ac:dyDescent="0.25">
      <c r="B87">
        <v>-40.5</v>
      </c>
      <c r="C87" t="str">
        <f t="shared" si="5"/>
        <v/>
      </c>
      <c r="D87">
        <v>10.461011292705777</v>
      </c>
      <c r="E87">
        <v>203.94072589478492</v>
      </c>
      <c r="F87">
        <v>0</v>
      </c>
      <c r="G87">
        <v>0</v>
      </c>
      <c r="H87">
        <v>35.598262812509311</v>
      </c>
      <c r="J87">
        <v>-72.186000000000007</v>
      </c>
      <c r="K87">
        <v>1.6709000000000001</v>
      </c>
      <c r="L87">
        <f t="shared" si="9"/>
        <v>16.627999999999986</v>
      </c>
      <c r="M87" t="e">
        <f t="shared" si="7"/>
        <v>#N/A</v>
      </c>
      <c r="N87" t="e">
        <f t="shared" si="8"/>
        <v>#N/A</v>
      </c>
      <c r="P87">
        <v>9.8612800949471033</v>
      </c>
      <c r="Q87">
        <v>240.13871990505291</v>
      </c>
      <c r="R87">
        <v>0</v>
      </c>
    </row>
    <row r="88" spans="2:18" x14ac:dyDescent="0.25">
      <c r="B88">
        <v>-40</v>
      </c>
      <c r="C88" t="str">
        <f t="shared" si="5"/>
        <v>-40</v>
      </c>
      <c r="D88">
        <v>10.65706737848825</v>
      </c>
      <c r="E88">
        <v>203.98189579147686</v>
      </c>
      <c r="F88">
        <v>0</v>
      </c>
      <c r="G88">
        <v>0</v>
      </c>
      <c r="H88">
        <v>35.361036830034898</v>
      </c>
      <c r="J88">
        <v>-71.209199999999996</v>
      </c>
      <c r="K88">
        <v>1.8013999999999999</v>
      </c>
      <c r="L88">
        <f t="shared" si="9"/>
        <v>18.581600000000009</v>
      </c>
      <c r="M88" t="e">
        <f t="shared" si="7"/>
        <v>#N/A</v>
      </c>
      <c r="N88" t="e">
        <f t="shared" si="8"/>
        <v>#N/A</v>
      </c>
      <c r="P88">
        <v>10.044957280440851</v>
      </c>
      <c r="Q88">
        <v>239.95504271955915</v>
      </c>
      <c r="R88">
        <v>0</v>
      </c>
    </row>
    <row r="89" spans="2:18" x14ac:dyDescent="0.25">
      <c r="B89">
        <v>-39.5</v>
      </c>
      <c r="C89" t="str">
        <f t="shared" si="5"/>
        <v/>
      </c>
      <c r="D89">
        <v>10.855862517881613</v>
      </c>
      <c r="E89">
        <v>204.01689203529736</v>
      </c>
      <c r="F89">
        <v>0</v>
      </c>
      <c r="G89">
        <v>0</v>
      </c>
      <c r="H89">
        <v>35.127245446821036</v>
      </c>
      <c r="J89">
        <v>-70.232500000000002</v>
      </c>
      <c r="K89">
        <v>1.9408000000000001</v>
      </c>
      <c r="L89">
        <f t="shared" si="9"/>
        <v>20.534999999999997</v>
      </c>
      <c r="M89" t="e">
        <f t="shared" si="7"/>
        <v>#N/A</v>
      </c>
      <c r="N89" t="e">
        <f t="shared" si="8"/>
        <v>#N/A</v>
      </c>
      <c r="P89">
        <v>10.231160422307985</v>
      </c>
      <c r="Q89">
        <v>239.76883957769201</v>
      </c>
      <c r="R89">
        <v>0</v>
      </c>
    </row>
    <row r="90" spans="2:18" x14ac:dyDescent="0.25">
      <c r="B90">
        <v>-39</v>
      </c>
      <c r="C90" t="str">
        <f t="shared" si="5"/>
        <v/>
      </c>
      <c r="D90">
        <v>11.057421231298767</v>
      </c>
      <c r="E90">
        <v>204.04578218759835</v>
      </c>
      <c r="F90">
        <v>0</v>
      </c>
      <c r="G90">
        <v>0</v>
      </c>
      <c r="H90">
        <v>34.896796581102883</v>
      </c>
      <c r="J90">
        <v>-69.255700000000004</v>
      </c>
      <c r="K90">
        <v>2.0897000000000001</v>
      </c>
      <c r="L90">
        <f t="shared" si="9"/>
        <v>22.488599999999991</v>
      </c>
      <c r="M90" t="e">
        <f t="shared" si="7"/>
        <v>#N/A</v>
      </c>
      <c r="N90" t="e">
        <f t="shared" si="8"/>
        <v>#N/A</v>
      </c>
      <c r="P90">
        <v>10.419910820198993</v>
      </c>
      <c r="Q90">
        <v>239.58008917980101</v>
      </c>
      <c r="R90">
        <v>0</v>
      </c>
    </row>
    <row r="91" spans="2:18" x14ac:dyDescent="0.25">
      <c r="B91">
        <v>-38.5</v>
      </c>
      <c r="C91" t="str">
        <f t="shared" si="5"/>
        <v/>
      </c>
      <c r="D91">
        <v>11.261768148424618</v>
      </c>
      <c r="E91">
        <v>204.068631339663</v>
      </c>
      <c r="F91">
        <v>0</v>
      </c>
      <c r="G91">
        <v>0</v>
      </c>
      <c r="H91">
        <v>34.669600511912378</v>
      </c>
      <c r="J91">
        <v>-68.278999999999996</v>
      </c>
      <c r="K91">
        <v>2.2484999999999999</v>
      </c>
      <c r="L91">
        <f t="shared" si="9"/>
        <v>24.442000000000007</v>
      </c>
      <c r="M91" t="e">
        <f t="shared" si="7"/>
        <v>#N/A</v>
      </c>
      <c r="N91" t="e">
        <f t="shared" si="8"/>
        <v>#N/A</v>
      </c>
      <c r="P91">
        <v>10.611229828969988</v>
      </c>
      <c r="Q91">
        <v>239.38877017103002</v>
      </c>
      <c r="R91">
        <v>0</v>
      </c>
    </row>
    <row r="92" spans="2:18" x14ac:dyDescent="0.25">
      <c r="B92">
        <v>-38</v>
      </c>
      <c r="C92" t="str">
        <f t="shared" si="5"/>
        <v/>
      </c>
      <c r="D92">
        <v>11.46892800980112</v>
      </c>
      <c r="E92">
        <v>204.08550220266577</v>
      </c>
      <c r="F92">
        <v>0</v>
      </c>
      <c r="G92">
        <v>0</v>
      </c>
      <c r="H92">
        <v>34.445569787533124</v>
      </c>
      <c r="J92">
        <v>-67.302199999999999</v>
      </c>
      <c r="K92">
        <v>2.4180000000000001</v>
      </c>
      <c r="L92">
        <f t="shared" si="9"/>
        <v>26.395600000000002</v>
      </c>
      <c r="M92" t="e">
        <f t="shared" si="7"/>
        <v>#N/A</v>
      </c>
      <c r="N92" t="e">
        <f t="shared" si="8"/>
        <v>#N/A</v>
      </c>
      <c r="P92">
        <v>10.805138858915866</v>
      </c>
      <c r="Q92">
        <v>239.19486114108415</v>
      </c>
      <c r="R92">
        <v>0</v>
      </c>
    </row>
    <row r="93" spans="2:18" x14ac:dyDescent="0.25">
      <c r="B93">
        <v>-37.5</v>
      </c>
      <c r="C93" t="str">
        <f t="shared" si="5"/>
        <v/>
      </c>
      <c r="D93">
        <v>11.678925668469054</v>
      </c>
      <c r="E93">
        <v>204.0964551941201</v>
      </c>
      <c r="F93">
        <v>0</v>
      </c>
      <c r="G93">
        <v>0</v>
      </c>
      <c r="H93">
        <v>34.224619137410848</v>
      </c>
      <c r="J93">
        <v>-66.325500000000005</v>
      </c>
      <c r="K93">
        <v>2.5985</v>
      </c>
      <c r="L93">
        <f t="shared" si="9"/>
        <v>28.34899999999999</v>
      </c>
      <c r="M93" t="e">
        <f t="shared" si="7"/>
        <v>#N/A</v>
      </c>
      <c r="N93" t="e">
        <f t="shared" si="8"/>
        <v>#N/A</v>
      </c>
      <c r="P93">
        <v>11.001659376028829</v>
      </c>
      <c r="Q93">
        <v>238.99834062397116</v>
      </c>
      <c r="R93">
        <v>0</v>
      </c>
    </row>
    <row r="94" spans="2:18" x14ac:dyDescent="0.25">
      <c r="B94">
        <v>-37</v>
      </c>
      <c r="C94" t="str">
        <f t="shared" si="5"/>
        <v/>
      </c>
      <c r="D94">
        <v>11.891786091679583</v>
      </c>
      <c r="E94">
        <v>204.10154852094416</v>
      </c>
      <c r="F94">
        <v>0</v>
      </c>
      <c r="G94">
        <v>0</v>
      </c>
      <c r="H94">
        <v>34.006665387376245</v>
      </c>
      <c r="J94">
        <v>-65.348699999999994</v>
      </c>
      <c r="K94">
        <v>2.7909999999999999</v>
      </c>
      <c r="L94">
        <f t="shared" si="9"/>
        <v>30.302600000000012</v>
      </c>
      <c r="M94" t="e">
        <f t="shared" si="7"/>
        <v>#N/A</v>
      </c>
      <c r="N94" t="e">
        <f t="shared" si="8"/>
        <v>#N/A</v>
      </c>
      <c r="P94">
        <v>11.200812902282449</v>
      </c>
      <c r="Q94">
        <v>238.79918709771755</v>
      </c>
      <c r="R94">
        <v>0</v>
      </c>
    </row>
    <row r="95" spans="2:18" x14ac:dyDescent="0.25">
      <c r="B95">
        <v>-36.5</v>
      </c>
      <c r="C95" t="str">
        <f t="shared" si="5"/>
        <v/>
      </c>
      <c r="D95">
        <v>12.107534362600649</v>
      </c>
      <c r="E95">
        <v>204.10083825931736</v>
      </c>
      <c r="F95">
        <v>0</v>
      </c>
      <c r="G95">
        <v>0</v>
      </c>
      <c r="H95">
        <v>33.791627378081984</v>
      </c>
      <c r="J95">
        <v>-64.372</v>
      </c>
      <c r="K95">
        <v>2.9958999999999998</v>
      </c>
      <c r="L95">
        <f t="shared" si="9"/>
        <v>32.256</v>
      </c>
      <c r="M95" t="e">
        <f t="shared" si="7"/>
        <v>#N/A</v>
      </c>
      <c r="N95" t="e">
        <f t="shared" si="8"/>
        <v>#N/A</v>
      </c>
      <c r="P95">
        <v>11.402621015941182</v>
      </c>
      <c r="Q95">
        <v>238.59737898405882</v>
      </c>
      <c r="R95">
        <v>0</v>
      </c>
    </row>
    <row r="96" spans="2:18" x14ac:dyDescent="0.25">
      <c r="B96">
        <v>-36</v>
      </c>
      <c r="C96" t="str">
        <f t="shared" si="5"/>
        <v/>
      </c>
      <c r="D96">
        <v>12.326195682274205</v>
      </c>
      <c r="E96">
        <v>204.09437843144002</v>
      </c>
      <c r="F96">
        <v>0</v>
      </c>
      <c r="G96">
        <v>0</v>
      </c>
      <c r="H96">
        <v>33.579425886285762</v>
      </c>
      <c r="J96">
        <v>-63.395200000000003</v>
      </c>
      <c r="K96">
        <v>3.214</v>
      </c>
      <c r="L96">
        <f t="shared" si="9"/>
        <v>34.209599999999995</v>
      </c>
      <c r="M96" t="e">
        <f t="shared" si="7"/>
        <v>#N/A</v>
      </c>
      <c r="N96" t="e">
        <f t="shared" si="8"/>
        <v>#N/A</v>
      </c>
      <c r="P96">
        <v>11.60710535189593</v>
      </c>
      <c r="Q96">
        <v>238.39289464810406</v>
      </c>
      <c r="R96">
        <v>0</v>
      </c>
    </row>
    <row r="97" spans="2:18" x14ac:dyDescent="0.25">
      <c r="B97">
        <v>-35.5</v>
      </c>
      <c r="C97" t="str">
        <f t="shared" si="5"/>
        <v/>
      </c>
      <c r="D97">
        <v>12.547795371500028</v>
      </c>
      <c r="E97">
        <v>204.08222107936075</v>
      </c>
      <c r="F97">
        <v>0</v>
      </c>
      <c r="G97">
        <v>0</v>
      </c>
      <c r="H97">
        <v>33.369983549139207</v>
      </c>
      <c r="J97">
        <v>-62.418500000000002</v>
      </c>
      <c r="K97">
        <v>3.4462000000000002</v>
      </c>
      <c r="L97">
        <f t="shared" si="9"/>
        <v>36.162999999999997</v>
      </c>
      <c r="M97" t="e">
        <f t="shared" si="7"/>
        <v>#N/A</v>
      </c>
      <c r="N97" t="e">
        <f t="shared" si="8"/>
        <v>#N/A</v>
      </c>
      <c r="P97">
        <v>11.814287602026154</v>
      </c>
      <c r="Q97">
        <v>238.18571239797384</v>
      </c>
      <c r="R97">
        <v>0</v>
      </c>
    </row>
    <row r="98" spans="2:18" x14ac:dyDescent="0.25">
      <c r="B98">
        <v>-35</v>
      </c>
      <c r="C98" t="str">
        <f t="shared" si="5"/>
        <v/>
      </c>
      <c r="D98">
        <v>12.772358872889802</v>
      </c>
      <c r="E98">
        <v>204.06441633599323</v>
      </c>
      <c r="F98">
        <v>0</v>
      </c>
      <c r="G98">
        <v>0</v>
      </c>
      <c r="H98">
        <v>33.163224791116974</v>
      </c>
      <c r="J98">
        <v>-61.441699999999997</v>
      </c>
      <c r="K98">
        <v>3.6930000000000001</v>
      </c>
      <c r="L98">
        <f t="shared" si="9"/>
        <v>38.116600000000005</v>
      </c>
      <c r="M98" t="e">
        <f t="shared" si="7"/>
        <v>#N/A</v>
      </c>
      <c r="N98" t="e">
        <f t="shared" si="8"/>
        <v>#N/A</v>
      </c>
      <c r="P98">
        <v>12.024189515588898</v>
      </c>
      <c r="Q98">
        <v>237.97581048441111</v>
      </c>
      <c r="R98">
        <v>0</v>
      </c>
    </row>
    <row r="99" spans="2:18" x14ac:dyDescent="0.25">
      <c r="B99">
        <v>-34.5</v>
      </c>
      <c r="C99" t="str">
        <f t="shared" si="5"/>
        <v/>
      </c>
      <c r="D99">
        <v>12.999911753042955</v>
      </c>
      <c r="E99">
        <v>204.04101249339703</v>
      </c>
      <c r="F99">
        <v>0</v>
      </c>
      <c r="G99">
        <v>0</v>
      </c>
      <c r="H99">
        <v>32.959075753560001</v>
      </c>
      <c r="J99">
        <v>-60.465000000000003</v>
      </c>
      <c r="K99">
        <v>3.9554999999999998</v>
      </c>
      <c r="L99">
        <f t="shared" si="9"/>
        <v>40.069999999999993</v>
      </c>
      <c r="M99" t="e">
        <f t="shared" si="7"/>
        <v>#N/A</v>
      </c>
      <c r="N99" t="e">
        <f t="shared" si="8"/>
        <v>#N/A</v>
      </c>
      <c r="P99">
        <v>12.236832899636186</v>
      </c>
      <c r="Q99">
        <v>237.7631671003638</v>
      </c>
      <c r="R99">
        <v>0</v>
      </c>
    </row>
    <row r="100" spans="2:18" x14ac:dyDescent="0.25">
      <c r="B100">
        <v>-34</v>
      </c>
      <c r="C100" t="str">
        <f t="shared" si="5"/>
        <v/>
      </c>
      <c r="D100">
        <v>13.230479704752533</v>
      </c>
      <c r="E100">
        <v>204.0120560685381</v>
      </c>
      <c r="F100">
        <v>0</v>
      </c>
      <c r="G100">
        <v>0</v>
      </c>
      <c r="H100">
        <v>32.757464226709367</v>
      </c>
      <c r="J100">
        <v>-59.488199999999999</v>
      </c>
      <c r="K100">
        <v>4.2343999999999999</v>
      </c>
      <c r="L100">
        <f t="shared" si="9"/>
        <v>42.023600000000002</v>
      </c>
      <c r="M100" t="e">
        <f t="shared" si="7"/>
        <v>#N/A</v>
      </c>
      <c r="N100">
        <f t="shared" si="8"/>
        <v>2.0236000000000018</v>
      </c>
      <c r="P100">
        <v>12.452239619461134</v>
      </c>
      <c r="Q100">
        <v>237.54776038053888</v>
      </c>
      <c r="R100">
        <v>0</v>
      </c>
    </row>
    <row r="101" spans="2:18" x14ac:dyDescent="0.25">
      <c r="B101">
        <v>-33.5</v>
      </c>
      <c r="C101" t="str">
        <f t="shared" si="5"/>
        <v/>
      </c>
      <c r="D101">
        <v>13.464088549338307</v>
      </c>
      <c r="E101">
        <v>203.97759186657498</v>
      </c>
      <c r="F101">
        <v>0</v>
      </c>
      <c r="G101">
        <v>0</v>
      </c>
      <c r="H101">
        <v>32.558319584086718</v>
      </c>
      <c r="J101">
        <v>-58.511499999999998</v>
      </c>
      <c r="K101">
        <v>4.5308000000000002</v>
      </c>
      <c r="L101">
        <f t="shared" si="9"/>
        <v>43.977000000000004</v>
      </c>
      <c r="M101" t="e">
        <f t="shared" si="7"/>
        <v>#N/A</v>
      </c>
      <c r="N101">
        <f t="shared" si="8"/>
        <v>3.9770000000000039</v>
      </c>
      <c r="P101">
        <v>12.670431599074488</v>
      </c>
      <c r="Q101">
        <v>237.32956840092552</v>
      </c>
      <c r="R101">
        <v>0</v>
      </c>
    </row>
    <row r="102" spans="2:18" x14ac:dyDescent="0.25">
      <c r="B102">
        <v>-33</v>
      </c>
      <c r="C102" t="str">
        <f t="shared" si="5"/>
        <v/>
      </c>
      <c r="D102">
        <v>13.700764239189271</v>
      </c>
      <c r="E102">
        <v>203.93766304177774</v>
      </c>
      <c r="F102">
        <v>0</v>
      </c>
      <c r="G102">
        <v>0</v>
      </c>
      <c r="H102">
        <v>32.361572719033006</v>
      </c>
      <c r="J102">
        <v>-57.534700000000001</v>
      </c>
      <c r="K102">
        <v>4.8455000000000004</v>
      </c>
      <c r="L102">
        <f t="shared" si="9"/>
        <v>45.930599999999998</v>
      </c>
      <c r="M102" t="e">
        <f t="shared" si="7"/>
        <v>#N/A</v>
      </c>
      <c r="N102">
        <f t="shared" si="8"/>
        <v>5.9305999999999983</v>
      </c>
      <c r="P102">
        <v>12.891430821713051</v>
      </c>
      <c r="Q102">
        <v>237.10856917828696</v>
      </c>
      <c r="R102">
        <v>0</v>
      </c>
    </row>
    <row r="103" spans="2:18" x14ac:dyDescent="0.25">
      <c r="B103">
        <v>-32.5</v>
      </c>
      <c r="C103" t="str">
        <f t="shared" si="5"/>
        <v/>
      </c>
      <c r="D103">
        <v>13.940532860287671</v>
      </c>
      <c r="E103">
        <v>203.8923111562753</v>
      </c>
      <c r="F103">
        <v>0</v>
      </c>
      <c r="G103">
        <v>0</v>
      </c>
      <c r="H103">
        <v>32.167155983437041</v>
      </c>
      <c r="J103">
        <v>-56.558</v>
      </c>
      <c r="K103">
        <v>5.1795999999999998</v>
      </c>
      <c r="L103">
        <f t="shared" si="9"/>
        <v>47.884</v>
      </c>
      <c r="M103" t="e">
        <f t="shared" si="7"/>
        <v>#N/A</v>
      </c>
      <c r="N103">
        <f t="shared" si="8"/>
        <v>7.8840000000000003</v>
      </c>
      <c r="P103">
        <v>13.115259330381436</v>
      </c>
      <c r="Q103">
        <v>236.88474066961857</v>
      </c>
      <c r="R103">
        <v>0</v>
      </c>
    </row>
    <row r="104" spans="2:18" x14ac:dyDescent="0.25">
      <c r="B104">
        <v>-32</v>
      </c>
      <c r="C104" t="str">
        <f t="shared" si="5"/>
        <v/>
      </c>
      <c r="D104">
        <v>14.183351703185131</v>
      </c>
      <c r="E104">
        <v>203.84157623665229</v>
      </c>
      <c r="F104">
        <v>0</v>
      </c>
      <c r="G104">
        <v>0</v>
      </c>
      <c r="H104">
        <v>31.975072060162574</v>
      </c>
      <c r="M104" t="str">
        <f t="shared" si="7"/>
        <v/>
      </c>
      <c r="N104" t="str">
        <f t="shared" si="8"/>
        <v/>
      </c>
      <c r="P104">
        <v>13.341939228429226</v>
      </c>
      <c r="Q104">
        <v>236.65806077157077</v>
      </c>
      <c r="R104">
        <v>0</v>
      </c>
    </row>
    <row r="105" spans="2:18" x14ac:dyDescent="0.25">
      <c r="B105">
        <v>-31.5</v>
      </c>
      <c r="C105" t="str">
        <f t="shared" si="5"/>
        <v/>
      </c>
      <c r="D105">
        <v>14.429453924659507</v>
      </c>
      <c r="E105">
        <v>203.78549682852511</v>
      </c>
      <c r="F105">
        <v>0</v>
      </c>
      <c r="G105">
        <v>0</v>
      </c>
      <c r="H105">
        <v>31.785049246815383</v>
      </c>
      <c r="I105" s="10" t="s">
        <v>277</v>
      </c>
      <c r="J105">
        <v>-56.558</v>
      </c>
      <c r="K105">
        <v>5.1795999999999998</v>
      </c>
      <c r="L105">
        <f t="shared" ref="L105:L119" si="10">(J105-Diagramm_Tmin)/Diagramm_dT+1</f>
        <v>47.884</v>
      </c>
      <c r="M105" t="e">
        <f t="shared" si="7"/>
        <v>#N/A</v>
      </c>
      <c r="N105">
        <f t="shared" si="8"/>
        <v>7.8840000000000003</v>
      </c>
      <c r="P105">
        <v>13.57149268016556</v>
      </c>
      <c r="Q105">
        <v>236.42850731983444</v>
      </c>
      <c r="R105">
        <v>0</v>
      </c>
    </row>
    <row r="106" spans="2:18" x14ac:dyDescent="0.25">
      <c r="B106">
        <v>-31</v>
      </c>
      <c r="C106" t="str">
        <f t="shared" si="5"/>
        <v/>
      </c>
      <c r="D106">
        <v>14.678659233038044</v>
      </c>
      <c r="E106">
        <v>203.7241100492744</v>
      </c>
      <c r="F106">
        <v>0</v>
      </c>
      <c r="G106">
        <v>0</v>
      </c>
      <c r="H106">
        <v>31.597230717687562</v>
      </c>
      <c r="J106">
        <v>-56.193100000000001</v>
      </c>
      <c r="K106">
        <v>22.274000000000001</v>
      </c>
      <c r="L106">
        <f t="shared" si="10"/>
        <v>48.613799999999998</v>
      </c>
      <c r="M106" t="e">
        <f t="shared" si="7"/>
        <v>#N/A</v>
      </c>
      <c r="N106">
        <f t="shared" si="8"/>
        <v>8.6137999999999977</v>
      </c>
      <c r="P106">
        <v>13.803941911513528</v>
      </c>
      <c r="Q106">
        <v>236.19605808848647</v>
      </c>
      <c r="R106">
        <v>0</v>
      </c>
    </row>
    <row r="107" spans="2:18" x14ac:dyDescent="0.25">
      <c r="B107">
        <v>-30.5</v>
      </c>
      <c r="C107" t="str">
        <f t="shared" si="5"/>
        <v/>
      </c>
      <c r="D107">
        <v>14.931063208978326</v>
      </c>
      <c r="E107">
        <v>203.65745163889017</v>
      </c>
      <c r="F107">
        <v>0</v>
      </c>
      <c r="G107">
        <v>0</v>
      </c>
      <c r="H107">
        <v>31.411485152131501</v>
      </c>
      <c r="J107">
        <v>-55.828200000000002</v>
      </c>
      <c r="K107">
        <v>39.428800000000003</v>
      </c>
      <c r="L107">
        <f t="shared" si="10"/>
        <v>49.343599999999995</v>
      </c>
      <c r="M107" t="e">
        <f t="shared" si="7"/>
        <v>#N/A</v>
      </c>
      <c r="N107">
        <f t="shared" si="8"/>
        <v>9.343599999999995</v>
      </c>
      <c r="P107">
        <v>14.039309210706827</v>
      </c>
      <c r="Q107">
        <v>235.96069078929318</v>
      </c>
      <c r="R107">
        <v>0</v>
      </c>
    </row>
    <row r="108" spans="2:18" x14ac:dyDescent="0.25">
      <c r="B108">
        <v>-30</v>
      </c>
      <c r="C108" t="str">
        <f t="shared" si="5"/>
        <v/>
      </c>
      <c r="D108">
        <v>15.186692649944018</v>
      </c>
      <c r="E108">
        <v>203.5855560091868</v>
      </c>
      <c r="F108">
        <v>0</v>
      </c>
      <c r="G108">
        <v>0</v>
      </c>
      <c r="H108">
        <v>31.22775134086918</v>
      </c>
      <c r="J108">
        <v>-55.463299999999997</v>
      </c>
      <c r="K108">
        <v>56.643999999999998</v>
      </c>
      <c r="L108">
        <f t="shared" si="10"/>
        <v>50.073400000000007</v>
      </c>
      <c r="M108" t="e">
        <f t="shared" si="7"/>
        <v>#N/A</v>
      </c>
      <c r="N108">
        <f t="shared" si="8"/>
        <v>10.073400000000007</v>
      </c>
      <c r="P108">
        <v>14.277616929031305</v>
      </c>
      <c r="Q108">
        <v>235.7223830709687</v>
      </c>
      <c r="R108">
        <v>0</v>
      </c>
    </row>
    <row r="109" spans="2:18" x14ac:dyDescent="0.25">
      <c r="B109">
        <v>-29.5</v>
      </c>
      <c r="C109" t="str">
        <f t="shared" si="5"/>
        <v/>
      </c>
      <c r="D109">
        <v>15.445574505341019</v>
      </c>
      <c r="E109">
        <v>203.50845629137879</v>
      </c>
      <c r="F109">
        <v>0</v>
      </c>
      <c r="G109">
        <v>0</v>
      </c>
      <c r="H109">
        <v>31.045969203280194</v>
      </c>
      <c r="J109">
        <v>-55.098399999999998</v>
      </c>
      <c r="K109">
        <v>73.919700000000006</v>
      </c>
      <c r="L109">
        <f t="shared" si="10"/>
        <v>50.803200000000004</v>
      </c>
      <c r="M109" t="e">
        <f t="shared" si="7"/>
        <v>#N/A</v>
      </c>
      <c r="N109">
        <f t="shared" si="8"/>
        <v>10.803200000000004</v>
      </c>
      <c r="P109">
        <v>14.518887481614144</v>
      </c>
      <c r="Q109">
        <v>235.48111251838586</v>
      </c>
      <c r="R109">
        <v>0</v>
      </c>
    </row>
    <row r="110" spans="2:18" x14ac:dyDescent="0.25">
      <c r="B110">
        <v>-29</v>
      </c>
      <c r="C110" t="str">
        <f t="shared" si="5"/>
        <v/>
      </c>
      <c r="D110">
        <v>15.707735880186359</v>
      </c>
      <c r="E110">
        <v>203.4261843821331</v>
      </c>
      <c r="F110">
        <v>0</v>
      </c>
      <c r="G110">
        <v>0</v>
      </c>
      <c r="H110">
        <v>30.866079737680554</v>
      </c>
      <c r="J110">
        <v>-54.733600000000003</v>
      </c>
      <c r="K110">
        <v>91.255700000000004</v>
      </c>
      <c r="L110">
        <f t="shared" si="10"/>
        <v>51.532799999999995</v>
      </c>
      <c r="M110" t="e">
        <f t="shared" si="7"/>
        <v>#N/A</v>
      </c>
      <c r="N110">
        <f t="shared" si="8"/>
        <v>11.532799999999995</v>
      </c>
      <c r="P110">
        <v>14.763143348263691</v>
      </c>
      <c r="Q110">
        <v>235.2368566517363</v>
      </c>
      <c r="R110">
        <v>0</v>
      </c>
    </row>
    <row r="111" spans="2:18" x14ac:dyDescent="0.25">
      <c r="B111">
        <v>-28.5</v>
      </c>
      <c r="C111" t="str">
        <f t="shared" si="5"/>
        <v/>
      </c>
      <c r="D111">
        <v>15.973204038727578</v>
      </c>
      <c r="E111">
        <v>203.33877098820264</v>
      </c>
      <c r="F111">
        <v>0</v>
      </c>
      <c r="G111">
        <v>0</v>
      </c>
      <c r="H111">
        <v>30.688024973069787</v>
      </c>
      <c r="J111">
        <v>-54.368699999999997</v>
      </c>
      <c r="K111">
        <v>108.6523</v>
      </c>
      <c r="L111">
        <f t="shared" si="10"/>
        <v>52.262600000000006</v>
      </c>
      <c r="M111" t="e">
        <f t="shared" si="7"/>
        <v>#N/A</v>
      </c>
      <c r="N111">
        <f t="shared" si="8"/>
        <v>12.262600000000006</v>
      </c>
      <c r="P111">
        <v>15.01040707436286</v>
      </c>
      <c r="Q111">
        <v>234.98959292563714</v>
      </c>
      <c r="R111">
        <v>0</v>
      </c>
    </row>
    <row r="112" spans="2:18" x14ac:dyDescent="0.25">
      <c r="B112">
        <v>-28</v>
      </c>
      <c r="C112" t="str">
        <f t="shared" si="5"/>
        <v/>
      </c>
      <c r="D112">
        <v>16.242006408537232</v>
      </c>
      <c r="E112">
        <v>203.24624575395379</v>
      </c>
      <c r="F112">
        <v>0</v>
      </c>
      <c r="G112">
        <v>0</v>
      </c>
      <c r="H112">
        <v>30.511747837508988</v>
      </c>
      <c r="J112">
        <v>-54.003799999999998</v>
      </c>
      <c r="K112">
        <v>126.1092</v>
      </c>
      <c r="L112">
        <f t="shared" si="10"/>
        <v>52.992400000000004</v>
      </c>
      <c r="M112" t="e">
        <f t="shared" si="7"/>
        <v>#N/A</v>
      </c>
      <c r="N112">
        <f t="shared" si="8"/>
        <v>12.992400000000004</v>
      </c>
      <c r="P112">
        <v>15.260701271819112</v>
      </c>
      <c r="Q112">
        <v>234.7392987281809</v>
      </c>
      <c r="R112">
        <v>0</v>
      </c>
    </row>
    <row r="113" spans="2:18" x14ac:dyDescent="0.25">
      <c r="B113">
        <v>-27.5</v>
      </c>
      <c r="C113" t="str">
        <f t="shared" si="5"/>
        <v/>
      </c>
      <c r="D113">
        <v>16.514170584509827</v>
      </c>
      <c r="E113">
        <v>203.14863760064185</v>
      </c>
      <c r="F113">
        <v>0</v>
      </c>
      <c r="G113">
        <v>0</v>
      </c>
      <c r="H113">
        <v>30.337191814848332</v>
      </c>
      <c r="J113">
        <v>-53.6389</v>
      </c>
      <c r="K113">
        <v>143.6266</v>
      </c>
      <c r="L113">
        <f t="shared" si="10"/>
        <v>53.722200000000001</v>
      </c>
      <c r="M113" t="e">
        <f t="shared" si="7"/>
        <v>#N/A</v>
      </c>
      <c r="N113">
        <f t="shared" si="8"/>
        <v>13.722200000000001</v>
      </c>
      <c r="P113">
        <v>15.514048620074346</v>
      </c>
      <c r="Q113">
        <v>234.48595137992567</v>
      </c>
      <c r="R113">
        <v>0</v>
      </c>
    </row>
    <row r="114" spans="2:18" x14ac:dyDescent="0.25">
      <c r="B114">
        <v>-27</v>
      </c>
      <c r="C114" t="str">
        <f t="shared" si="5"/>
        <v/>
      </c>
      <c r="D114">
        <v>16.789724333197771</v>
      </c>
      <c r="E114">
        <v>203.04597267031991</v>
      </c>
      <c r="F114">
        <v>0</v>
      </c>
      <c r="G114">
        <v>0</v>
      </c>
      <c r="H114">
        <v>30.164302996482316</v>
      </c>
      <c r="J114">
        <v>-53.274000000000001</v>
      </c>
      <c r="K114">
        <v>161.20439999999999</v>
      </c>
      <c r="L114">
        <f t="shared" si="10"/>
        <v>54.451999999999998</v>
      </c>
      <c r="M114" t="e">
        <f t="shared" si="7"/>
        <v>#N/A</v>
      </c>
      <c r="N114">
        <f t="shared" si="8"/>
        <v>14.451999999999998</v>
      </c>
      <c r="P114">
        <v>15.770471867177426</v>
      </c>
      <c r="Q114">
        <v>234.22952813282257</v>
      </c>
      <c r="R114">
        <v>0</v>
      </c>
    </row>
    <row r="115" spans="2:18" x14ac:dyDescent="0.25">
      <c r="B115">
        <v>-26.5</v>
      </c>
      <c r="C115" t="str">
        <f t="shared" si="5"/>
        <v/>
      </c>
      <c r="D115">
        <v>17.06869559729407</v>
      </c>
      <c r="E115">
        <v>202.93827940711759</v>
      </c>
      <c r="F115">
        <v>0</v>
      </c>
      <c r="G115">
        <v>0</v>
      </c>
      <c r="H115">
        <v>29.993024995588339</v>
      </c>
      <c r="J115">
        <v>-52.909100000000002</v>
      </c>
      <c r="K115">
        <v>178.84270000000001</v>
      </c>
      <c r="L115">
        <f t="shared" si="10"/>
        <v>55.181799999999996</v>
      </c>
      <c r="M115" t="e">
        <f t="shared" si="7"/>
        <v>#N/A</v>
      </c>
      <c r="N115">
        <f t="shared" si="8"/>
        <v>15.181799999999996</v>
      </c>
      <c r="P115">
        <v>16.029993830922614</v>
      </c>
      <c r="Q115">
        <v>233.97000616907738</v>
      </c>
      <c r="R115">
        <v>0</v>
      </c>
    </row>
    <row r="116" spans="2:18" x14ac:dyDescent="0.25">
      <c r="B116">
        <v>-26</v>
      </c>
      <c r="C116" t="str">
        <f t="shared" si="5"/>
        <v/>
      </c>
      <c r="D116">
        <v>17.351112500347501</v>
      </c>
      <c r="E116">
        <v>202.82557854484836</v>
      </c>
      <c r="F116">
        <v>0</v>
      </c>
      <c r="G116">
        <v>0</v>
      </c>
      <c r="H116">
        <v>29.823308954804144</v>
      </c>
      <c r="J116">
        <v>-52.544199999999996</v>
      </c>
      <c r="K116">
        <v>196.54130000000001</v>
      </c>
      <c r="L116">
        <f t="shared" si="10"/>
        <v>55.911600000000007</v>
      </c>
      <c r="M116" t="e">
        <f t="shared" si="7"/>
        <v>#N/A</v>
      </c>
      <c r="N116">
        <f t="shared" si="8"/>
        <v>15.911600000000007</v>
      </c>
      <c r="P116">
        <v>16.292637400056993</v>
      </c>
      <c r="Q116">
        <v>233.707362599943</v>
      </c>
      <c r="R116">
        <v>0</v>
      </c>
    </row>
    <row r="117" spans="2:18" x14ac:dyDescent="0.25">
      <c r="B117">
        <v>-25.5</v>
      </c>
      <c r="C117" t="str">
        <f t="shared" si="5"/>
        <v/>
      </c>
      <c r="D117">
        <v>17.637003351619452</v>
      </c>
      <c r="E117">
        <v>202.70789975007659</v>
      </c>
      <c r="F117">
        <v>0</v>
      </c>
      <c r="G117">
        <v>0</v>
      </c>
      <c r="H117">
        <v>29.65509689830397</v>
      </c>
      <c r="J117">
        <v>-52.179299999999998</v>
      </c>
      <c r="K117">
        <v>214.3005</v>
      </c>
      <c r="L117">
        <f t="shared" si="10"/>
        <v>56.641400000000004</v>
      </c>
      <c r="M117" t="e">
        <f t="shared" si="7"/>
        <v>#N/A</v>
      </c>
      <c r="N117">
        <f t="shared" si="8"/>
        <v>16.641400000000004</v>
      </c>
      <c r="P117">
        <v>16.558425535559685</v>
      </c>
      <c r="Q117">
        <v>233.44157446444032</v>
      </c>
      <c r="R117">
        <v>0</v>
      </c>
    </row>
    <row r="118" spans="2:18" x14ac:dyDescent="0.25">
      <c r="B118">
        <v>-25</v>
      </c>
      <c r="C118" t="str">
        <f t="shared" si="5"/>
        <v/>
      </c>
      <c r="D118">
        <v>17.926396651249259</v>
      </c>
      <c r="E118">
        <v>202.58526458550972</v>
      </c>
      <c r="F118">
        <v>0</v>
      </c>
      <c r="G118">
        <v>0</v>
      </c>
      <c r="H118">
        <v>29.488338763241014</v>
      </c>
      <c r="J118">
        <v>-51.814399999999999</v>
      </c>
      <c r="K118">
        <v>232.12</v>
      </c>
      <c r="L118">
        <f t="shared" si="10"/>
        <v>57.371200000000002</v>
      </c>
      <c r="M118" t="e">
        <f t="shared" si="7"/>
        <v>#N/A</v>
      </c>
      <c r="N118">
        <f t="shared" si="8"/>
        <v>17.371200000000002</v>
      </c>
      <c r="P118">
        <v>16.827381271995694</v>
      </c>
      <c r="Q118">
        <v>233.1726187280043</v>
      </c>
      <c r="R118">
        <v>0</v>
      </c>
    </row>
    <row r="119" spans="2:18" x14ac:dyDescent="0.25">
      <c r="B119">
        <v>-24.5</v>
      </c>
      <c r="C119" t="str">
        <f t="shared" si="5"/>
        <v/>
      </c>
      <c r="D119">
        <v>18.219321095572891</v>
      </c>
      <c r="E119">
        <v>202.45769569754702</v>
      </c>
      <c r="F119">
        <v>0</v>
      </c>
      <c r="G119">
        <v>0</v>
      </c>
      <c r="H119">
        <v>29.322983206880078</v>
      </c>
      <c r="J119">
        <v>-51.449599999999997</v>
      </c>
      <c r="K119">
        <v>250</v>
      </c>
      <c r="L119">
        <f t="shared" si="10"/>
        <v>58.100800000000007</v>
      </c>
      <c r="M119" t="e">
        <f t="shared" si="7"/>
        <v>#N/A</v>
      </c>
      <c r="N119">
        <f t="shared" si="8"/>
        <v>18.100800000000007</v>
      </c>
      <c r="P119">
        <v>17.099527718947119</v>
      </c>
      <c r="Q119">
        <v>232.90047228105288</v>
      </c>
      <c r="R119">
        <v>0</v>
      </c>
    </row>
    <row r="120" spans="2:18" x14ac:dyDescent="0.25">
      <c r="B120">
        <v>-24</v>
      </c>
      <c r="C120" t="str">
        <f t="shared" si="5"/>
        <v/>
      </c>
      <c r="D120">
        <v>18.515805582712161</v>
      </c>
      <c r="E120">
        <v>202.32521489797176</v>
      </c>
      <c r="F120">
        <v>0</v>
      </c>
      <c r="G120">
        <v>0</v>
      </c>
      <c r="H120">
        <v>29.158979519316084</v>
      </c>
      <c r="M120" t="str">
        <f t="shared" si="7"/>
        <v/>
      </c>
      <c r="N120" t="str">
        <f t="shared" si="8"/>
        <v/>
      </c>
      <c r="P120">
        <v>17.374888062524249</v>
      </c>
      <c r="Q120">
        <v>232.62511193747576</v>
      </c>
      <c r="R120">
        <v>0</v>
      </c>
    </row>
    <row r="121" spans="2:18" x14ac:dyDescent="0.25">
      <c r="B121">
        <v>-23.5</v>
      </c>
      <c r="C121" t="str">
        <f t="shared" si="5"/>
        <v/>
      </c>
      <c r="D121">
        <v>18.815879218407041</v>
      </c>
      <c r="E121">
        <v>202.18784332174496</v>
      </c>
      <c r="F121">
        <v>0</v>
      </c>
      <c r="G121">
        <v>0</v>
      </c>
      <c r="H121">
        <v>28.996277459847995</v>
      </c>
      <c r="I121" s="10" t="s">
        <v>278</v>
      </c>
      <c r="J121">
        <v>-56.558</v>
      </c>
      <c r="K121">
        <v>5.1795999999999998</v>
      </c>
      <c r="L121">
        <f>(J121-Diagramm_Tmin)/Diagramm_dT+1</f>
        <v>47.884</v>
      </c>
      <c r="M121" t="e">
        <f t="shared" si="7"/>
        <v>#N/A</v>
      </c>
      <c r="N121">
        <f t="shared" si="8"/>
        <v>7.8840000000000003</v>
      </c>
      <c r="P121">
        <v>17.65348556695907</v>
      </c>
      <c r="Q121">
        <v>232.34651443304094</v>
      </c>
      <c r="R121">
        <v>0</v>
      </c>
    </row>
    <row r="122" spans="2:18" x14ac:dyDescent="0.25">
      <c r="B122">
        <v>-23</v>
      </c>
      <c r="C122" t="str">
        <f t="shared" si="5"/>
        <v/>
      </c>
      <c r="D122">
        <v>19.119571322090206</v>
      </c>
      <c r="E122">
        <v>202.0456019571549</v>
      </c>
      <c r="F122">
        <v>0</v>
      </c>
      <c r="G122">
        <v>0</v>
      </c>
      <c r="H122">
        <v>28.834826720754894</v>
      </c>
      <c r="M122" t="str">
        <f t="shared" si="7"/>
        <v/>
      </c>
      <c r="N122" t="str">
        <f t="shared" si="8"/>
        <v/>
      </c>
      <c r="P122">
        <v>17.935343576283362</v>
      </c>
      <c r="Q122">
        <v>232.06465642371663</v>
      </c>
      <c r="R122">
        <v>0</v>
      </c>
    </row>
    <row r="123" spans="2:18" x14ac:dyDescent="0.25">
      <c r="B123">
        <v>-22.5</v>
      </c>
      <c r="C123" t="str">
        <f t="shared" si="5"/>
        <v/>
      </c>
      <c r="D123">
        <v>19.426911433245074</v>
      </c>
      <c r="E123">
        <v>201.89850831457809</v>
      </c>
      <c r="F123">
        <v>0</v>
      </c>
      <c r="G123">
        <v>0</v>
      </c>
      <c r="H123">
        <v>28.674580252176824</v>
      </c>
      <c r="I123" s="10" t="s">
        <v>360</v>
      </c>
      <c r="J123">
        <v>27.954721274532744</v>
      </c>
      <c r="K123">
        <v>81.455055721913254</v>
      </c>
      <c r="L123">
        <f>(J123-Diagramm_Tmin)/Diagramm_dT+1</f>
        <v>216.90944254906549</v>
      </c>
      <c r="M123">
        <f t="shared" si="7"/>
        <v>96.909442549065488</v>
      </c>
      <c r="N123">
        <f t="shared" si="8"/>
        <v>176.90944254906549</v>
      </c>
      <c r="P123">
        <v>18.220485516093508</v>
      </c>
      <c r="Q123">
        <v>231.7795144839065</v>
      </c>
      <c r="R123">
        <v>0</v>
      </c>
    </row>
    <row r="124" spans="2:18" x14ac:dyDescent="0.25">
      <c r="B124">
        <v>-22</v>
      </c>
      <c r="C124" t="str">
        <f t="shared" si="5"/>
        <v/>
      </c>
      <c r="D124">
        <v>19.737929318057201</v>
      </c>
      <c r="E124">
        <v>201.74658214138174</v>
      </c>
      <c r="F124">
        <v>0</v>
      </c>
      <c r="G124">
        <v>0</v>
      </c>
      <c r="H124">
        <v>28.515488540561048</v>
      </c>
      <c r="M124" t="str">
        <f t="shared" si="7"/>
        <v/>
      </c>
      <c r="N124" t="str">
        <f t="shared" si="8"/>
        <v/>
      </c>
      <c r="P124">
        <v>18.508934895403964</v>
      </c>
      <c r="Q124">
        <v>231.49106510459603</v>
      </c>
      <c r="R124">
        <v>0</v>
      </c>
    </row>
    <row r="125" spans="2:18" x14ac:dyDescent="0.25">
      <c r="B125">
        <v>-21.5</v>
      </c>
      <c r="C125" t="str">
        <f t="shared" si="5"/>
        <v/>
      </c>
      <c r="D125">
        <v>20.052654976276475</v>
      </c>
      <c r="E125">
        <v>201.58984091285851</v>
      </c>
      <c r="F125">
        <v>0</v>
      </c>
      <c r="G125">
        <v>0</v>
      </c>
      <c r="H125">
        <v>28.357504110865033</v>
      </c>
      <c r="I125" s="10" t="s">
        <v>279</v>
      </c>
      <c r="J125">
        <f>Szen1_T1</f>
        <v>15</v>
      </c>
      <c r="K125">
        <f>Szen1_p1</f>
        <v>91</v>
      </c>
      <c r="L125">
        <f>(J125-Diagramm_Tmin)/Diagramm_dT+1</f>
        <v>191</v>
      </c>
      <c r="M125">
        <f t="shared" si="7"/>
        <v>71</v>
      </c>
      <c r="N125">
        <f t="shared" si="8"/>
        <v>151</v>
      </c>
      <c r="P125">
        <v>18.800715308591172</v>
      </c>
      <c r="Q125">
        <v>231.19928469140882</v>
      </c>
      <c r="R125">
        <v>0</v>
      </c>
    </row>
    <row r="126" spans="2:18" x14ac:dyDescent="0.25">
      <c r="B126">
        <v>-21</v>
      </c>
      <c r="C126" t="str">
        <f t="shared" si="5"/>
        <v/>
      </c>
      <c r="D126">
        <v>20.371118648517893</v>
      </c>
      <c r="E126">
        <v>201.42830370517791</v>
      </c>
      <c r="F126">
        <v>0</v>
      </c>
      <c r="G126">
        <v>0</v>
      </c>
      <c r="H126">
        <v>28.20057764630419</v>
      </c>
      <c r="J126">
        <f>Szen1_T2</f>
        <v>18.395619226701889</v>
      </c>
      <c r="K126">
        <f>Szen1_p2</f>
        <v>114.93130198208927</v>
      </c>
      <c r="L126">
        <f>(J126-Diagramm_Tmin)/Diagramm_dT+1</f>
        <v>197.79123845340376</v>
      </c>
      <c r="M126">
        <f t="shared" si="7"/>
        <v>77.791238453403778</v>
      </c>
      <c r="N126">
        <f t="shared" si="8"/>
        <v>157.79123845340376</v>
      </c>
      <c r="P126">
        <v>19.095850437429569</v>
      </c>
      <c r="Q126">
        <v>230.90414956257044</v>
      </c>
      <c r="R126">
        <v>0</v>
      </c>
    </row>
    <row r="127" spans="2:18" x14ac:dyDescent="0.25">
      <c r="B127">
        <v>-20.5</v>
      </c>
      <c r="C127" t="str">
        <f t="shared" si="5"/>
        <v/>
      </c>
      <c r="D127">
        <v>20.693350823792674</v>
      </c>
      <c r="E127">
        <v>201.26198642266996</v>
      </c>
      <c r="F127">
        <v>0</v>
      </c>
      <c r="G127">
        <v>0</v>
      </c>
      <c r="H127">
        <v>28.044662753537356</v>
      </c>
      <c r="M127" t="str">
        <f t="shared" si="7"/>
        <v/>
      </c>
      <c r="N127" t="str">
        <f t="shared" si="8"/>
        <v/>
      </c>
      <c r="P127">
        <v>19.394364053221242</v>
      </c>
      <c r="Q127">
        <v>230.60563594677876</v>
      </c>
      <c r="R127">
        <v>0</v>
      </c>
    </row>
    <row r="128" spans="2:18" ht="25.5" x14ac:dyDescent="0.25">
      <c r="B128">
        <v>-20</v>
      </c>
      <c r="C128" t="str">
        <f t="shared" si="5"/>
        <v>-20</v>
      </c>
      <c r="D128">
        <v>21.019382247337123</v>
      </c>
      <c r="E128">
        <v>201.09090540672429</v>
      </c>
      <c r="F128">
        <v>0</v>
      </c>
      <c r="G128">
        <v>0</v>
      </c>
      <c r="H128">
        <v>27.889712345938602</v>
      </c>
      <c r="I128" s="10" t="s">
        <v>545</v>
      </c>
      <c r="J128">
        <f>T_S2</f>
        <v>15</v>
      </c>
      <c r="K128">
        <f>p_S2</f>
        <v>30</v>
      </c>
      <c r="L128">
        <f t="shared" ref="L128:L133" si="11">(J128-Diagramm_Tmin)/Diagramm_dT+1</f>
        <v>191</v>
      </c>
      <c r="M128">
        <f t="shared" si="7"/>
        <v>71</v>
      </c>
      <c r="N128">
        <f t="shared" si="8"/>
        <v>151</v>
      </c>
      <c r="P128">
        <v>19.696280019020698</v>
      </c>
      <c r="Q128">
        <v>230.30371998097931</v>
      </c>
      <c r="R128">
        <v>0</v>
      </c>
    </row>
    <row r="129" spans="2:18" x14ac:dyDescent="0.25">
      <c r="B129">
        <v>-19.5</v>
      </c>
      <c r="C129" t="str">
        <f t="shared" si="5"/>
        <v/>
      </c>
      <c r="D129">
        <v>21.349243928996074</v>
      </c>
      <c r="E129">
        <v>200.91507628805502</v>
      </c>
      <c r="F129">
        <v>0</v>
      </c>
      <c r="G129">
        <v>0</v>
      </c>
      <c r="H129">
        <v>27.7356797829489</v>
      </c>
      <c r="J129">
        <f>_xlfn.SINGLE(Szen2_T1a)</f>
        <v>57.499984474089729</v>
      </c>
      <c r="K129">
        <f>p_zw</f>
        <v>50</v>
      </c>
      <c r="L129">
        <f t="shared" si="11"/>
        <v>275.99996894817946</v>
      </c>
      <c r="M129">
        <f t="shared" si="7"/>
        <v>155.99996894817946</v>
      </c>
      <c r="N129">
        <f t="shared" si="8"/>
        <v>235.99996894817946</v>
      </c>
      <c r="P129">
        <v>20.001622291955982</v>
      </c>
      <c r="Q129">
        <v>229.99837770804402</v>
      </c>
      <c r="R129">
        <v>0</v>
      </c>
    </row>
    <row r="130" spans="2:18" x14ac:dyDescent="0.25">
      <c r="B130">
        <v>-19</v>
      </c>
      <c r="C130" t="str">
        <f t="shared" si="5"/>
        <v/>
      </c>
      <c r="D130">
        <v>21.682967151690651</v>
      </c>
      <c r="E130">
        <v>200.73451421436408</v>
      </c>
      <c r="F130">
        <v>0</v>
      </c>
      <c r="G130">
        <v>0</v>
      </c>
      <c r="H130">
        <v>27.582518633945266</v>
      </c>
      <c r="J130">
        <f>T_K</f>
        <v>26</v>
      </c>
      <c r="K130">
        <f>p_zw</f>
        <v>50</v>
      </c>
      <c r="L130">
        <f t="shared" si="11"/>
        <v>213</v>
      </c>
      <c r="M130">
        <f t="shared" si="7"/>
        <v>93</v>
      </c>
      <c r="N130">
        <f t="shared" si="8"/>
        <v>173</v>
      </c>
      <c r="P130">
        <v>20.310414925647429</v>
      </c>
      <c r="Q130">
        <v>229.68958507435258</v>
      </c>
      <c r="R130">
        <v>0</v>
      </c>
    </row>
    <row r="131" spans="2:18" x14ac:dyDescent="0.25">
      <c r="B131">
        <v>-18.5</v>
      </c>
      <c r="C131" t="str">
        <f t="shared" si="5"/>
        <v/>
      </c>
      <c r="D131">
        <v>22.020583480496693</v>
      </c>
      <c r="E131">
        <v>200.54923383360841</v>
      </c>
      <c r="F131">
        <v>0</v>
      </c>
      <c r="G131">
        <v>0</v>
      </c>
      <c r="H131">
        <v>27.430182685894895</v>
      </c>
      <c r="J131">
        <f>_xlfn.SINGLE(Szen2_T2a)</f>
        <v>77.377147339718988</v>
      </c>
      <c r="K131">
        <f>p_uek</f>
        <v>91</v>
      </c>
      <c r="L131">
        <f t="shared" si="11"/>
        <v>315.75429467943798</v>
      </c>
      <c r="M131">
        <f t="shared" si="7"/>
        <v>195.75429467943798</v>
      </c>
      <c r="N131">
        <f t="shared" si="8"/>
        <v>275.75429467943798</v>
      </c>
      <c r="P131">
        <v>20.622682072725492</v>
      </c>
      <c r="Q131">
        <v>229.3773179272745</v>
      </c>
      <c r="R131">
        <v>0</v>
      </c>
    </row>
    <row r="132" spans="2:18" x14ac:dyDescent="0.25">
      <c r="B132">
        <v>-18</v>
      </c>
      <c r="C132" t="str">
        <f t="shared" si="5"/>
        <v/>
      </c>
      <c r="D132">
        <v>22.362124772082222</v>
      </c>
      <c r="E132">
        <v>200.35924930374262</v>
      </c>
      <c r="F132">
        <v>0</v>
      </c>
      <c r="G132">
        <v>0</v>
      </c>
      <c r="H132">
        <v>27.278625924175163</v>
      </c>
      <c r="J132">
        <f>T_K</f>
        <v>26</v>
      </c>
      <c r="K132">
        <f>p_uek</f>
        <v>91</v>
      </c>
      <c r="L132">
        <f t="shared" si="11"/>
        <v>213</v>
      </c>
      <c r="M132">
        <f t="shared" si="7"/>
        <v>93</v>
      </c>
      <c r="N132">
        <f t="shared" si="8"/>
        <v>173</v>
      </c>
      <c r="P132">
        <v>20.938447987448733</v>
      </c>
      <c r="Q132">
        <v>229.06155201255126</v>
      </c>
      <c r="R132">
        <v>0</v>
      </c>
    </row>
    <row r="133" spans="2:18" x14ac:dyDescent="0.25">
      <c r="B133">
        <v>-17.5</v>
      </c>
      <c r="C133" t="str">
        <f t="shared" si="5"/>
        <v/>
      </c>
      <c r="D133">
        <v>22.707623184526081</v>
      </c>
      <c r="E133">
        <v>200.16457433004936</v>
      </c>
      <c r="F133">
        <v>0</v>
      </c>
      <c r="G133">
        <v>0</v>
      </c>
      <c r="H133">
        <v>27.127802485424557</v>
      </c>
      <c r="I133" s="10"/>
      <c r="J133">
        <f>_xlfn.SINGLE(Szen2_TPa)</f>
        <v>31.749694462642424</v>
      </c>
      <c r="K133">
        <f>Kopf_voll</f>
        <v>114.93130198208927</v>
      </c>
      <c r="L133">
        <f t="shared" si="11"/>
        <v>224.49938892528485</v>
      </c>
      <c r="M133">
        <f t="shared" si="7"/>
        <v>104.49938892528485</v>
      </c>
      <c r="N133">
        <f t="shared" si="8"/>
        <v>184.49938892528485</v>
      </c>
      <c r="P133">
        <v>21.257737028423293</v>
      </c>
      <c r="Q133">
        <v>228.74226297157671</v>
      </c>
      <c r="R133">
        <v>0</v>
      </c>
    </row>
    <row r="134" spans="2:18" x14ac:dyDescent="0.25">
      <c r="B134">
        <v>-17</v>
      </c>
      <c r="C134" t="str">
        <f t="shared" si="5"/>
        <v/>
      </c>
      <c r="D134">
        <v>23.057111187672984</v>
      </c>
      <c r="E134">
        <v>199.9652221857022</v>
      </c>
      <c r="F134">
        <v>0</v>
      </c>
      <c r="G134">
        <v>0</v>
      </c>
      <c r="H134">
        <v>26.977666626624814</v>
      </c>
      <c r="M134" t="str">
        <f t="shared" si="7"/>
        <v/>
      </c>
      <c r="N134" t="str">
        <f t="shared" si="8"/>
        <v/>
      </c>
      <c r="P134">
        <v>21.580573661425333</v>
      </c>
      <c r="Q134">
        <v>228.41942633857468</v>
      </c>
      <c r="R134">
        <v>0</v>
      </c>
    </row>
    <row r="135" spans="2:18" x14ac:dyDescent="0.25">
      <c r="B135">
        <v>-16.5</v>
      </c>
      <c r="C135" t="str">
        <f t="shared" si="5"/>
        <v/>
      </c>
      <c r="D135">
        <v>23.410621573866361</v>
      </c>
      <c r="E135">
        <v>199.76120573631954</v>
      </c>
      <c r="F135">
        <v>0</v>
      </c>
      <c r="G135">
        <v>0</v>
      </c>
      <c r="H135">
        <v>26.828172689814085</v>
      </c>
      <c r="M135" t="str">
        <f t="shared" si="7"/>
        <v/>
      </c>
      <c r="N135" t="str">
        <f t="shared" si="8"/>
        <v/>
      </c>
      <c r="P135">
        <v>21.906982462327871</v>
      </c>
      <c r="Q135">
        <v>228.09301753767213</v>
      </c>
      <c r="R135">
        <v>0</v>
      </c>
    </row>
    <row r="136" spans="2:18" x14ac:dyDescent="0.25">
      <c r="B136">
        <v>-16</v>
      </c>
      <c r="C136" t="str">
        <f t="shared" ref="C136:C199" si="12">IF(MOD(B136,20)=0,TEXT(B136,"0"),"")</f>
        <v/>
      </c>
      <c r="D136">
        <v>23.768187469338002</v>
      </c>
      <c r="E136">
        <v>199.55253746297512</v>
      </c>
      <c r="F136">
        <v>0</v>
      </c>
      <c r="G136">
        <v>0</v>
      </c>
      <c r="H136">
        <v>26.679275067686859</v>
      </c>
      <c r="M136" t="str">
        <f t="shared" ref="M136:M199" si="13">IF(J136="","",IF(J136&lt;Zoom_Tmin,NA(),(J136-Zoom_Tmin)/Diagramm_dT+1))</f>
        <v/>
      </c>
      <c r="N136" t="str">
        <f t="shared" ref="N136:N199" si="14">IF(J136="","",IF(J136&lt;Zoom2_Tmin,NA(),(J136-Zoom2_Tmin)/Diagramm_dT+1))</f>
        <v/>
      </c>
      <c r="P136">
        <v>22.236988120133816</v>
      </c>
      <c r="Q136">
        <v>227.76301187986618</v>
      </c>
      <c r="R136">
        <v>0</v>
      </c>
    </row>
    <row r="137" spans="2:18" x14ac:dyDescent="0.25">
      <c r="B137">
        <v>-15.5</v>
      </c>
      <c r="C137" t="str">
        <f t="shared" si="12"/>
        <v/>
      </c>
      <c r="D137">
        <v>24.12984234599627</v>
      </c>
      <c r="E137">
        <v>199.33922948474554</v>
      </c>
      <c r="F137">
        <v>0</v>
      </c>
      <c r="G137">
        <v>0</v>
      </c>
      <c r="H137">
        <v>26.530928169258171</v>
      </c>
      <c r="M137" t="str">
        <f t="shared" si="13"/>
        <v/>
      </c>
      <c r="N137" t="str">
        <f t="shared" si="14"/>
        <v/>
      </c>
      <c r="P137">
        <v>22.570615440116931</v>
      </c>
      <c r="Q137">
        <v>227.42938455988306</v>
      </c>
      <c r="R137">
        <v>0</v>
      </c>
    </row>
    <row r="138" spans="2:18" ht="25.5" x14ac:dyDescent="0.25">
      <c r="B138">
        <v>-15</v>
      </c>
      <c r="C138" t="str">
        <f t="shared" si="12"/>
        <v/>
      </c>
      <c r="D138">
        <v>24.495620033870402</v>
      </c>
      <c r="E138">
        <v>199.12129358059838</v>
      </c>
      <c r="F138">
        <v>0</v>
      </c>
      <c r="G138">
        <v>0</v>
      </c>
      <c r="H138">
        <v>26.383086385531215</v>
      </c>
      <c r="I138" s="10" t="s">
        <v>546</v>
      </c>
      <c r="J138">
        <v>15</v>
      </c>
      <c r="K138">
        <v>30</v>
      </c>
      <c r="L138">
        <f>(J138-Diagramm_Tmin)/Diagramm_dT+1</f>
        <v>191</v>
      </c>
      <c r="M138">
        <f t="shared" si="13"/>
        <v>71</v>
      </c>
      <c r="N138">
        <f t="shared" si="14"/>
        <v>151</v>
      </c>
      <c r="P138">
        <v>22.90788934707302</v>
      </c>
      <c r="Q138">
        <v>227.09211065292698</v>
      </c>
      <c r="R138">
        <v>0</v>
      </c>
    </row>
    <row r="139" spans="2:18" x14ac:dyDescent="0.25">
      <c r="B139">
        <v>-14.5</v>
      </c>
      <c r="C139" t="str">
        <f t="shared" si="12"/>
        <v/>
      </c>
      <c r="D139">
        <v>24.865534504483001</v>
      </c>
      <c r="E139">
        <v>198.89874121071978</v>
      </c>
      <c r="F139">
        <v>0</v>
      </c>
      <c r="G139">
        <v>0</v>
      </c>
      <c r="H139">
        <v>26.235724284797229</v>
      </c>
      <c r="J139">
        <v>60.938392739962069</v>
      </c>
      <c r="K139">
        <v>52</v>
      </c>
      <c r="L139">
        <f>(J139-Diagramm_Tmin)/Diagramm_dT+1</f>
        <v>282.87678547992414</v>
      </c>
      <c r="M139">
        <f t="shared" si="13"/>
        <v>162.87678547992414</v>
      </c>
      <c r="N139">
        <f t="shared" si="14"/>
        <v>242.87678547992414</v>
      </c>
      <c r="P139">
        <v>23.248834888683721</v>
      </c>
      <c r="Q139">
        <v>226.75116511131628</v>
      </c>
      <c r="R139">
        <v>0</v>
      </c>
    </row>
    <row r="140" spans="2:18" x14ac:dyDescent="0.25">
      <c r="B140">
        <v>-14</v>
      </c>
      <c r="C140" t="str">
        <f t="shared" si="12"/>
        <v/>
      </c>
      <c r="D140">
        <v>25.239681032717183</v>
      </c>
      <c r="E140">
        <v>198.67158353730571</v>
      </c>
      <c r="F140">
        <v>0</v>
      </c>
      <c r="G140">
        <v>0</v>
      </c>
      <c r="H140">
        <v>26.088735429977124</v>
      </c>
      <c r="J140">
        <v>26</v>
      </c>
      <c r="K140">
        <v>52</v>
      </c>
      <c r="L140">
        <f>(J140-Diagramm_Tmin)/Diagramm_dT+1</f>
        <v>213</v>
      </c>
      <c r="M140">
        <f t="shared" si="13"/>
        <v>93</v>
      </c>
      <c r="N140">
        <f t="shared" si="14"/>
        <v>173</v>
      </c>
      <c r="P140">
        <v>23.593477238995661</v>
      </c>
      <c r="Q140">
        <v>226.40652276100434</v>
      </c>
      <c r="R140">
        <v>0</v>
      </c>
    </row>
    <row r="141" spans="2:18" x14ac:dyDescent="0.25">
      <c r="B141">
        <v>-13.5</v>
      </c>
      <c r="C141" t="str">
        <f t="shared" si="12"/>
        <v/>
      </c>
      <c r="D141">
        <v>25.618033914754317</v>
      </c>
      <c r="E141">
        <v>198.43983144484085</v>
      </c>
      <c r="F141">
        <v>0</v>
      </c>
      <c r="G141">
        <v>0</v>
      </c>
      <c r="H141">
        <v>25.942134640404841</v>
      </c>
      <c r="J141">
        <v>94.745733831300527</v>
      </c>
      <c r="K141">
        <v>114.93130198208927</v>
      </c>
      <c r="L141">
        <f>(J141-Diagramm_Tmin)/Diagramm_dT+1</f>
        <v>350.49146766260105</v>
      </c>
      <c r="M141">
        <f t="shared" si="13"/>
        <v>230.49146766260105</v>
      </c>
      <c r="N141">
        <f t="shared" si="14"/>
        <v>310.49146766260105</v>
      </c>
      <c r="P141">
        <v>23.941841702018358</v>
      </c>
      <c r="Q141">
        <v>226.05815829798163</v>
      </c>
      <c r="R141">
        <v>0</v>
      </c>
    </row>
    <row r="142" spans="2:18" x14ac:dyDescent="0.25">
      <c r="B142">
        <v>-13</v>
      </c>
      <c r="C142" t="str">
        <f t="shared" si="12"/>
        <v/>
      </c>
      <c r="D142">
        <v>26.000648779532593</v>
      </c>
      <c r="E142">
        <v>198.20349555995858</v>
      </c>
      <c r="F142">
        <v>0</v>
      </c>
      <c r="G142">
        <v>0</v>
      </c>
      <c r="H142">
        <v>25.795855660508817</v>
      </c>
      <c r="J142">
        <v>31.749694462642424</v>
      </c>
      <c r="K142">
        <v>114.93130198208927</v>
      </c>
      <c r="L142">
        <f>(J142-Diagramm_Tmin)/Diagramm_dT+1</f>
        <v>224.49938892528485</v>
      </c>
      <c r="M142">
        <f t="shared" si="13"/>
        <v>104.49938892528485</v>
      </c>
      <c r="N142">
        <f t="shared" si="14"/>
        <v>184.49938892528485</v>
      </c>
      <c r="P142">
        <v>24.293953715444392</v>
      </c>
      <c r="Q142">
        <v>225.70604628455561</v>
      </c>
      <c r="R142">
        <v>0</v>
      </c>
    </row>
    <row r="143" spans="2:18" x14ac:dyDescent="0.25">
      <c r="B143">
        <v>-12.5</v>
      </c>
      <c r="C143" t="str">
        <f t="shared" si="12"/>
        <v/>
      </c>
      <c r="D143">
        <v>26.387561456360864</v>
      </c>
      <c r="E143">
        <v>197.96258627093769</v>
      </c>
      <c r="F143">
        <v>0</v>
      </c>
      <c r="G143">
        <v>0</v>
      </c>
      <c r="H143">
        <v>25.649852272701452</v>
      </c>
      <c r="M143" t="str">
        <f t="shared" si="13"/>
        <v/>
      </c>
      <c r="N143" t="str">
        <f t="shared" si="14"/>
        <v/>
      </c>
      <c r="P143">
        <v>24.649838854496167</v>
      </c>
      <c r="Q143">
        <v>225.35016114550382</v>
      </c>
      <c r="R143">
        <v>0</v>
      </c>
    </row>
    <row r="144" spans="2:18" x14ac:dyDescent="0.25">
      <c r="B144">
        <v>-12</v>
      </c>
      <c r="C144" t="str">
        <f t="shared" si="12"/>
        <v/>
      </c>
      <c r="D144">
        <v>26.77880822122118</v>
      </c>
      <c r="E144">
        <v>197.71711374706209</v>
      </c>
      <c r="F144">
        <v>0</v>
      </c>
      <c r="G144">
        <v>0</v>
      </c>
      <c r="H144">
        <v>25.504078031716734</v>
      </c>
      <c r="I144" s="10" t="s">
        <v>280</v>
      </c>
      <c r="J144">
        <v>-71</v>
      </c>
      <c r="K144">
        <v>70</v>
      </c>
      <c r="L144">
        <f>(J144-Diagramm_Tmin)/Diagramm_dT+1</f>
        <v>19</v>
      </c>
      <c r="M144" t="e">
        <f t="shared" si="13"/>
        <v>#N/A</v>
      </c>
      <c r="N144" t="e">
        <f t="shared" si="14"/>
        <v>#N/A</v>
      </c>
      <c r="P144">
        <v>25.00952283590393</v>
      </c>
      <c r="Q144">
        <v>224.99047716409606</v>
      </c>
      <c r="R144">
        <v>0</v>
      </c>
    </row>
    <row r="145" spans="2:18" x14ac:dyDescent="0.25">
      <c r="B145">
        <v>-11.5</v>
      </c>
      <c r="C145" t="str">
        <f t="shared" si="12"/>
        <v/>
      </c>
      <c r="D145">
        <v>27.174425814219134</v>
      </c>
      <c r="E145">
        <v>197.46708795775592</v>
      </c>
      <c r="F145">
        <v>0</v>
      </c>
      <c r="G145">
        <v>0</v>
      </c>
      <c r="H145">
        <v>25.358486228024951</v>
      </c>
      <c r="J145">
        <v>-30</v>
      </c>
      <c r="K145">
        <v>105</v>
      </c>
      <c r="L145">
        <f>(J145-Diagramm_Tmin)/Diagramm_dT+1</f>
        <v>101</v>
      </c>
      <c r="M145" t="e">
        <f t="shared" si="13"/>
        <v>#N/A</v>
      </c>
      <c r="N145">
        <f t="shared" si="14"/>
        <v>61</v>
      </c>
      <c r="P145">
        <v>25.373031522020629</v>
      </c>
      <c r="Q145">
        <v>224.62696847797937</v>
      </c>
      <c r="R145">
        <v>0</v>
      </c>
    </row>
    <row r="146" spans="2:18" x14ac:dyDescent="0.25">
      <c r="B146">
        <v>-11</v>
      </c>
      <c r="C146" t="str">
        <f t="shared" si="12"/>
        <v/>
      </c>
      <c r="D146">
        <v>27.574451458074829</v>
      </c>
      <c r="E146">
        <v>197.21251869183223</v>
      </c>
      <c r="F146">
        <v>0</v>
      </c>
      <c r="G146">
        <v>0</v>
      </c>
      <c r="H146">
        <v>25.213029850092948</v>
      </c>
      <c r="J146">
        <v>72</v>
      </c>
      <c r="K146">
        <v>12</v>
      </c>
      <c r="L146">
        <f>(J146-Diagramm_Tmin)/Diagramm_dT+1</f>
        <v>305</v>
      </c>
      <c r="M146">
        <f t="shared" si="13"/>
        <v>185</v>
      </c>
      <c r="N146">
        <f t="shared" si="14"/>
        <v>265</v>
      </c>
      <c r="P146">
        <v>25.740390925079538</v>
      </c>
      <c r="Q146">
        <v>224.25960907492046</v>
      </c>
      <c r="R146">
        <v>0</v>
      </c>
    </row>
    <row r="147" spans="2:18" x14ac:dyDescent="0.25">
      <c r="B147">
        <v>-10.5</v>
      </c>
      <c r="C147" t="str">
        <f t="shared" si="12"/>
        <v/>
      </c>
      <c r="D147">
        <v>27.978922877476542</v>
      </c>
      <c r="E147">
        <v>196.95341557692242</v>
      </c>
      <c r="F147">
        <v>0</v>
      </c>
      <c r="G147">
        <v>0</v>
      </c>
      <c r="H147">
        <v>25.067661545601041</v>
      </c>
      <c r="J147">
        <v>85</v>
      </c>
      <c r="K147">
        <v>120</v>
      </c>
      <c r="L147">
        <f>(J147-Diagramm_Tmin)/Diagramm_dT+1</f>
        <v>331</v>
      </c>
      <c r="M147">
        <f t="shared" si="13"/>
        <v>211</v>
      </c>
      <c r="N147">
        <f t="shared" si="14"/>
        <v>291</v>
      </c>
      <c r="P147">
        <v>26.111627211601697</v>
      </c>
      <c r="Q147">
        <v>223.8883727883983</v>
      </c>
      <c r="R147">
        <v>0</v>
      </c>
    </row>
    <row r="148" spans="2:18" x14ac:dyDescent="0.25">
      <c r="B148">
        <v>-10</v>
      </c>
      <c r="C148" t="str">
        <f t="shared" si="12"/>
        <v/>
      </c>
      <c r="D148">
        <v>28.387878319565097</v>
      </c>
      <c r="E148">
        <v>196.68978809933753</v>
      </c>
      <c r="F148">
        <v>0</v>
      </c>
      <c r="G148">
        <v>0</v>
      </c>
      <c r="H148">
        <v>24.922333581097384</v>
      </c>
      <c r="J148">
        <v>-22</v>
      </c>
      <c r="K148">
        <v>34</v>
      </c>
      <c r="L148">
        <f>(J148-Diagramm_Tmin)/Diagramm_dT+1</f>
        <v>117</v>
      </c>
      <c r="M148" t="e">
        <f t="shared" si="13"/>
        <v>#N/A</v>
      </c>
      <c r="N148">
        <f t="shared" si="14"/>
        <v>77</v>
      </c>
      <c r="P148">
        <v>26.486766706960875</v>
      </c>
      <c r="Q148">
        <v>223.51323329303912</v>
      </c>
      <c r="R148">
        <v>0</v>
      </c>
    </row>
    <row r="149" spans="2:18" x14ac:dyDescent="0.25">
      <c r="B149">
        <v>-9.5</v>
      </c>
      <c r="C149" t="str">
        <f t="shared" si="12"/>
        <v/>
      </c>
      <c r="D149">
        <v>28.801356575535983</v>
      </c>
      <c r="E149">
        <v>196.42164562456736</v>
      </c>
      <c r="F149">
        <v>0</v>
      </c>
      <c r="G149">
        <v>0</v>
      </c>
      <c r="H149">
        <v>24.776997799896648</v>
      </c>
      <c r="I149" s="10" t="s">
        <v>281</v>
      </c>
      <c r="J149">
        <v>1</v>
      </c>
      <c r="K149">
        <v>91</v>
      </c>
      <c r="L149">
        <f t="shared" ref="L149:L156" si="15">(J149-Diagramm_Tmin)/Diagramm_dT+1</f>
        <v>163</v>
      </c>
      <c r="M149">
        <f t="shared" si="13"/>
        <v>43</v>
      </c>
      <c r="N149">
        <f t="shared" si="14"/>
        <v>123</v>
      </c>
      <c r="P149">
        <v>26.865835900114593</v>
      </c>
      <c r="Q149">
        <v>223.1341640998854</v>
      </c>
      <c r="R149">
        <v>0</v>
      </c>
    </row>
    <row r="150" spans="2:18" x14ac:dyDescent="0.25">
      <c r="B150">
        <v>-9</v>
      </c>
      <c r="C150" t="str">
        <f t="shared" si="12"/>
        <v/>
      </c>
      <c r="D150">
        <v>29.21966600247509</v>
      </c>
      <c r="E150">
        <v>196.14899741868678</v>
      </c>
      <c r="F150">
        <v>0</v>
      </c>
      <c r="G150">
        <v>0</v>
      </c>
      <c r="H150">
        <v>24.631336578838134</v>
      </c>
      <c r="J150">
        <v>15</v>
      </c>
      <c r="K150">
        <v>25</v>
      </c>
      <c r="L150">
        <f t="shared" si="15"/>
        <v>191</v>
      </c>
      <c r="M150">
        <f t="shared" si="13"/>
        <v>71</v>
      </c>
      <c r="N150">
        <f t="shared" si="14"/>
        <v>151</v>
      </c>
      <c r="P150">
        <v>27.248861448510997</v>
      </c>
      <c r="Q150">
        <v>222.75113855148899</v>
      </c>
      <c r="R150">
        <v>0</v>
      </c>
    </row>
    <row r="151" spans="2:18" x14ac:dyDescent="0.25">
      <c r="B151">
        <v>-8.5</v>
      </c>
      <c r="C151" t="str">
        <f t="shared" si="12"/>
        <v/>
      </c>
      <c r="D151">
        <v>29.644089510561468</v>
      </c>
      <c r="E151">
        <v>195.87185267098772</v>
      </c>
      <c r="F151">
        <v>0</v>
      </c>
      <c r="G151">
        <v>0</v>
      </c>
      <c r="H151">
        <v>24.484057818450818</v>
      </c>
      <c r="J151">
        <f>_xlfn.SINGLE(Szen2_T2a)+11</f>
        <v>88.377147339718988</v>
      </c>
      <c r="K151">
        <v>86</v>
      </c>
      <c r="L151">
        <f t="shared" si="15"/>
        <v>337.75429467943798</v>
      </c>
      <c r="M151">
        <f t="shared" si="13"/>
        <v>217.75429467943798</v>
      </c>
      <c r="N151">
        <f t="shared" si="14"/>
        <v>297.75429467943798</v>
      </c>
      <c r="P151">
        <v>27.635870183182206</v>
      </c>
      <c r="Q151">
        <v>222.36412981681781</v>
      </c>
      <c r="R151">
        <v>0</v>
      </c>
    </row>
    <row r="152" spans="2:18" x14ac:dyDescent="0.25">
      <c r="B152">
        <v>-8</v>
      </c>
      <c r="C152" t="str">
        <f t="shared" si="12"/>
        <v/>
      </c>
      <c r="D152">
        <v>30.069598596144392</v>
      </c>
      <c r="E152">
        <v>195.59042473978019</v>
      </c>
      <c r="F152">
        <v>0</v>
      </c>
      <c r="G152">
        <v>0</v>
      </c>
      <c r="H152">
        <v>24.339976664075426</v>
      </c>
      <c r="J152">
        <v>48</v>
      </c>
      <c r="K152">
        <v>95</v>
      </c>
      <c r="L152">
        <f t="shared" si="15"/>
        <v>257</v>
      </c>
      <c r="M152">
        <f t="shared" si="13"/>
        <v>137</v>
      </c>
      <c r="N152">
        <f t="shared" si="14"/>
        <v>217</v>
      </c>
      <c r="P152">
        <v>28.026889114035942</v>
      </c>
      <c r="Q152">
        <v>221.97311088596405</v>
      </c>
      <c r="R152">
        <v>0</v>
      </c>
    </row>
    <row r="153" spans="2:18" x14ac:dyDescent="0.25">
      <c r="B153">
        <v>-7.5</v>
      </c>
      <c r="C153" t="str">
        <f t="shared" si="12"/>
        <v/>
      </c>
      <c r="D153">
        <v>30.503380530925153</v>
      </c>
      <c r="E153">
        <v>195.30411007077186</v>
      </c>
      <c r="F153">
        <v>0</v>
      </c>
      <c r="G153">
        <v>0</v>
      </c>
      <c r="H153">
        <v>24.192509398302992</v>
      </c>
      <c r="J153">
        <v>23</v>
      </c>
      <c r="K153">
        <v>120.93130198208927</v>
      </c>
      <c r="L153">
        <f t="shared" si="15"/>
        <v>207</v>
      </c>
      <c r="M153">
        <f t="shared" si="13"/>
        <v>87</v>
      </c>
      <c r="N153">
        <f t="shared" si="14"/>
        <v>167</v>
      </c>
      <c r="P153">
        <v>28.421945435358584</v>
      </c>
      <c r="Q153">
        <v>221.57805456464141</v>
      </c>
      <c r="R153">
        <v>0</v>
      </c>
    </row>
    <row r="154" spans="2:18" x14ac:dyDescent="0.25">
      <c r="B154">
        <v>-7</v>
      </c>
      <c r="C154" t="str">
        <f t="shared" si="12"/>
        <v/>
      </c>
      <c r="D154">
        <v>30.937988822707315</v>
      </c>
      <c r="E154">
        <v>195.01353044112622</v>
      </c>
      <c r="F154">
        <v>0</v>
      </c>
      <c r="G154">
        <v>0</v>
      </c>
      <c r="H154">
        <v>24.048480736166471</v>
      </c>
      <c r="J154">
        <f>_xlfn.SINGLE(Szen2_T1a)+10</f>
        <v>67.499984474089729</v>
      </c>
      <c r="K154">
        <v>45</v>
      </c>
      <c r="L154">
        <f t="shared" si="15"/>
        <v>295.99996894817946</v>
      </c>
      <c r="M154">
        <f t="shared" si="13"/>
        <v>175.99996894817946</v>
      </c>
      <c r="N154">
        <f t="shared" si="14"/>
        <v>255.99996894817946</v>
      </c>
      <c r="P154">
        <v>28.821066531543856</v>
      </c>
      <c r="Q154">
        <v>221.17893346845614</v>
      </c>
      <c r="R154">
        <v>0</v>
      </c>
    </row>
    <row r="155" spans="2:18" x14ac:dyDescent="0.25">
      <c r="B155">
        <v>-6.5</v>
      </c>
      <c r="C155" t="str">
        <f t="shared" si="12"/>
        <v/>
      </c>
      <c r="D155">
        <v>31.379452087235325</v>
      </c>
      <c r="E155">
        <v>194.71849077537172</v>
      </c>
      <c r="F155">
        <v>0</v>
      </c>
      <c r="G155">
        <v>0</v>
      </c>
      <c r="H155">
        <v>23.902057137392948</v>
      </c>
      <c r="J155">
        <v>40</v>
      </c>
      <c r="K155">
        <v>54</v>
      </c>
      <c r="L155">
        <f t="shared" si="15"/>
        <v>241</v>
      </c>
      <c r="M155">
        <f t="shared" si="13"/>
        <v>121</v>
      </c>
      <c r="N155">
        <f t="shared" si="14"/>
        <v>201</v>
      </c>
      <c r="P155">
        <v>29.224279983062953</v>
      </c>
      <c r="Q155">
        <v>220.77572001693704</v>
      </c>
      <c r="R155">
        <v>0</v>
      </c>
    </row>
    <row r="156" spans="2:18" x14ac:dyDescent="0.25">
      <c r="B156">
        <v>-6</v>
      </c>
      <c r="C156" t="str">
        <f t="shared" si="12"/>
        <v/>
      </c>
      <c r="D156">
        <v>31.82572702823888</v>
      </c>
      <c r="E156">
        <v>194.4190002879202</v>
      </c>
      <c r="F156">
        <v>0</v>
      </c>
      <c r="G156">
        <v>0</v>
      </c>
      <c r="H156">
        <v>23.755272683840936</v>
      </c>
      <c r="J156">
        <v>97</v>
      </c>
      <c r="K156">
        <v>106</v>
      </c>
      <c r="L156">
        <f t="shared" si="15"/>
        <v>355</v>
      </c>
      <c r="M156">
        <f t="shared" si="13"/>
        <v>235</v>
      </c>
      <c r="N156">
        <f t="shared" si="14"/>
        <v>315</v>
      </c>
      <c r="P156">
        <v>29.631613572693674</v>
      </c>
      <c r="Q156">
        <v>220.36838642730632</v>
      </c>
      <c r="R156">
        <v>0</v>
      </c>
    </row>
    <row r="157" spans="2:18" x14ac:dyDescent="0.25">
      <c r="B157">
        <v>-5.5</v>
      </c>
      <c r="C157" t="str">
        <f t="shared" si="12"/>
        <v/>
      </c>
      <c r="D157">
        <v>32.276857732169212</v>
      </c>
      <c r="E157">
        <v>194.11506830024717</v>
      </c>
      <c r="F157">
        <v>0</v>
      </c>
      <c r="G157">
        <v>0</v>
      </c>
      <c r="H157">
        <v>23.608073967583614</v>
      </c>
      <c r="M157" t="str">
        <f t="shared" si="13"/>
        <v/>
      </c>
      <c r="N157" t="str">
        <f t="shared" si="14"/>
        <v/>
      </c>
      <c r="P157">
        <v>30.043095292026621</v>
      </c>
      <c r="Q157">
        <v>219.95690470797337</v>
      </c>
      <c r="R157">
        <v>0</v>
      </c>
    </row>
    <row r="158" spans="2:18" x14ac:dyDescent="0.25">
      <c r="B158">
        <v>-5</v>
      </c>
      <c r="C158" t="str">
        <f t="shared" si="12"/>
        <v/>
      </c>
      <c r="D158">
        <v>32.732889090722054</v>
      </c>
      <c r="E158">
        <v>193.80670428406319</v>
      </c>
      <c r="F158">
        <v>0</v>
      </c>
      <c r="G158">
        <v>0</v>
      </c>
      <c r="H158">
        <v>23.460406625214745</v>
      </c>
      <c r="I158" s="10" t="s">
        <v>282</v>
      </c>
      <c r="J158">
        <f>'Kaverne &amp; Gassäule'!$C$55</f>
        <v>10</v>
      </c>
      <c r="K158">
        <f>'Kaverne &amp; Gassäule'!$D$55</f>
        <v>114.93130198208927</v>
      </c>
      <c r="L158">
        <f t="shared" ref="L158:L182" si="16">(J158-Diagramm_Tmin)/Diagramm_dT+1</f>
        <v>181</v>
      </c>
      <c r="M158">
        <f t="shared" si="13"/>
        <v>61</v>
      </c>
      <c r="N158">
        <f t="shared" si="14"/>
        <v>141</v>
      </c>
      <c r="P158">
        <v>30.458753348268996</v>
      </c>
      <c r="Q158">
        <v>219.541246651731</v>
      </c>
      <c r="R158">
        <v>0</v>
      </c>
    </row>
    <row r="159" spans="2:18" x14ac:dyDescent="0.25">
      <c r="B159">
        <v>-4.5</v>
      </c>
      <c r="C159" t="str">
        <f t="shared" si="12"/>
        <v/>
      </c>
      <c r="D159">
        <v>33.193866839690045</v>
      </c>
      <c r="E159">
        <v>193.49391790963293</v>
      </c>
      <c r="F159">
        <v>0</v>
      </c>
      <c r="G159">
        <v>0</v>
      </c>
      <c r="H159">
        <v>23.312215250677021</v>
      </c>
      <c r="J159">
        <f>'Kaverne &amp; Gassäule'!$C$56</f>
        <v>11.5</v>
      </c>
      <c r="K159">
        <f>'Kaverne &amp; Gassäule'!$D$56</f>
        <v>119.16100924115156</v>
      </c>
      <c r="L159">
        <f t="shared" si="16"/>
        <v>184</v>
      </c>
      <c r="M159">
        <f t="shared" si="13"/>
        <v>64</v>
      </c>
      <c r="N159">
        <f t="shared" si="14"/>
        <v>144</v>
      </c>
      <c r="P159">
        <v>30.878616171368314</v>
      </c>
      <c r="Q159">
        <v>219.12138382863168</v>
      </c>
      <c r="R159">
        <v>0</v>
      </c>
    </row>
    <row r="160" spans="2:18" x14ac:dyDescent="0.25">
      <c r="B160">
        <v>-4</v>
      </c>
      <c r="C160" t="str">
        <f t="shared" si="12"/>
        <v/>
      </c>
      <c r="D160">
        <v>33.659837600410995</v>
      </c>
      <c r="E160">
        <v>193.17671909986115</v>
      </c>
      <c r="F160">
        <v>0</v>
      </c>
      <c r="G160">
        <v>0</v>
      </c>
      <c r="H160">
        <v>23.163443299727874</v>
      </c>
      <c r="J160">
        <f>'Kaverne &amp; Gassäule'!$C$57</f>
        <v>13</v>
      </c>
      <c r="K160">
        <f>'Kaverne &amp; Gassäule'!$D$57</f>
        <v>123.36557182169967</v>
      </c>
      <c r="L160">
        <f t="shared" si="16"/>
        <v>187</v>
      </c>
      <c r="M160">
        <f t="shared" si="13"/>
        <v>67</v>
      </c>
      <c r="N160">
        <f t="shared" si="14"/>
        <v>147</v>
      </c>
      <c r="P160">
        <v>31.302712421479345</v>
      </c>
      <c r="Q160">
        <v>218.69728757852064</v>
      </c>
      <c r="R160">
        <v>0</v>
      </c>
    </row>
    <row r="161" spans="2:18" x14ac:dyDescent="0.25">
      <c r="B161">
        <v>-3.5</v>
      </c>
      <c r="C161" t="str">
        <f t="shared" si="12"/>
        <v/>
      </c>
      <c r="D161">
        <v>34.130848923988133</v>
      </c>
      <c r="E161">
        <v>192.85511809070925</v>
      </c>
      <c r="F161">
        <v>0</v>
      </c>
      <c r="G161">
        <v>0</v>
      </c>
      <c r="H161">
        <v>23.014032985302606</v>
      </c>
      <c r="J161">
        <f>'Kaverne &amp; Gassäule'!$C$58</f>
        <v>14.5</v>
      </c>
      <c r="K161">
        <f>'Kaverne &amp; Gassäule'!$D$58</f>
        <v>127.54518251936265</v>
      </c>
      <c r="L161">
        <f t="shared" si="16"/>
        <v>190</v>
      </c>
      <c r="M161">
        <f t="shared" si="13"/>
        <v>70</v>
      </c>
      <c r="N161">
        <f t="shared" si="14"/>
        <v>150</v>
      </c>
      <c r="P161">
        <v>31.731070996799659</v>
      </c>
      <c r="Q161">
        <v>218.26892900320036</v>
      </c>
      <c r="R161">
        <v>0</v>
      </c>
    </row>
    <row r="162" spans="2:18" x14ac:dyDescent="0.25">
      <c r="B162">
        <v>-3</v>
      </c>
      <c r="C162" t="str">
        <f t="shared" si="12"/>
        <v/>
      </c>
      <c r="D162">
        <v>34.606949338621241</v>
      </c>
      <c r="E162">
        <v>192.52912549865241</v>
      </c>
      <c r="F162">
        <v>0</v>
      </c>
      <c r="G162">
        <v>0</v>
      </c>
      <c r="H162">
        <v>22.86392516272636</v>
      </c>
      <c r="J162">
        <f>'Kaverne &amp; Gassäule'!$C$59</f>
        <v>16</v>
      </c>
      <c r="K162">
        <f>'Kaverne &amp; Gassäule'!$D$59</f>
        <v>131.70004500354221</v>
      </c>
      <c r="L162">
        <f t="shared" si="16"/>
        <v>193</v>
      </c>
      <c r="M162">
        <f t="shared" si="13"/>
        <v>73</v>
      </c>
      <c r="N162">
        <f t="shared" si="14"/>
        <v>153</v>
      </c>
      <c r="P162">
        <v>32.163721041800734</v>
      </c>
      <c r="Q162">
        <v>217.83627895819927</v>
      </c>
      <c r="R162">
        <v>0</v>
      </c>
    </row>
    <row r="163" spans="2:18" x14ac:dyDescent="0.25">
      <c r="B163">
        <v>-2.5</v>
      </c>
      <c r="C163" t="str">
        <f t="shared" si="12"/>
        <v/>
      </c>
      <c r="D163">
        <v>35.088188400233264</v>
      </c>
      <c r="E163">
        <v>192.19875239574151</v>
      </c>
      <c r="F163">
        <v>0</v>
      </c>
      <c r="G163">
        <v>0</v>
      </c>
      <c r="H163">
        <v>22.713059204025228</v>
      </c>
      <c r="J163">
        <f>'Kaverne &amp; Gassäule'!$C$60</f>
        <v>17.5</v>
      </c>
      <c r="K163">
        <f>'Kaverne &amp; Gassäule'!$D$60</f>
        <v>135.83037358755291</v>
      </c>
      <c r="L163">
        <f t="shared" si="16"/>
        <v>196</v>
      </c>
      <c r="M163">
        <f t="shared" si="13"/>
        <v>76</v>
      </c>
      <c r="N163">
        <f t="shared" si="14"/>
        <v>156</v>
      </c>
      <c r="P163">
        <v>32.600691955883526</v>
      </c>
      <c r="Q163">
        <v>217.39930804411648</v>
      </c>
      <c r="R163">
        <v>0</v>
      </c>
    </row>
    <row r="164" spans="2:18" x14ac:dyDescent="0.25">
      <c r="B164">
        <v>-2</v>
      </c>
      <c r="C164" t="str">
        <f t="shared" si="12"/>
        <v/>
      </c>
      <c r="D164">
        <v>35.574616746776918</v>
      </c>
      <c r="E164">
        <v>191.86401039275356</v>
      </c>
      <c r="F164">
        <v>0</v>
      </c>
      <c r="G164">
        <v>0</v>
      </c>
      <c r="H164">
        <v>22.561372860469525</v>
      </c>
      <c r="J164">
        <f>'Kaverne &amp; Gassäule'!$C$61</f>
        <v>19</v>
      </c>
      <c r="K164">
        <f>'Kaverne &amp; Gassäule'!$D$61</f>
        <v>139.93639309319369</v>
      </c>
      <c r="L164">
        <f t="shared" si="16"/>
        <v>199</v>
      </c>
      <c r="M164">
        <f t="shared" si="13"/>
        <v>79</v>
      </c>
      <c r="N164">
        <f t="shared" si="14"/>
        <v>159</v>
      </c>
      <c r="P164">
        <v>33.042013402488855</v>
      </c>
      <c r="Q164">
        <v>216.95798659751114</v>
      </c>
      <c r="R164">
        <v>0</v>
      </c>
    </row>
    <row r="165" spans="2:18" x14ac:dyDescent="0.25">
      <c r="B165">
        <v>-1.5</v>
      </c>
      <c r="C165" t="str">
        <f t="shared" si="12"/>
        <v/>
      </c>
      <c r="D165">
        <v>36.066286156425733</v>
      </c>
      <c r="E165">
        <v>191.52491173106893</v>
      </c>
      <c r="F165">
        <v>0</v>
      </c>
      <c r="G165">
        <v>0</v>
      </c>
      <c r="H165">
        <v>22.408802112505327</v>
      </c>
      <c r="J165">
        <f>'Kaverne &amp; Gassäule'!$C$62</f>
        <v>20.5</v>
      </c>
      <c r="K165">
        <f>'Kaverne &amp; Gassäule'!$D$62</f>
        <v>144.01833877875904</v>
      </c>
      <c r="L165">
        <f t="shared" si="16"/>
        <v>202</v>
      </c>
      <c r="M165">
        <f t="shared" si="13"/>
        <v>82</v>
      </c>
      <c r="N165">
        <f t="shared" si="14"/>
        <v>162</v>
      </c>
      <c r="P165">
        <v>33.487715318694562</v>
      </c>
      <c r="Q165">
        <v>216.51228468130543</v>
      </c>
      <c r="R165">
        <v>0</v>
      </c>
    </row>
    <row r="166" spans="2:18" x14ac:dyDescent="0.25">
      <c r="B166">
        <v>-1</v>
      </c>
      <c r="C166" t="str">
        <f t="shared" si="12"/>
        <v/>
      </c>
      <c r="D166">
        <v>36.563249610200728</v>
      </c>
      <c r="E166">
        <v>191.18146938348454</v>
      </c>
      <c r="F166">
        <v>0</v>
      </c>
      <c r="G166">
        <v>0</v>
      </c>
      <c r="H166">
        <v>22.255281006314725</v>
      </c>
      <c r="J166">
        <f>'Kaverne &amp; Gassäule'!$C$63</f>
        <v>22</v>
      </c>
      <c r="K166">
        <f>'Kaverne &amp; Gassäule'!$D$63</f>
        <v>148.07645628272289</v>
      </c>
      <c r="L166">
        <f t="shared" si="16"/>
        <v>205</v>
      </c>
      <c r="M166">
        <f t="shared" si="13"/>
        <v>85</v>
      </c>
      <c r="N166">
        <f t="shared" si="14"/>
        <v>165</v>
      </c>
      <c r="P166">
        <v>33.937827925332847</v>
      </c>
      <c r="Q166">
        <v>216.06217207466716</v>
      </c>
      <c r="R166">
        <v>0</v>
      </c>
    </row>
    <row r="167" spans="2:18" x14ac:dyDescent="0.25">
      <c r="B167">
        <v>-0.5</v>
      </c>
      <c r="C167" t="str">
        <f t="shared" si="12"/>
        <v/>
      </c>
      <c r="D167">
        <v>37.065561359218584</v>
      </c>
      <c r="E167">
        <v>190.83369716431511</v>
      </c>
      <c r="F167">
        <v>0</v>
      </c>
      <c r="G167">
        <v>0</v>
      </c>
      <c r="H167">
        <v>22.100741476466304</v>
      </c>
      <c r="J167">
        <f>'Kaverne &amp; Gassäule'!$C$64</f>
        <v>23.5</v>
      </c>
      <c r="K167">
        <f>'Kaverne &amp; Gassäule'!$D$64</f>
        <v>152.11100152709446</v>
      </c>
      <c r="L167">
        <f t="shared" si="16"/>
        <v>208</v>
      </c>
      <c r="M167">
        <f t="shared" si="13"/>
        <v>88</v>
      </c>
      <c r="N167">
        <f t="shared" si="14"/>
        <v>168</v>
      </c>
      <c r="P167">
        <v>34.39238173766244</v>
      </c>
      <c r="Q167">
        <v>215.60761826233755</v>
      </c>
      <c r="R167">
        <v>0</v>
      </c>
    </row>
    <row r="168" spans="2:18" x14ac:dyDescent="0.25">
      <c r="B168">
        <v>0</v>
      </c>
      <c r="C168" t="str">
        <f t="shared" si="12"/>
        <v>0</v>
      </c>
      <c r="D168">
        <v>37.573276997210179</v>
      </c>
      <c r="E168">
        <v>190.48160984888668</v>
      </c>
      <c r="F168">
        <v>0</v>
      </c>
      <c r="G168">
        <v>0</v>
      </c>
      <c r="H168">
        <v>21.945113153903144</v>
      </c>
      <c r="J168">
        <f>'Kaverne &amp; Gassäule'!$C$65</f>
        <v>25</v>
      </c>
      <c r="K168">
        <f>'Kaverne &amp; Gassäule'!$D$65</f>
        <v>156.1222405259621</v>
      </c>
      <c r="L168">
        <f t="shared" si="16"/>
        <v>211</v>
      </c>
      <c r="M168">
        <f t="shared" si="13"/>
        <v>91</v>
      </c>
      <c r="N168">
        <f t="shared" si="14"/>
        <v>171</v>
      </c>
      <c r="P168">
        <v>34.851407576631608</v>
      </c>
      <c r="Q168">
        <v>215.1485924233684</v>
      </c>
      <c r="R168">
        <v>0</v>
      </c>
    </row>
    <row r="169" spans="2:18" x14ac:dyDescent="0.25">
      <c r="B169">
        <v>0.5</v>
      </c>
      <c r="C169" t="str">
        <f t="shared" si="12"/>
        <v/>
      </c>
      <c r="D169">
        <v>38.086453538633471</v>
      </c>
      <c r="E169">
        <v>190.12522330227574</v>
      </c>
      <c r="F169">
        <v>0</v>
      </c>
      <c r="G169">
        <v>0</v>
      </c>
      <c r="H169">
        <v>21.788323159090801</v>
      </c>
      <c r="J169">
        <f>'Kaverne &amp; Gassäule'!$C$66</f>
        <v>26.5</v>
      </c>
      <c r="K169">
        <f>'Kaverne &amp; Gassäule'!$D$66</f>
        <v>160.11044905533242</v>
      </c>
      <c r="L169">
        <f t="shared" si="16"/>
        <v>214</v>
      </c>
      <c r="M169">
        <f t="shared" si="13"/>
        <v>94</v>
      </c>
      <c r="N169">
        <f t="shared" si="14"/>
        <v>174</v>
      </c>
      <c r="P169">
        <v>35.314936580768631</v>
      </c>
      <c r="Q169">
        <v>214.68506341923137</v>
      </c>
      <c r="R169">
        <v>0</v>
      </c>
    </row>
    <row r="170" spans="2:18" x14ac:dyDescent="0.25">
      <c r="B170">
        <v>1</v>
      </c>
      <c r="C170" t="str">
        <f t="shared" si="12"/>
        <v/>
      </c>
      <c r="D170">
        <v>38.60514950304249</v>
      </c>
      <c r="E170">
        <v>189.76455461698157</v>
      </c>
      <c r="F170">
        <v>0</v>
      </c>
      <c r="G170">
        <v>0</v>
      </c>
      <c r="H170">
        <v>21.630295879975947</v>
      </c>
      <c r="J170">
        <f>'Kaverne &amp; Gassäule'!$C$67</f>
        <v>28</v>
      </c>
      <c r="K170">
        <f>'Kaverne &amp; Gassäule'!$D$67</f>
        <v>164.07591215772621</v>
      </c>
      <c r="L170">
        <f t="shared" si="16"/>
        <v>217</v>
      </c>
      <c r="M170">
        <f t="shared" si="13"/>
        <v>97</v>
      </c>
      <c r="N170">
        <f t="shared" si="14"/>
        <v>177</v>
      </c>
      <c r="P170">
        <v>35.783000218737484</v>
      </c>
      <c r="Q170">
        <v>214.21699978126253</v>
      </c>
      <c r="R170">
        <v>0</v>
      </c>
    </row>
    <row r="171" spans="2:18" x14ac:dyDescent="0.25">
      <c r="B171">
        <v>1.5</v>
      </c>
      <c r="C171" t="str">
        <f t="shared" si="12"/>
        <v/>
      </c>
      <c r="D171">
        <v>39.129425006292543</v>
      </c>
      <c r="E171">
        <v>189.39962225913962</v>
      </c>
      <c r="F171">
        <v>0</v>
      </c>
      <c r="G171">
        <v>0</v>
      </c>
      <c r="H171">
        <v>21.470952734567852</v>
      </c>
      <c r="J171">
        <f>'Kaverne &amp; Gassäule'!$C$68</f>
        <v>29.5</v>
      </c>
      <c r="K171">
        <f>'Kaverne &amp; Gassäule'!$D$68</f>
        <v>168.01892347570219</v>
      </c>
      <c r="L171">
        <f t="shared" si="16"/>
        <v>220</v>
      </c>
      <c r="M171">
        <f t="shared" si="13"/>
        <v>100</v>
      </c>
      <c r="N171">
        <f t="shared" si="14"/>
        <v>180</v>
      </c>
      <c r="P171">
        <v>36.255630302596593</v>
      </c>
      <c r="Q171">
        <v>213.74436969740341</v>
      </c>
      <c r="R171">
        <v>0</v>
      </c>
    </row>
    <row r="172" spans="2:18" x14ac:dyDescent="0.25">
      <c r="B172">
        <v>2</v>
      </c>
      <c r="C172" t="str">
        <f t="shared" si="12"/>
        <v/>
      </c>
      <c r="D172">
        <v>39.659341859162808</v>
      </c>
      <c r="E172">
        <v>189.03044622218147</v>
      </c>
      <c r="F172">
        <v>0</v>
      </c>
      <c r="G172">
        <v>0</v>
      </c>
      <c r="H172">
        <v>21.310211918655718</v>
      </c>
      <c r="J172">
        <f>'Kaverne &amp; Gassäule'!$C$69</f>
        <v>31</v>
      </c>
      <c r="K172">
        <f>'Kaverne &amp; Gassäule'!$D$69</f>
        <v>171.93978442887101</v>
      </c>
      <c r="L172">
        <f t="shared" si="16"/>
        <v>223</v>
      </c>
      <c r="M172">
        <f t="shared" si="13"/>
        <v>103</v>
      </c>
      <c r="N172">
        <f t="shared" si="14"/>
        <v>183</v>
      </c>
      <c r="P172">
        <v>36.732859001798673</v>
      </c>
      <c r="Q172">
        <v>213.26714099820134</v>
      </c>
      <c r="R172">
        <v>0</v>
      </c>
    </row>
    <row r="173" spans="2:18" x14ac:dyDescent="0.25">
      <c r="B173">
        <v>2.5</v>
      </c>
      <c r="C173" t="str">
        <f t="shared" si="12"/>
        <v/>
      </c>
      <c r="D173">
        <v>40.19496367434504</v>
      </c>
      <c r="E173">
        <v>188.6570481871035</v>
      </c>
      <c r="F173">
        <v>0</v>
      </c>
      <c r="G173">
        <v>0</v>
      </c>
      <c r="H173">
        <v>21.147988138551462</v>
      </c>
      <c r="J173">
        <f>'Kaverne &amp; Gassäule'!$C$70</f>
        <v>32.5</v>
      </c>
      <c r="K173">
        <f>'Kaverne &amp; Gassäule'!$D$70</f>
        <v>175.8388032658045</v>
      </c>
      <c r="L173">
        <f t="shared" si="16"/>
        <v>226</v>
      </c>
      <c r="M173">
        <f t="shared" si="13"/>
        <v>106</v>
      </c>
      <c r="N173">
        <f t="shared" si="14"/>
        <v>186</v>
      </c>
      <c r="P173">
        <v>37.214718857969494</v>
      </c>
      <c r="Q173">
        <v>212.7852811420305</v>
      </c>
      <c r="R173">
        <v>0</v>
      </c>
    </row>
    <row r="174" spans="2:18" x14ac:dyDescent="0.25">
      <c r="B174">
        <v>3</v>
      </c>
      <c r="C174" t="str">
        <f t="shared" si="12"/>
        <v/>
      </c>
      <c r="D174">
        <v>40.736355982418857</v>
      </c>
      <c r="E174">
        <v>188.27945168778555</v>
      </c>
      <c r="F174">
        <v>0</v>
      </c>
      <c r="G174">
        <v>0</v>
      </c>
      <c r="H174">
        <v>20.984192329795583</v>
      </c>
      <c r="J174">
        <f>'Kaverne &amp; Gassäule'!$C$71</f>
        <v>34</v>
      </c>
      <c r="K174">
        <f>'Kaverne &amp; Gassäule'!$D$71</f>
        <v>179.71629403339674</v>
      </c>
      <c r="L174">
        <f t="shared" si="16"/>
        <v>229</v>
      </c>
      <c r="M174">
        <f t="shared" si="13"/>
        <v>109</v>
      </c>
      <c r="N174">
        <f t="shared" si="14"/>
        <v>189</v>
      </c>
      <c r="P174">
        <v>37.701242800504772</v>
      </c>
      <c r="Q174">
        <v>212.29875719949524</v>
      </c>
      <c r="R174">
        <v>0</v>
      </c>
    </row>
    <row r="175" spans="2:18" x14ac:dyDescent="0.25">
      <c r="B175">
        <v>3.5</v>
      </c>
      <c r="C175" t="str">
        <f t="shared" si="12"/>
        <v/>
      </c>
      <c r="D175">
        <v>41.283586357901441</v>
      </c>
      <c r="E175">
        <v>187.89768227974054</v>
      </c>
      <c r="F175">
        <v>0</v>
      </c>
      <c r="G175">
        <v>0</v>
      </c>
      <c r="H175">
        <v>20.818731362358008</v>
      </c>
      <c r="J175">
        <f>'Kaverne &amp; Gassäule'!$C$72</f>
        <v>35.5</v>
      </c>
      <c r="K175">
        <f>'Kaverne &amp; Gassäule'!$D$72</f>
        <v>183.57257551082256</v>
      </c>
      <c r="L175">
        <f t="shared" si="16"/>
        <v>232</v>
      </c>
      <c r="M175">
        <f t="shared" si="13"/>
        <v>112</v>
      </c>
      <c r="N175">
        <f t="shared" si="14"/>
        <v>192</v>
      </c>
      <c r="P175">
        <v>38.192464163019899</v>
      </c>
      <c r="Q175">
        <v>211.80753583698009</v>
      </c>
      <c r="R175">
        <v>0</v>
      </c>
    </row>
    <row r="176" spans="2:18" x14ac:dyDescent="0.25">
      <c r="B176">
        <v>4</v>
      </c>
      <c r="C176" t="str">
        <f t="shared" si="12"/>
        <v/>
      </c>
      <c r="D176">
        <v>41.836420633447588</v>
      </c>
      <c r="E176">
        <v>187.51176771041108</v>
      </c>
      <c r="F176">
        <v>0</v>
      </c>
      <c r="G176">
        <v>0</v>
      </c>
      <c r="H176">
        <v>20.651811656141327</v>
      </c>
      <c r="J176">
        <f>'Kaverne &amp; Gassäule'!$C$73</f>
        <v>37</v>
      </c>
      <c r="K176">
        <f>'Kaverne &amp; Gassäule'!$D$73</f>
        <v>187.40797015367133</v>
      </c>
      <c r="L176">
        <f t="shared" si="16"/>
        <v>235</v>
      </c>
      <c r="M176">
        <f t="shared" si="13"/>
        <v>115</v>
      </c>
      <c r="N176">
        <f t="shared" si="14"/>
        <v>195</v>
      </c>
      <c r="P176">
        <v>38.688416700693111</v>
      </c>
      <c r="Q176">
        <v>211.3115832993069</v>
      </c>
      <c r="R176">
        <v>0</v>
      </c>
    </row>
    <row r="177" spans="2:18" x14ac:dyDescent="0.25">
      <c r="B177">
        <v>4.5</v>
      </c>
      <c r="C177" t="str">
        <f t="shared" si="12"/>
        <v/>
      </c>
      <c r="D177">
        <v>42.3958426640854</v>
      </c>
      <c r="E177">
        <v>187.1217380888113</v>
      </c>
      <c r="F177">
        <v>0</v>
      </c>
      <c r="G177">
        <v>0</v>
      </c>
      <c r="H177">
        <v>20.482419247103287</v>
      </c>
      <c r="J177">
        <f>'Kaverne &amp; Gassäule'!$C$74</f>
        <v>38.5</v>
      </c>
      <c r="K177">
        <f>'Kaverne &amp; Gassäule'!$D$74</f>
        <v>191.22280308741125</v>
      </c>
      <c r="L177">
        <f t="shared" si="16"/>
        <v>238</v>
      </c>
      <c r="M177">
        <f t="shared" si="13"/>
        <v>118</v>
      </c>
      <c r="N177">
        <f t="shared" si="14"/>
        <v>198</v>
      </c>
      <c r="P177">
        <v>39.189134608534893</v>
      </c>
      <c r="Q177">
        <v>210.81086539146511</v>
      </c>
      <c r="R177">
        <v>0</v>
      </c>
    </row>
    <row r="178" spans="2:18" x14ac:dyDescent="0.25">
      <c r="B178">
        <v>5</v>
      </c>
      <c r="C178" t="str">
        <f t="shared" si="12"/>
        <v/>
      </c>
      <c r="D178">
        <v>42.961015260630354</v>
      </c>
      <c r="E178">
        <v>186.72782367161105</v>
      </c>
      <c r="F178">
        <v>0</v>
      </c>
      <c r="G178">
        <v>0</v>
      </c>
      <c r="H178">
        <v>20.311161067758604</v>
      </c>
      <c r="J178">
        <f>'Kaverne &amp; Gassäule'!$C$75</f>
        <v>40</v>
      </c>
      <c r="K178">
        <f>'Kaverne &amp; Gassäule'!$D$75</f>
        <v>195.01740117986344</v>
      </c>
      <c r="L178">
        <f t="shared" si="16"/>
        <v>241</v>
      </c>
      <c r="M178">
        <f t="shared" si="13"/>
        <v>121</v>
      </c>
      <c r="N178">
        <f t="shared" si="14"/>
        <v>201</v>
      </c>
      <c r="P178">
        <v>39.694652540623991</v>
      </c>
      <c r="Q178">
        <v>210.30534745937601</v>
      </c>
      <c r="R178">
        <v>0</v>
      </c>
    </row>
    <row r="179" spans="2:18" x14ac:dyDescent="0.25">
      <c r="B179">
        <v>5.5</v>
      </c>
      <c r="C179" t="str">
        <f t="shared" si="12"/>
        <v/>
      </c>
      <c r="D179">
        <v>43.532319597590259</v>
      </c>
      <c r="E179">
        <v>186.3294669286951</v>
      </c>
      <c r="F179">
        <v>0</v>
      </c>
      <c r="G179">
        <v>0</v>
      </c>
      <c r="H179">
        <v>20.138213473714643</v>
      </c>
      <c r="J179">
        <f>'Kaverne &amp; Gassäule'!$C$76</f>
        <v>41.5</v>
      </c>
      <c r="K179">
        <f>'Kaverne &amp; Gassäule'!$D$76</f>
        <v>198.79209221167758</v>
      </c>
      <c r="L179">
        <f t="shared" si="16"/>
        <v>244</v>
      </c>
      <c r="M179">
        <f t="shared" si="13"/>
        <v>124</v>
      </c>
      <c r="N179">
        <f t="shared" si="14"/>
        <v>204</v>
      </c>
      <c r="P179">
        <v>40.205005630345198</v>
      </c>
      <c r="Q179">
        <v>209.7949943696548</v>
      </c>
      <c r="R179">
        <v>0</v>
      </c>
    </row>
    <row r="180" spans="2:18" x14ac:dyDescent="0.25">
      <c r="B180">
        <v>6</v>
      </c>
      <c r="C180" t="str">
        <f t="shared" si="12"/>
        <v/>
      </c>
      <c r="D180">
        <v>44.109835793581581</v>
      </c>
      <c r="E180">
        <v>185.92729889013117</v>
      </c>
      <c r="F180">
        <v>0</v>
      </c>
      <c r="G180">
        <v>0</v>
      </c>
      <c r="H180">
        <v>19.962865316287264</v>
      </c>
      <c r="J180">
        <f>'Kaverne &amp; Gassäule'!$C$77</f>
        <v>43</v>
      </c>
      <c r="K180">
        <f>'Kaverne &amp; Gassäule'!$D$77</f>
        <v>202.54720415346492</v>
      </c>
      <c r="L180">
        <f t="shared" si="16"/>
        <v>247</v>
      </c>
      <c r="M180">
        <f t="shared" si="13"/>
        <v>127</v>
      </c>
      <c r="N180">
        <f t="shared" si="14"/>
        <v>207</v>
      </c>
      <c r="P180">
        <v>40.720229511669196</v>
      </c>
      <c r="Q180">
        <v>209.2797704883308</v>
      </c>
      <c r="R180">
        <v>0</v>
      </c>
    </row>
    <row r="181" spans="2:18" x14ac:dyDescent="0.25">
      <c r="B181">
        <v>6.5</v>
      </c>
      <c r="C181" t="str">
        <f t="shared" si="12"/>
        <v/>
      </c>
      <c r="D181">
        <v>44.693647048409758</v>
      </c>
      <c r="E181">
        <v>185.52116309970603</v>
      </c>
      <c r="F181">
        <v>0</v>
      </c>
      <c r="G181">
        <v>0</v>
      </c>
      <c r="H181">
        <v>19.785189851884226</v>
      </c>
      <c r="J181">
        <f>'Kaverne &amp; Gassäule'!$C$78</f>
        <v>44.5</v>
      </c>
      <c r="K181">
        <f>'Kaverne &amp; Gassäule'!$D$78</f>
        <v>206.28306454936461</v>
      </c>
      <c r="L181">
        <f t="shared" si="16"/>
        <v>250</v>
      </c>
      <c r="M181">
        <f t="shared" si="13"/>
        <v>130</v>
      </c>
      <c r="N181">
        <f t="shared" si="14"/>
        <v>210</v>
      </c>
      <c r="P181">
        <v>41.240360341517039</v>
      </c>
      <c r="Q181">
        <v>208.75963965848297</v>
      </c>
      <c r="R181">
        <v>0</v>
      </c>
    </row>
    <row r="182" spans="2:18" x14ac:dyDescent="0.25">
      <c r="B182">
        <v>7</v>
      </c>
      <c r="C182" t="str">
        <f t="shared" si="12"/>
        <v/>
      </c>
      <c r="D182">
        <v>45.283839878592119</v>
      </c>
      <c r="E182">
        <v>185.11110384728153</v>
      </c>
      <c r="F182">
        <v>0</v>
      </c>
      <c r="G182">
        <v>0</v>
      </c>
      <c r="H182">
        <v>19.605056274126355</v>
      </c>
      <c r="J182">
        <f>'Kaverne &amp; Gassäule'!$C$79</f>
        <v>46</v>
      </c>
      <c r="K182">
        <f>'Kaverne &amp; Gassäule'!$D$79</f>
        <v>210</v>
      </c>
      <c r="L182">
        <f t="shared" si="16"/>
        <v>253</v>
      </c>
      <c r="M182">
        <f t="shared" si="13"/>
        <v>133</v>
      </c>
      <c r="N182">
        <f t="shared" si="14"/>
        <v>213</v>
      </c>
      <c r="P182">
        <v>41.765434823257834</v>
      </c>
      <c r="Q182">
        <v>208.23456517674217</v>
      </c>
      <c r="R182">
        <v>0</v>
      </c>
    </row>
    <row r="183" spans="2:18" x14ac:dyDescent="0.25">
      <c r="B183">
        <v>7.5</v>
      </c>
      <c r="C183" t="str">
        <f t="shared" si="12"/>
        <v/>
      </c>
      <c r="D183">
        <v>45.880504376789766</v>
      </c>
      <c r="E183">
        <v>184.69716867616555</v>
      </c>
      <c r="F183">
        <v>0</v>
      </c>
      <c r="G183">
        <v>0</v>
      </c>
      <c r="H183">
        <v>19.422326947044688</v>
      </c>
      <c r="M183" t="str">
        <f t="shared" si="13"/>
        <v/>
      </c>
      <c r="N183" t="str">
        <f t="shared" si="14"/>
        <v/>
      </c>
      <c r="P183">
        <v>42.295490231395377</v>
      </c>
      <c r="Q183">
        <v>207.70450976860462</v>
      </c>
      <c r="R183">
        <v>0</v>
      </c>
    </row>
    <row r="184" spans="2:18" x14ac:dyDescent="0.25">
      <c r="B184">
        <v>8</v>
      </c>
      <c r="C184" t="str">
        <f t="shared" si="12"/>
        <v/>
      </c>
      <c r="D184">
        <v>46.483734498420105</v>
      </c>
      <c r="E184">
        <v>184.27940850194264</v>
      </c>
      <c r="F184">
        <v>0</v>
      </c>
      <c r="G184">
        <v>0</v>
      </c>
      <c r="H184">
        <v>19.236856999637254</v>
      </c>
      <c r="I184" s="10" t="s">
        <v>361</v>
      </c>
      <c r="J184">
        <f>'Kaverne &amp; Gassäule'!$C$55</f>
        <v>10</v>
      </c>
      <c r="K184">
        <f>'Kaverne &amp; Gassäule'!$F$55</f>
        <v>82.177594317918306</v>
      </c>
      <c r="L184">
        <f t="shared" ref="L184:L208" si="17">(J184-Diagramm_Tmin)/Diagramm_dT+1</f>
        <v>181</v>
      </c>
      <c r="M184">
        <f t="shared" si="13"/>
        <v>61</v>
      </c>
      <c r="N184">
        <f t="shared" si="14"/>
        <v>141</v>
      </c>
      <c r="P184">
        <v>42.830564437512301</v>
      </c>
      <c r="Q184">
        <v>207.16943556248771</v>
      </c>
      <c r="R184">
        <v>0</v>
      </c>
    </row>
    <row r="185" spans="2:18" x14ac:dyDescent="0.25">
      <c r="B185">
        <v>8.5</v>
      </c>
      <c r="C185" t="str">
        <f t="shared" si="12"/>
        <v/>
      </c>
      <c r="D185">
        <v>47.093628379086717</v>
      </c>
      <c r="E185">
        <v>183.85787772731845</v>
      </c>
      <c r="F185">
        <v>0</v>
      </c>
      <c r="G185">
        <v>0</v>
      </c>
      <c r="H185">
        <v>19.048493893594831</v>
      </c>
      <c r="J185">
        <f>'Kaverne &amp; Gassäule'!$C$56</f>
        <v>11.5</v>
      </c>
      <c r="K185">
        <f>'Kaverne &amp; Gassäule'!$F$56</f>
        <v>86.209691651860339</v>
      </c>
      <c r="L185">
        <f t="shared" si="17"/>
        <v>184</v>
      </c>
      <c r="M185">
        <f t="shared" si="13"/>
        <v>64</v>
      </c>
      <c r="N185">
        <f t="shared" si="14"/>
        <v>144</v>
      </c>
      <c r="P185">
        <v>43.370695937558452</v>
      </c>
      <c r="Q185">
        <v>206.62930406244155</v>
      </c>
      <c r="R185">
        <v>0</v>
      </c>
    </row>
    <row r="186" spans="2:18" x14ac:dyDescent="0.25">
      <c r="B186">
        <v>9</v>
      </c>
      <c r="C186" t="str">
        <f t="shared" si="12"/>
        <v/>
      </c>
      <c r="D186">
        <v>47.710288687124077</v>
      </c>
      <c r="E186">
        <v>183.4326343597086</v>
      </c>
      <c r="F186">
        <v>0</v>
      </c>
      <c r="G186">
        <v>0</v>
      </c>
      <c r="H186">
        <v>18.857076953167322</v>
      </c>
      <c r="J186">
        <f>'Kaverne &amp; Gassäule'!$C$57</f>
        <v>13</v>
      </c>
      <c r="K186">
        <f>'Kaverne &amp; Gassäule'!$F$57</f>
        <v>90.211177120067802</v>
      </c>
      <c r="L186">
        <f t="shared" si="17"/>
        <v>187</v>
      </c>
      <c r="M186">
        <f t="shared" si="13"/>
        <v>67</v>
      </c>
      <c r="N186">
        <f t="shared" si="14"/>
        <v>147</v>
      </c>
      <c r="P186">
        <v>43.915923880589062</v>
      </c>
      <c r="Q186">
        <v>206.08407611941095</v>
      </c>
      <c r="R186">
        <v>0</v>
      </c>
    </row>
    <row r="187" spans="2:18" x14ac:dyDescent="0.25">
      <c r="B187">
        <v>9.5</v>
      </c>
      <c r="C187" t="str">
        <f t="shared" si="12"/>
        <v/>
      </c>
      <c r="D187">
        <v>48.333823016385388</v>
      </c>
      <c r="E187">
        <v>183.00374014194477</v>
      </c>
      <c r="F187">
        <v>0</v>
      </c>
      <c r="G187">
        <v>0</v>
      </c>
      <c r="H187">
        <v>18.662436841669852</v>
      </c>
      <c r="J187">
        <f>'Kaverne &amp; Gassäule'!$C$58</f>
        <v>14.5</v>
      </c>
      <c r="K187">
        <f>'Kaverne &amp; Gassäule'!$F$58</f>
        <v>94.182258243427555</v>
      </c>
      <c r="L187">
        <f t="shared" si="17"/>
        <v>190</v>
      </c>
      <c r="M187">
        <f t="shared" si="13"/>
        <v>70</v>
      </c>
      <c r="N187">
        <f t="shared" si="14"/>
        <v>150</v>
      </c>
      <c r="P187">
        <v>44.466288099091834</v>
      </c>
      <c r="Q187">
        <v>205.53371190090817</v>
      </c>
      <c r="R187">
        <v>0</v>
      </c>
    </row>
    <row r="188" spans="2:18" x14ac:dyDescent="0.25">
      <c r="B188">
        <v>10</v>
      </c>
      <c r="C188" t="str">
        <f t="shared" si="12"/>
        <v/>
      </c>
      <c r="D188">
        <v>48.964344325289865</v>
      </c>
      <c r="E188">
        <v>182.57126071127004</v>
      </c>
      <c r="F188">
        <v>0</v>
      </c>
      <c r="G188">
        <v>0</v>
      </c>
      <c r="H188">
        <v>18.464394963440107</v>
      </c>
      <c r="J188">
        <f>'Kaverne &amp; Gassäule'!$C$59</f>
        <v>16</v>
      </c>
      <c r="K188">
        <f>'Kaverne &amp; Gassäule'!$F$59</f>
        <v>98.123172361781016</v>
      </c>
      <c r="L188">
        <f t="shared" si="17"/>
        <v>193</v>
      </c>
      <c r="M188">
        <f t="shared" si="13"/>
        <v>73</v>
      </c>
      <c r="N188">
        <f t="shared" si="14"/>
        <v>153</v>
      </c>
      <c r="P188">
        <v>45.021829141077745</v>
      </c>
      <c r="Q188">
        <v>204.97817085892225</v>
      </c>
      <c r="R188">
        <v>0</v>
      </c>
    </row>
    <row r="189" spans="2:18" x14ac:dyDescent="0.25">
      <c r="B189">
        <v>10.5</v>
      </c>
      <c r="C189" t="str">
        <f t="shared" si="12"/>
        <v/>
      </c>
      <c r="D189">
        <v>49.601909301745991</v>
      </c>
      <c r="E189">
        <v>182.13526580728518</v>
      </c>
      <c r="F189">
        <v>0</v>
      </c>
      <c r="G189">
        <v>0</v>
      </c>
      <c r="H189">
        <v>18.262824890968815</v>
      </c>
      <c r="J189">
        <f>'Kaverne &amp; Gassäule'!$C$60</f>
        <v>17.5</v>
      </c>
      <c r="K189">
        <f>'Kaverne &amp; Gassäule'!$F$60</f>
        <v>102.03418671869966</v>
      </c>
      <c r="L189">
        <f t="shared" si="17"/>
        <v>196</v>
      </c>
      <c r="M189">
        <f t="shared" si="13"/>
        <v>76</v>
      </c>
      <c r="N189">
        <f t="shared" si="14"/>
        <v>156</v>
      </c>
      <c r="P189">
        <v>45.58258830415997</v>
      </c>
      <c r="Q189">
        <v>204.41741169584003</v>
      </c>
      <c r="R189">
        <v>0</v>
      </c>
    </row>
    <row r="190" spans="2:18" x14ac:dyDescent="0.25">
      <c r="B190">
        <v>11</v>
      </c>
      <c r="C190" t="str">
        <f t="shared" si="12"/>
        <v/>
      </c>
      <c r="D190">
        <v>50.246829555681302</v>
      </c>
      <c r="E190">
        <v>181.69582955659251</v>
      </c>
      <c r="F190">
        <v>0</v>
      </c>
      <c r="G190">
        <v>0</v>
      </c>
      <c r="H190">
        <v>18.057340887726184</v>
      </c>
      <c r="J190">
        <f>'Kaverne &amp; Gassäule'!$C$61</f>
        <v>19</v>
      </c>
      <c r="K190">
        <f>'Kaverne &amp; Gassäule'!$F$61</f>
        <v>105.91559827455201</v>
      </c>
      <c r="L190">
        <f t="shared" si="17"/>
        <v>199</v>
      </c>
      <c r="M190">
        <f t="shared" si="13"/>
        <v>79</v>
      </c>
      <c r="N190">
        <f t="shared" si="14"/>
        <v>159</v>
      </c>
      <c r="P190">
        <v>46.148607671903456</v>
      </c>
      <c r="Q190">
        <v>203.85139232809655</v>
      </c>
      <c r="R190">
        <v>0</v>
      </c>
    </row>
    <row r="191" spans="2:18" x14ac:dyDescent="0.25">
      <c r="B191">
        <v>11.5</v>
      </c>
      <c r="C191" t="str">
        <f t="shared" si="12"/>
        <v/>
      </c>
      <c r="D191">
        <v>50.899050970206332</v>
      </c>
      <c r="E191">
        <v>181.25303087001697</v>
      </c>
      <c r="F191">
        <v>0</v>
      </c>
      <c r="G191">
        <v>0</v>
      </c>
      <c r="H191">
        <v>17.847918159776697</v>
      </c>
      <c r="J191">
        <f>'Kaverne &amp; Gassäule'!$C$62</f>
        <v>20.5</v>
      </c>
      <c r="K191">
        <f>'Kaverne &amp; Gassäule'!$F$62</f>
        <v>109.76773312810479</v>
      </c>
      <c r="L191">
        <f t="shared" si="17"/>
        <v>202</v>
      </c>
      <c r="M191">
        <f t="shared" si="13"/>
        <v>82</v>
      </c>
      <c r="N191">
        <f t="shared" si="14"/>
        <v>162</v>
      </c>
      <c r="P191">
        <v>46.719930152803094</v>
      </c>
      <c r="Q191">
        <v>203.2800698471969</v>
      </c>
      <c r="R191">
        <v>0</v>
      </c>
    </row>
    <row r="192" spans="2:18" x14ac:dyDescent="0.25">
      <c r="B192">
        <v>12</v>
      </c>
      <c r="C192" t="str">
        <f t="shared" si="12"/>
        <v/>
      </c>
      <c r="D192">
        <v>51.558775689360345</v>
      </c>
      <c r="E192">
        <v>180.80695399747086</v>
      </c>
      <c r="F192">
        <v>0</v>
      </c>
      <c r="G192">
        <v>0</v>
      </c>
      <c r="H192">
        <v>17.634270313168798</v>
      </c>
      <c r="J192">
        <f>'Kaverne &amp; Gassäule'!$C$63</f>
        <v>22</v>
      </c>
      <c r="K192">
        <f>'Kaverne &amp; Gassäule'!$F$63</f>
        <v>113.5909454657578</v>
      </c>
      <c r="L192">
        <f t="shared" si="17"/>
        <v>205</v>
      </c>
      <c r="M192">
        <f t="shared" si="13"/>
        <v>85</v>
      </c>
      <c r="N192">
        <f t="shared" si="14"/>
        <v>165</v>
      </c>
      <c r="P192">
        <v>47.296599522332883</v>
      </c>
      <c r="Q192">
        <v>202.70340047766712</v>
      </c>
      <c r="R192">
        <v>0</v>
      </c>
    </row>
    <row r="193" spans="2:18" x14ac:dyDescent="0.25">
      <c r="B193">
        <v>12.5</v>
      </c>
      <c r="C193" t="str">
        <f t="shared" si="12"/>
        <v/>
      </c>
      <c r="D193">
        <v>52.226152292085246</v>
      </c>
      <c r="E193">
        <v>180.35768929609577</v>
      </c>
      <c r="F193">
        <v>0</v>
      </c>
      <c r="G193">
        <v>0</v>
      </c>
      <c r="H193">
        <v>17.416158411818969</v>
      </c>
      <c r="J193">
        <f>'Kaverne &amp; Gassäule'!$C$64</f>
        <v>23.5</v>
      </c>
      <c r="K193">
        <f>'Kaverne &amp; Gassäule'!$F$64</f>
        <v>117.38561602364186</v>
      </c>
      <c r="L193">
        <f t="shared" si="17"/>
        <v>208</v>
      </c>
      <c r="M193">
        <f t="shared" si="13"/>
        <v>88</v>
      </c>
      <c r="N193">
        <f t="shared" si="14"/>
        <v>168</v>
      </c>
      <c r="P193">
        <v>47.878660468614633</v>
      </c>
      <c r="Q193">
        <v>202.12133953138536</v>
      </c>
      <c r="R193">
        <v>0</v>
      </c>
    </row>
    <row r="194" spans="2:18" x14ac:dyDescent="0.25">
      <c r="B194">
        <v>13</v>
      </c>
      <c r="C194" t="str">
        <f t="shared" si="12"/>
        <v/>
      </c>
      <c r="D194">
        <v>52.901338850141386</v>
      </c>
      <c r="E194">
        <v>179.90533427798783</v>
      </c>
      <c r="F194">
        <v>0</v>
      </c>
      <c r="G194">
        <v>0</v>
      </c>
      <c r="H194">
        <v>17.193326871870781</v>
      </c>
      <c r="J194">
        <f>'Kaverne &amp; Gassäule'!$C$65</f>
        <v>25</v>
      </c>
      <c r="K194">
        <f>'Kaverne &amp; Gassäule'!$F$65</f>
        <v>121.15215012053648</v>
      </c>
      <c r="L194">
        <f t="shared" si="17"/>
        <v>211</v>
      </c>
      <c r="M194">
        <f t="shared" si="13"/>
        <v>91</v>
      </c>
      <c r="N194">
        <f t="shared" si="14"/>
        <v>171</v>
      </c>
      <c r="P194">
        <v>48.466158642374708</v>
      </c>
      <c r="Q194">
        <v>201.53384135762531</v>
      </c>
      <c r="R194">
        <v>0</v>
      </c>
    </row>
    <row r="195" spans="2:18" x14ac:dyDescent="0.25">
      <c r="B195">
        <v>13.5</v>
      </c>
      <c r="C195" t="str">
        <f t="shared" si="12"/>
        <v/>
      </c>
      <c r="D195">
        <v>53.584503999302882</v>
      </c>
      <c r="E195">
        <v>179.4499999134961</v>
      </c>
      <c r="F195">
        <v>0</v>
      </c>
      <c r="G195">
        <v>0</v>
      </c>
      <c r="H195">
        <v>16.965496087201018</v>
      </c>
      <c r="J195">
        <f>'Kaverne &amp; Gassäule'!$C$66</f>
        <v>26.5</v>
      </c>
      <c r="K195">
        <f>'Kaverne &amp; Gassäule'!$F$66</f>
        <v>124.89097537730567</v>
      </c>
      <c r="L195">
        <f t="shared" si="17"/>
        <v>214</v>
      </c>
      <c r="M195">
        <f t="shared" si="13"/>
        <v>94</v>
      </c>
      <c r="N195">
        <f t="shared" si="14"/>
        <v>174</v>
      </c>
      <c r="P195">
        <v>49.059140711995113</v>
      </c>
      <c r="Q195">
        <v>200.9408592880049</v>
      </c>
      <c r="R195">
        <v>0</v>
      </c>
    </row>
    <row r="196" spans="2:18" x14ac:dyDescent="0.25">
      <c r="B196">
        <v>14</v>
      </c>
      <c r="C196" t="str">
        <f t="shared" si="12"/>
        <v/>
      </c>
      <c r="D196">
        <v>54.275828179093409</v>
      </c>
      <c r="E196">
        <v>178.99178799473742</v>
      </c>
      <c r="F196">
        <v>0</v>
      </c>
      <c r="G196">
        <v>0</v>
      </c>
      <c r="H196">
        <v>16.732383826169155</v>
      </c>
      <c r="J196">
        <f>'Kaverne &amp; Gassäule'!$C$67</f>
        <v>28</v>
      </c>
      <c r="K196">
        <f>'Kaverne &amp; Gassäule'!$F$67</f>
        <v>128.60253926602752</v>
      </c>
      <c r="L196">
        <f t="shared" si="17"/>
        <v>217</v>
      </c>
      <c r="M196">
        <f t="shared" si="13"/>
        <v>97</v>
      </c>
      <c r="N196">
        <f t="shared" si="14"/>
        <v>177</v>
      </c>
      <c r="P196">
        <v>49.657654424620681</v>
      </c>
      <c r="Q196">
        <v>200.34234557537931</v>
      </c>
      <c r="R196">
        <v>0</v>
      </c>
    </row>
    <row r="197" spans="2:18" x14ac:dyDescent="0.25">
      <c r="B197">
        <v>14.5</v>
      </c>
      <c r="C197" t="str">
        <f t="shared" si="12"/>
        <v/>
      </c>
      <c r="D197">
        <v>54.975505075157592</v>
      </c>
      <c r="E197">
        <v>178.53084250958801</v>
      </c>
      <c r="F197">
        <v>0</v>
      </c>
      <c r="G197">
        <v>0</v>
      </c>
      <c r="H197">
        <v>16.493652415254395</v>
      </c>
      <c r="J197">
        <f>'Kaverne &amp; Gassäule'!$C$68</f>
        <v>29.5</v>
      </c>
      <c r="K197">
        <f>'Kaverne &amp; Gassäule'!$F$68</f>
        <v>132.28730662468095</v>
      </c>
      <c r="L197">
        <f t="shared" si="17"/>
        <v>220</v>
      </c>
      <c r="M197">
        <f t="shared" si="13"/>
        <v>100</v>
      </c>
      <c r="N197">
        <f t="shared" si="14"/>
        <v>180</v>
      </c>
      <c r="P197">
        <v>50.261748674457117</v>
      </c>
      <c r="Q197">
        <v>199.73825132554288</v>
      </c>
      <c r="R197">
        <v>0</v>
      </c>
    </row>
    <row r="198" spans="2:18" x14ac:dyDescent="0.25">
      <c r="B198">
        <v>15</v>
      </c>
      <c r="C198" t="str">
        <f t="shared" si="12"/>
        <v/>
      </c>
      <c r="D198">
        <v>55.683743306690538</v>
      </c>
      <c r="E198">
        <v>178.06730371231544</v>
      </c>
      <c r="F198">
        <v>0</v>
      </c>
      <c r="G198">
        <v>0</v>
      </c>
      <c r="H198">
        <v>16.248952980994012</v>
      </c>
      <c r="J198">
        <f>'Kaverne &amp; Gassäule'!$C$69</f>
        <v>31</v>
      </c>
      <c r="K198">
        <f>'Kaverne &amp; Gassäule'!$F$69</f>
        <v>135.94575723768324</v>
      </c>
      <c r="L198">
        <f t="shared" si="17"/>
        <v>223</v>
      </c>
      <c r="M198">
        <f t="shared" si="13"/>
        <v>103</v>
      </c>
      <c r="N198">
        <f t="shared" si="14"/>
        <v>183</v>
      </c>
      <c r="P198">
        <v>50.871473579579622</v>
      </c>
      <c r="Q198">
        <v>199.12852642042037</v>
      </c>
      <c r="R198">
        <v>0</v>
      </c>
    </row>
    <row r="199" spans="2:18" x14ac:dyDescent="0.25">
      <c r="B199">
        <v>15.5</v>
      </c>
      <c r="C199" t="str">
        <f t="shared" si="12"/>
        <v/>
      </c>
      <c r="D199">
        <v>56.400768411846606</v>
      </c>
      <c r="E199">
        <v>177.60133641969122</v>
      </c>
      <c r="F199">
        <v>0</v>
      </c>
      <c r="G199">
        <v>0</v>
      </c>
      <c r="H199">
        <v>15.997895168462172</v>
      </c>
      <c r="J199">
        <f>'Kaverne &amp; Gassäule'!$C$70</f>
        <v>32.5</v>
      </c>
      <c r="K199">
        <f>'Kaverne &amp; Gassäule'!$F$70</f>
        <v>139.5783835328474</v>
      </c>
      <c r="L199">
        <f t="shared" si="17"/>
        <v>226</v>
      </c>
      <c r="M199">
        <f t="shared" si="13"/>
        <v>106</v>
      </c>
      <c r="N199">
        <f t="shared" si="14"/>
        <v>186</v>
      </c>
      <c r="P199">
        <v>51.486880568765706</v>
      </c>
      <c r="Q199">
        <v>198.51311943123429</v>
      </c>
      <c r="R199">
        <v>0</v>
      </c>
    </row>
    <row r="200" spans="2:18" x14ac:dyDescent="0.25">
      <c r="B200">
        <v>16</v>
      </c>
      <c r="C200" t="str">
        <f t="shared" ref="C200:C263" si="18">IF(MOD(B200,20)=0,TEXT(B200,"0"),"")</f>
        <v/>
      </c>
      <c r="D200">
        <v>57.126825197876414</v>
      </c>
      <c r="E200">
        <v>177.13312978986386</v>
      </c>
      <c r="F200">
        <v>0</v>
      </c>
      <c r="G200">
        <v>0</v>
      </c>
      <c r="H200">
        <v>15.740045012259728</v>
      </c>
      <c r="J200">
        <f>'Kaverne &amp; Gassäule'!$C$71</f>
        <v>34</v>
      </c>
      <c r="K200">
        <f>'Kaverne &amp; Gassäule'!$F$71</f>
        <v>143.18568839769392</v>
      </c>
      <c r="L200">
        <f t="shared" si="17"/>
        <v>229</v>
      </c>
      <c r="M200">
        <f t="shared" ref="M200:M263" si="19">IF(J200="","",IF(J200&lt;Zoom_Tmin,NA(),(J200-Zoom_Tmin)/Diagramm_dT+1))</f>
        <v>109</v>
      </c>
      <c r="N200">
        <f t="shared" ref="N200:N263" si="20">IF(J200="","",IF(J200&lt;Zoom2_Tmin,NA(),(J200-Zoom2_Tmin)/Diagramm_dT+1))</f>
        <v>189</v>
      </c>
      <c r="P200">
        <v>52.108022480067454</v>
      </c>
      <c r="Q200">
        <v>197.89197751993254</v>
      </c>
      <c r="R200">
        <v>0</v>
      </c>
    </row>
    <row r="201" spans="2:18" x14ac:dyDescent="0.25">
      <c r="B201">
        <v>16.5</v>
      </c>
      <c r="C201" t="str">
        <f t="shared" si="18"/>
        <v/>
      </c>
      <c r="D201">
        <v>57.862180540579779</v>
      </c>
      <c r="E201">
        <v>176.66290297400741</v>
      </c>
      <c r="F201">
        <v>0</v>
      </c>
      <c r="G201">
        <v>0</v>
      </c>
      <c r="H201">
        <v>15.474916485412827</v>
      </c>
      <c r="J201">
        <f>'Kaverne &amp; Gassäule'!$C$72</f>
        <v>35.5</v>
      </c>
      <c r="K201">
        <f>'Kaverne &amp; Gassäule'!$F$72</f>
        <v>146.76818308560837</v>
      </c>
      <c r="L201">
        <f t="shared" si="17"/>
        <v>232</v>
      </c>
      <c r="M201">
        <f t="shared" si="19"/>
        <v>112</v>
      </c>
      <c r="N201">
        <f t="shared" si="20"/>
        <v>192</v>
      </c>
      <c r="P201">
        <v>52.734953673028897</v>
      </c>
      <c r="Q201">
        <v>197.26504632697112</v>
      </c>
      <c r="R201">
        <v>0</v>
      </c>
    </row>
    <row r="202" spans="2:18" x14ac:dyDescent="0.25">
      <c r="B202">
        <v>17</v>
      </c>
      <c r="C202" t="str">
        <f t="shared" si="18"/>
        <v/>
      </c>
      <c r="D202">
        <v>58.607126741337744</v>
      </c>
      <c r="E202">
        <v>176.19084470872423</v>
      </c>
      <c r="F202">
        <v>0</v>
      </c>
      <c r="G202">
        <v>0</v>
      </c>
      <c r="H202">
        <v>15.202028549938014</v>
      </c>
      <c r="J202">
        <f>'Kaverne &amp; Gassäule'!$C$73</f>
        <v>37</v>
      </c>
      <c r="K202">
        <f>'Kaverne &amp; Gassäule'!$F$73</f>
        <v>150.32638517168738</v>
      </c>
      <c r="L202">
        <f t="shared" si="17"/>
        <v>235</v>
      </c>
      <c r="M202">
        <f t="shared" si="19"/>
        <v>115</v>
      </c>
      <c r="N202">
        <f t="shared" si="20"/>
        <v>195</v>
      </c>
      <c r="P202">
        <v>53.367730156634174</v>
      </c>
      <c r="Q202">
        <v>196.63226984336583</v>
      </c>
      <c r="R202">
        <v>0</v>
      </c>
    </row>
    <row r="203" spans="2:18" x14ac:dyDescent="0.25">
      <c r="B203">
        <v>17.5</v>
      </c>
      <c r="C203" t="str">
        <f t="shared" si="18"/>
        <v/>
      </c>
      <c r="D203">
        <v>59.361985581713512</v>
      </c>
      <c r="E203">
        <v>175.71694518726434</v>
      </c>
      <c r="F203">
        <v>0</v>
      </c>
      <c r="G203">
        <v>0</v>
      </c>
      <c r="H203">
        <v>14.921069231022145</v>
      </c>
      <c r="J203">
        <f>'Kaverne &amp; Gassäule'!$C$74</f>
        <v>38.5</v>
      </c>
      <c r="K203">
        <f>'Kaverne &amp; Gassäule'!$F$74</f>
        <v>153.86081652844035</v>
      </c>
      <c r="L203">
        <f t="shared" si="17"/>
        <v>238</v>
      </c>
      <c r="M203">
        <f t="shared" si="19"/>
        <v>118</v>
      </c>
      <c r="N203">
        <f t="shared" si="20"/>
        <v>198</v>
      </c>
      <c r="P203">
        <v>54.006409735221233</v>
      </c>
      <c r="Q203">
        <v>195.99359026477876</v>
      </c>
      <c r="R203">
        <v>0</v>
      </c>
    </row>
    <row r="204" spans="2:18" x14ac:dyDescent="0.25">
      <c r="B204">
        <v>18</v>
      </c>
      <c r="C204" t="str">
        <f t="shared" si="18"/>
        <v/>
      </c>
      <c r="D204">
        <v>60.131197783688393</v>
      </c>
      <c r="E204">
        <v>175.24290369765919</v>
      </c>
      <c r="F204">
        <v>0</v>
      </c>
      <c r="G204">
        <v>0</v>
      </c>
      <c r="H204">
        <v>14.62589851865242</v>
      </c>
      <c r="J204">
        <f>'Kaverne &amp; Gassäule'!$C$75</f>
        <v>40</v>
      </c>
      <c r="K204">
        <f>'Kaverne &amp; Gassäule'!$F$75</f>
        <v>157.3720013160563</v>
      </c>
      <c r="L204">
        <f t="shared" si="17"/>
        <v>241</v>
      </c>
      <c r="M204">
        <f t="shared" si="19"/>
        <v>121</v>
      </c>
      <c r="N204">
        <f t="shared" si="20"/>
        <v>201</v>
      </c>
      <c r="P204">
        <v>54.651052174703032</v>
      </c>
      <c r="Q204">
        <v>195.34894782529696</v>
      </c>
      <c r="R204">
        <v>0</v>
      </c>
    </row>
    <row r="205" spans="2:18" x14ac:dyDescent="0.25">
      <c r="B205">
        <v>18.5</v>
      </c>
      <c r="C205" t="str">
        <f t="shared" si="18"/>
        <v/>
      </c>
      <c r="D205">
        <v>60.94092026147699</v>
      </c>
      <c r="E205">
        <v>174.76778031287827</v>
      </c>
      <c r="F205">
        <v>0</v>
      </c>
      <c r="G205">
        <v>0</v>
      </c>
      <c r="H205">
        <v>14.291299425644738</v>
      </c>
      <c r="J205">
        <f>'Kaverne &amp; Gassäule'!$C$76</f>
        <v>41.5</v>
      </c>
      <c r="K205">
        <f>'Kaverne &amp; Gassäule'!$F$76</f>
        <v>160.86046401088927</v>
      </c>
      <c r="L205">
        <f t="shared" si="17"/>
        <v>244</v>
      </c>
      <c r="M205">
        <f t="shared" si="19"/>
        <v>124</v>
      </c>
      <c r="N205">
        <f t="shared" si="20"/>
        <v>204</v>
      </c>
      <c r="P205">
        <v>55.301719391487829</v>
      </c>
      <c r="Q205">
        <v>194.69828060851216</v>
      </c>
      <c r="R205">
        <v>0</v>
      </c>
    </row>
    <row r="206" spans="2:18" x14ac:dyDescent="0.25">
      <c r="B206">
        <v>19</v>
      </c>
      <c r="C206" t="str">
        <f t="shared" si="18"/>
        <v/>
      </c>
      <c r="D206">
        <v>61.750642739265587</v>
      </c>
      <c r="E206">
        <v>174.29265692809736</v>
      </c>
      <c r="F206">
        <v>0</v>
      </c>
      <c r="G206">
        <v>0</v>
      </c>
      <c r="H206">
        <v>13.956700332637055</v>
      </c>
      <c r="J206">
        <f>'Kaverne &amp; Gassäule'!$C$77</f>
        <v>43</v>
      </c>
      <c r="K206">
        <f>'Kaverne &amp; Gassäule'!$F$77</f>
        <v>164.32672751959655</v>
      </c>
      <c r="L206">
        <f t="shared" si="17"/>
        <v>247</v>
      </c>
      <c r="M206">
        <f t="shared" si="19"/>
        <v>127</v>
      </c>
      <c r="N206">
        <f t="shared" si="20"/>
        <v>207</v>
      </c>
      <c r="P206">
        <v>55.958475666473511</v>
      </c>
      <c r="Q206">
        <v>194.0415243335265</v>
      </c>
      <c r="R206">
        <v>0</v>
      </c>
    </row>
    <row r="207" spans="2:18" x14ac:dyDescent="0.25">
      <c r="B207">
        <v>19.5</v>
      </c>
      <c r="C207" t="str">
        <f t="shared" si="18"/>
        <v/>
      </c>
      <c r="D207">
        <v>62.560365217054184</v>
      </c>
      <c r="E207">
        <v>173.81753354331642</v>
      </c>
      <c r="F207">
        <v>0</v>
      </c>
      <c r="G207">
        <v>0</v>
      </c>
      <c r="H207">
        <v>13.622101239629387</v>
      </c>
      <c r="J207">
        <f>'Kaverne &amp; Gassäule'!$C$78</f>
        <v>44.5</v>
      </c>
      <c r="K207">
        <f>'Kaverne &amp; Gassäule'!$F$78</f>
        <v>167.77131143828865</v>
      </c>
      <c r="L207">
        <f t="shared" si="17"/>
        <v>250</v>
      </c>
      <c r="M207">
        <f t="shared" si="19"/>
        <v>130</v>
      </c>
      <c r="N207">
        <f t="shared" si="20"/>
        <v>210</v>
      </c>
      <c r="P207">
        <v>56.621387886405877</v>
      </c>
      <c r="Q207">
        <v>193.37861211359413</v>
      </c>
      <c r="R207">
        <v>0</v>
      </c>
    </row>
    <row r="208" spans="2:18" x14ac:dyDescent="0.25">
      <c r="B208">
        <v>20</v>
      </c>
      <c r="C208" t="str">
        <f t="shared" si="18"/>
        <v>20</v>
      </c>
      <c r="D208">
        <v>63.37008769484278</v>
      </c>
      <c r="E208">
        <v>173.34914890099773</v>
      </c>
      <c r="F208">
        <v>0</v>
      </c>
      <c r="G208">
        <v>0</v>
      </c>
      <c r="H208">
        <v>13.280763404159487</v>
      </c>
      <c r="J208">
        <f>'Kaverne &amp; Gassäule'!$C$79</f>
        <v>46</v>
      </c>
      <c r="K208">
        <f>'Kaverne &amp; Gassäule'!$F$79</f>
        <v>171.19473051369846</v>
      </c>
      <c r="L208">
        <f t="shared" si="17"/>
        <v>253</v>
      </c>
      <c r="M208">
        <f t="shared" si="19"/>
        <v>133</v>
      </c>
      <c r="N208">
        <f t="shared" si="20"/>
        <v>213</v>
      </c>
      <c r="P208">
        <v>57.290525814751483</v>
      </c>
      <c r="Q208">
        <v>192.70947418524852</v>
      </c>
      <c r="R208">
        <v>0</v>
      </c>
    </row>
    <row r="209" spans="2:18" x14ac:dyDescent="0.25">
      <c r="B209">
        <v>20.5</v>
      </c>
      <c r="C209" t="str">
        <f t="shared" si="18"/>
        <v/>
      </c>
      <c r="D209">
        <v>64.179810172631377</v>
      </c>
      <c r="E209">
        <v>172.89150376405883</v>
      </c>
      <c r="F209">
        <v>0</v>
      </c>
      <c r="G209">
        <v>0</v>
      </c>
      <c r="H209">
        <v>12.928686063309783</v>
      </c>
      <c r="M209" t="str">
        <f t="shared" si="19"/>
        <v/>
      </c>
      <c r="N209" t="str">
        <f t="shared" si="20"/>
        <v/>
      </c>
      <c r="P209">
        <v>57.965962394091143</v>
      </c>
      <c r="Q209">
        <v>192.03403760590885</v>
      </c>
      <c r="R209">
        <v>0</v>
      </c>
    </row>
    <row r="210" spans="2:18" x14ac:dyDescent="0.25">
      <c r="B210">
        <v>21</v>
      </c>
      <c r="C210" t="str">
        <f t="shared" si="18"/>
        <v/>
      </c>
      <c r="D210">
        <v>64.989532650419974</v>
      </c>
      <c r="E210">
        <v>172.43385862711995</v>
      </c>
      <c r="F210">
        <v>0</v>
      </c>
      <c r="G210">
        <v>0</v>
      </c>
      <c r="H210">
        <v>12.576608722460065</v>
      </c>
      <c r="I210" s="10" t="s">
        <v>283</v>
      </c>
      <c r="J210">
        <f>'Kaverne &amp; Gassäule'!$C$55</f>
        <v>10</v>
      </c>
      <c r="K210">
        <f>'Kaverne &amp; Gassäule'!$H$55</f>
        <v>50.705458672726493</v>
      </c>
      <c r="L210">
        <f t="shared" ref="L210:L234" si="21">(J210-Diagramm_Tmin)/Diagramm_dT+1</f>
        <v>181</v>
      </c>
      <c r="M210">
        <f t="shared" si="19"/>
        <v>61</v>
      </c>
      <c r="N210">
        <f t="shared" si="20"/>
        <v>141</v>
      </c>
      <c r="P210">
        <v>58.64777408198038</v>
      </c>
      <c r="Q210">
        <v>191.35222591801963</v>
      </c>
      <c r="R210">
        <v>0</v>
      </c>
    </row>
    <row r="211" spans="2:18" x14ac:dyDescent="0.25">
      <c r="B211">
        <v>21.5</v>
      </c>
      <c r="C211" t="str">
        <f t="shared" si="18"/>
        <v/>
      </c>
      <c r="D211">
        <v>65.817354559425965</v>
      </c>
      <c r="E211">
        <v>171.97621349018107</v>
      </c>
      <c r="F211">
        <v>0</v>
      </c>
      <c r="G211">
        <v>0</v>
      </c>
      <c r="H211">
        <v>12.206431950392968</v>
      </c>
      <c r="J211">
        <f>'Kaverne &amp; Gassäule'!$C$56</f>
        <v>11.5</v>
      </c>
      <c r="K211">
        <f>'Kaverne &amp; Gassäule'!$H$56</f>
        <v>51.659629523059941</v>
      </c>
      <c r="L211">
        <f t="shared" si="21"/>
        <v>184</v>
      </c>
      <c r="M211">
        <f t="shared" si="19"/>
        <v>64</v>
      </c>
      <c r="N211">
        <f t="shared" si="20"/>
        <v>144</v>
      </c>
      <c r="P211">
        <v>59.336041222435689</v>
      </c>
      <c r="Q211">
        <v>190.66395877756432</v>
      </c>
      <c r="R211">
        <v>0</v>
      </c>
    </row>
    <row r="212" spans="2:18" x14ac:dyDescent="0.25">
      <c r="B212">
        <v>22</v>
      </c>
      <c r="C212" t="str">
        <f t="shared" si="18"/>
        <v/>
      </c>
      <c r="D212">
        <v>66.703568505223032</v>
      </c>
      <c r="E212">
        <v>171.51856835324219</v>
      </c>
      <c r="F212">
        <v>0</v>
      </c>
      <c r="G212">
        <v>0</v>
      </c>
      <c r="H212">
        <v>11.777863141534795</v>
      </c>
      <c r="J212">
        <f>'Kaverne &amp; Gassäule'!$C$57</f>
        <v>13</v>
      </c>
      <c r="K212">
        <f>'Kaverne &amp; Gassäule'!$H$57</f>
        <v>52.470044683915283</v>
      </c>
      <c r="L212">
        <f t="shared" si="21"/>
        <v>187</v>
      </c>
      <c r="M212">
        <f t="shared" si="19"/>
        <v>67</v>
      </c>
      <c r="N212">
        <f t="shared" si="20"/>
        <v>147</v>
      </c>
      <c r="P212">
        <v>60.030848455969853</v>
      </c>
      <c r="Q212">
        <v>189.96915154403015</v>
      </c>
      <c r="R212">
        <v>0</v>
      </c>
    </row>
    <row r="213" spans="2:18" x14ac:dyDescent="0.25">
      <c r="B213">
        <v>22.5</v>
      </c>
      <c r="C213" t="str">
        <f t="shared" si="18"/>
        <v/>
      </c>
      <c r="D213">
        <v>67.589782451020099</v>
      </c>
      <c r="E213">
        <v>171.06092321630331</v>
      </c>
      <c r="F213">
        <v>0</v>
      </c>
      <c r="G213">
        <v>0</v>
      </c>
      <c r="H213">
        <v>11.349294332676607</v>
      </c>
      <c r="J213">
        <f>'Kaverne &amp; Gassäule'!$C$58</f>
        <v>14.5</v>
      </c>
      <c r="K213">
        <f>'Kaverne &amp; Gassäule'!$H$58</f>
        <v>53.247139379139881</v>
      </c>
      <c r="L213">
        <f t="shared" si="21"/>
        <v>190</v>
      </c>
      <c r="M213">
        <f t="shared" si="19"/>
        <v>70</v>
      </c>
      <c r="N213">
        <f t="shared" si="20"/>
        <v>150</v>
      </c>
      <c r="P213">
        <v>60.732285172919006</v>
      </c>
      <c r="Q213">
        <v>189.26771482708099</v>
      </c>
      <c r="R213">
        <v>0</v>
      </c>
    </row>
    <row r="214" spans="2:18" x14ac:dyDescent="0.25">
      <c r="B214">
        <v>23</v>
      </c>
      <c r="C214" t="str">
        <f t="shared" si="18"/>
        <v/>
      </c>
      <c r="D214">
        <v>68.475996396817166</v>
      </c>
      <c r="E214">
        <v>170.6032780793644</v>
      </c>
      <c r="F214">
        <v>0</v>
      </c>
      <c r="G214">
        <v>0</v>
      </c>
      <c r="H214">
        <v>10.920725523818433</v>
      </c>
      <c r="J214">
        <f>'Kaverne &amp; Gassäule'!$C$59</f>
        <v>16</v>
      </c>
      <c r="K214">
        <f>'Kaverne &amp; Gassäule'!$H$59</f>
        <v>54.025823839409902</v>
      </c>
      <c r="L214">
        <f t="shared" si="21"/>
        <v>193</v>
      </c>
      <c r="M214">
        <f t="shared" si="19"/>
        <v>73</v>
      </c>
      <c r="N214">
        <f t="shared" si="20"/>
        <v>153</v>
      </c>
      <c r="P214">
        <v>61.44044601842505</v>
      </c>
      <c r="Q214">
        <v>188.55955398157494</v>
      </c>
      <c r="R214">
        <v>0</v>
      </c>
    </row>
    <row r="215" spans="2:18" x14ac:dyDescent="0.25">
      <c r="B215">
        <v>23.5</v>
      </c>
      <c r="C215" t="str">
        <f t="shared" si="18"/>
        <v/>
      </c>
      <c r="D215">
        <v>69.40522495773665</v>
      </c>
      <c r="E215">
        <v>170.14563294242549</v>
      </c>
      <c r="F215">
        <v>0</v>
      </c>
      <c r="G215">
        <v>0</v>
      </c>
      <c r="H215">
        <v>10.449142099837843</v>
      </c>
      <c r="J215">
        <f>'Kaverne &amp; Gassäule'!$C$60</f>
        <v>17.5</v>
      </c>
      <c r="K215">
        <f>'Kaverne &amp; Gassäule'!$H$60</f>
        <v>54.806181480706428</v>
      </c>
      <c r="L215">
        <f t="shared" si="21"/>
        <v>196</v>
      </c>
      <c r="M215">
        <f t="shared" si="19"/>
        <v>76</v>
      </c>
      <c r="N215">
        <f t="shared" si="20"/>
        <v>156</v>
      </c>
      <c r="P215">
        <v>62.155431464028673</v>
      </c>
      <c r="Q215">
        <v>187.84456853597132</v>
      </c>
      <c r="R215">
        <v>0</v>
      </c>
    </row>
    <row r="216" spans="2:18" x14ac:dyDescent="0.25">
      <c r="B216">
        <v>24</v>
      </c>
      <c r="C216" t="str">
        <f t="shared" si="18"/>
        <v/>
      </c>
      <c r="D216">
        <v>70.363800093024707</v>
      </c>
      <c r="E216">
        <v>169.74436943933841</v>
      </c>
      <c r="F216">
        <v>0</v>
      </c>
      <c r="G216">
        <v>0</v>
      </c>
      <c r="H216">
        <v>9.8918304676368791</v>
      </c>
      <c r="J216">
        <f>'Kaverne &amp; Gassäule'!$C$61</f>
        <v>19</v>
      </c>
      <c r="K216">
        <f>'Kaverne &amp; Gassäule'!$H$61</f>
        <v>55.588281924562459</v>
      </c>
      <c r="L216">
        <f t="shared" si="21"/>
        <v>199</v>
      </c>
      <c r="M216">
        <f t="shared" si="19"/>
        <v>79</v>
      </c>
      <c r="N216">
        <f t="shared" si="20"/>
        <v>159</v>
      </c>
      <c r="P216">
        <v>62.877348472157799</v>
      </c>
      <c r="Q216">
        <v>187.12265152784221</v>
      </c>
      <c r="R216">
        <v>0</v>
      </c>
    </row>
    <row r="217" spans="2:18" x14ac:dyDescent="0.25">
      <c r="B217">
        <v>24.5</v>
      </c>
      <c r="C217" t="str">
        <f t="shared" si="18"/>
        <v/>
      </c>
      <c r="D217">
        <v>71.322375228312765</v>
      </c>
      <c r="E217">
        <v>169.34458678852729</v>
      </c>
      <c r="F217">
        <v>0</v>
      </c>
      <c r="G217">
        <v>0</v>
      </c>
      <c r="H217">
        <v>9.3330379831599544</v>
      </c>
      <c r="J217">
        <f>'Kaverne &amp; Gassäule'!$C$62</f>
        <v>20.5</v>
      </c>
      <c r="K217">
        <f>'Kaverne &amp; Gassäule'!$H$62</f>
        <v>56.372183362205107</v>
      </c>
      <c r="L217">
        <f t="shared" si="21"/>
        <v>202</v>
      </c>
      <c r="M217">
        <f t="shared" si="19"/>
        <v>82</v>
      </c>
      <c r="N217">
        <f t="shared" si="20"/>
        <v>162</v>
      </c>
      <c r="P217">
        <v>63.606311298432871</v>
      </c>
      <c r="Q217">
        <v>186.39368870156713</v>
      </c>
      <c r="R217">
        <v>0</v>
      </c>
    </row>
    <row r="218" spans="2:18" x14ac:dyDescent="0.25">
      <c r="B218">
        <v>25</v>
      </c>
      <c r="C218" t="str">
        <f t="shared" si="18"/>
        <v/>
      </c>
      <c r="D218">
        <v>72.325229642539654</v>
      </c>
      <c r="E218">
        <v>168.94480413771618</v>
      </c>
      <c r="F218">
        <v>0</v>
      </c>
      <c r="G218">
        <v>0</v>
      </c>
      <c r="H218">
        <v>8.7299662197441847</v>
      </c>
      <c r="J218">
        <f>'Kaverne &amp; Gassäule'!$C$63</f>
        <v>22</v>
      </c>
      <c r="K218">
        <f>'Kaverne &amp; Gassäule'!$H$63</f>
        <v>57.157934412263899</v>
      </c>
      <c r="L218">
        <f t="shared" si="21"/>
        <v>205</v>
      </c>
      <c r="M218">
        <f t="shared" si="19"/>
        <v>85</v>
      </c>
      <c r="N218">
        <f t="shared" si="20"/>
        <v>165</v>
      </c>
      <c r="P218">
        <v>64.342442506404197</v>
      </c>
      <c r="Q218">
        <v>185.65755749359579</v>
      </c>
      <c r="R218">
        <v>0</v>
      </c>
    </row>
    <row r="219" spans="2:18" x14ac:dyDescent="0.25">
      <c r="B219">
        <v>25.5</v>
      </c>
      <c r="C219" t="str">
        <f t="shared" si="18"/>
        <v/>
      </c>
      <c r="D219">
        <v>73.38015838022605</v>
      </c>
      <c r="E219">
        <v>168.61391573549059</v>
      </c>
      <c r="F219">
        <v>0</v>
      </c>
      <c r="G219">
        <v>0</v>
      </c>
      <c r="H219">
        <v>8.0059258842833714</v>
      </c>
      <c r="J219">
        <f>'Kaverne &amp; Gassäule'!$C$64</f>
        <v>23.5</v>
      </c>
      <c r="K219">
        <f>'Kaverne &amp; Gassäule'!$H$64</f>
        <v>57.945575615657937</v>
      </c>
      <c r="L219">
        <f t="shared" si="21"/>
        <v>208</v>
      </c>
      <c r="M219">
        <f t="shared" si="19"/>
        <v>88</v>
      </c>
      <c r="N219">
        <f t="shared" si="20"/>
        <v>168</v>
      </c>
      <c r="P219">
        <v>65.085874315255694</v>
      </c>
      <c r="Q219">
        <v>184.91412568474431</v>
      </c>
      <c r="R219">
        <v>0</v>
      </c>
    </row>
    <row r="220" spans="2:18" x14ac:dyDescent="0.25">
      <c r="B220">
        <v>26</v>
      </c>
      <c r="C220" t="str">
        <f t="shared" si="18"/>
        <v/>
      </c>
      <c r="D220">
        <v>74.43508711791246</v>
      </c>
      <c r="E220">
        <v>168.28377747040247</v>
      </c>
      <c r="F220">
        <v>0</v>
      </c>
      <c r="G220">
        <v>0</v>
      </c>
      <c r="H220">
        <v>7.2811354116850566</v>
      </c>
      <c r="J220">
        <f>'Kaverne &amp; Gassäule'!$C$65</f>
        <v>25</v>
      </c>
      <c r="K220">
        <f>'Kaverne &amp; Gassäule'!$H$65</f>
        <v>58.735140660834205</v>
      </c>
      <c r="L220">
        <f t="shared" si="21"/>
        <v>211</v>
      </c>
      <c r="M220">
        <f t="shared" si="19"/>
        <v>91</v>
      </c>
      <c r="N220">
        <f t="shared" si="20"/>
        <v>171</v>
      </c>
      <c r="P220">
        <v>65.836750470125125</v>
      </c>
      <c r="Q220">
        <v>184.16324952987486</v>
      </c>
      <c r="R220">
        <v>0</v>
      </c>
    </row>
    <row r="221" spans="2:18" x14ac:dyDescent="0.25">
      <c r="B221">
        <v>26.5</v>
      </c>
      <c r="C221" t="str">
        <f t="shared" si="18"/>
        <v/>
      </c>
      <c r="D221">
        <v>75.61815476681673</v>
      </c>
      <c r="E221">
        <v>168.03946643703171</v>
      </c>
      <c r="F221">
        <v>0</v>
      </c>
      <c r="G221">
        <v>0</v>
      </c>
      <c r="H221">
        <v>6.3423787961515785</v>
      </c>
      <c r="J221">
        <f>'Kaverne &amp; Gassäule'!$C$66</f>
        <v>26.5</v>
      </c>
      <c r="K221">
        <f>'Kaverne &amp; Gassäule'!$H$66</f>
        <v>59.526657401485011</v>
      </c>
      <c r="L221">
        <f t="shared" si="21"/>
        <v>214</v>
      </c>
      <c r="M221">
        <f t="shared" si="19"/>
        <v>94</v>
      </c>
      <c r="N221">
        <f t="shared" si="20"/>
        <v>174</v>
      </c>
      <c r="P221">
        <v>66.595228926019871</v>
      </c>
      <c r="Q221">
        <v>183.40477107398013</v>
      </c>
      <c r="R221">
        <v>0</v>
      </c>
    </row>
    <row r="222" spans="2:18" x14ac:dyDescent="0.25">
      <c r="B222">
        <v>27</v>
      </c>
      <c r="C222" t="str">
        <f t="shared" si="18"/>
        <v/>
      </c>
      <c r="D222">
        <v>76.817922880286346</v>
      </c>
      <c r="E222">
        <v>167.84741809386375</v>
      </c>
      <c r="F222">
        <v>0</v>
      </c>
      <c r="G222">
        <v>0</v>
      </c>
      <c r="H222">
        <v>5.334659025849902</v>
      </c>
      <c r="J222">
        <f>'Kaverne &amp; Gassäule'!$C$67</f>
        <v>28</v>
      </c>
      <c r="K222">
        <f>'Kaverne &amp; Gassäule'!$H$67</f>
        <v>60.320148709509233</v>
      </c>
      <c r="L222">
        <f t="shared" si="21"/>
        <v>217</v>
      </c>
      <c r="M222">
        <f t="shared" si="19"/>
        <v>97</v>
      </c>
      <c r="N222">
        <f t="shared" si="20"/>
        <v>177</v>
      </c>
      <c r="P222">
        <v>67.361485781846483</v>
      </c>
      <c r="Q222">
        <v>182.63851421815352</v>
      </c>
      <c r="R222">
        <v>0</v>
      </c>
    </row>
    <row r="223" spans="2:18" x14ac:dyDescent="0.25">
      <c r="B223">
        <v>27.5</v>
      </c>
      <c r="C223" t="str">
        <f t="shared" si="18"/>
        <v/>
      </c>
      <c r="D223">
        <v>78.254414833855236</v>
      </c>
      <c r="E223">
        <v>167.90040675865129</v>
      </c>
      <c r="F223">
        <v>0</v>
      </c>
      <c r="G223">
        <v>0</v>
      </c>
      <c r="H223">
        <v>3.8451784074934778</v>
      </c>
      <c r="J223">
        <f>'Kaverne &amp; Gassäule'!$C$68</f>
        <v>29.5</v>
      </c>
      <c r="K223">
        <f>'Kaverne &amp; Gassäule'!$H$68</f>
        <v>61.115633193748572</v>
      </c>
      <c r="L223">
        <f t="shared" si="21"/>
        <v>220</v>
      </c>
      <c r="M223">
        <f t="shared" si="19"/>
        <v>100</v>
      </c>
      <c r="N223">
        <f t="shared" si="20"/>
        <v>180</v>
      </c>
      <c r="P223">
        <v>68.135721110480731</v>
      </c>
      <c r="Q223">
        <v>181.86427888951926</v>
      </c>
      <c r="R223">
        <v>0</v>
      </c>
    </row>
    <row r="224" spans="2:18" x14ac:dyDescent="0.25">
      <c r="B224">
        <v>28</v>
      </c>
      <c r="C224" t="str">
        <f t="shared" si="18"/>
        <v/>
      </c>
      <c r="D224">
        <v>81.455055721913254</v>
      </c>
      <c r="E224">
        <v>0</v>
      </c>
      <c r="F224">
        <v>168.54494427808675</v>
      </c>
      <c r="G224">
        <v>0</v>
      </c>
      <c r="H224">
        <v>0</v>
      </c>
      <c r="J224">
        <f>'Kaverne &amp; Gassäule'!$C$69</f>
        <v>31</v>
      </c>
      <c r="K224">
        <f>'Kaverne &amp; Gassäule'!$H$69</f>
        <v>61.913125807204182</v>
      </c>
      <c r="L224">
        <f t="shared" si="21"/>
        <v>223</v>
      </c>
      <c r="M224">
        <f t="shared" si="19"/>
        <v>103</v>
      </c>
      <c r="N224">
        <f t="shared" si="20"/>
        <v>183</v>
      </c>
      <c r="P224">
        <v>68.918167651264497</v>
      </c>
      <c r="Q224">
        <v>181.0818323487355</v>
      </c>
      <c r="R224">
        <v>0</v>
      </c>
    </row>
    <row r="225" spans="2:18" x14ac:dyDescent="0.25">
      <c r="B225">
        <v>28.5</v>
      </c>
      <c r="C225" t="str">
        <f t="shared" si="18"/>
        <v/>
      </c>
      <c r="D225">
        <v>81.455055721913254</v>
      </c>
      <c r="E225">
        <v>0</v>
      </c>
      <c r="F225">
        <v>168.54494427808675</v>
      </c>
      <c r="G225">
        <v>0</v>
      </c>
      <c r="H225">
        <v>0</v>
      </c>
      <c r="J225">
        <f>'Kaverne &amp; Gassäule'!$C$70</f>
        <v>32.5</v>
      </c>
      <c r="K225">
        <f>'Kaverne &amp; Gassäule'!$H$70</f>
        <v>62.712638360362611</v>
      </c>
      <c r="L225">
        <f t="shared" si="21"/>
        <v>226</v>
      </c>
      <c r="M225">
        <f t="shared" si="19"/>
        <v>106</v>
      </c>
      <c r="N225">
        <f t="shared" si="20"/>
        <v>186</v>
      </c>
      <c r="P225">
        <v>69.709103911971511</v>
      </c>
      <c r="Q225">
        <v>180.29089608802849</v>
      </c>
      <c r="R225">
        <v>0</v>
      </c>
    </row>
    <row r="226" spans="2:18" x14ac:dyDescent="0.25">
      <c r="B226">
        <v>29</v>
      </c>
      <c r="C226" t="str">
        <f t="shared" si="18"/>
        <v/>
      </c>
      <c r="D226">
        <v>81.455055721913254</v>
      </c>
      <c r="E226">
        <v>0</v>
      </c>
      <c r="F226">
        <v>168.54494427808675</v>
      </c>
      <c r="G226">
        <v>0</v>
      </c>
      <c r="H226">
        <v>0</v>
      </c>
      <c r="J226">
        <f>'Kaverne &amp; Gassäule'!$C$71</f>
        <v>34</v>
      </c>
      <c r="K226">
        <f>'Kaverne &amp; Gassäule'!$H$71</f>
        <v>63.514179954897848</v>
      </c>
      <c r="L226">
        <f t="shared" si="21"/>
        <v>229</v>
      </c>
      <c r="M226">
        <f t="shared" si="19"/>
        <v>109</v>
      </c>
      <c r="N226">
        <f t="shared" si="20"/>
        <v>189</v>
      </c>
      <c r="P226">
        <v>70.508874587106746</v>
      </c>
      <c r="Q226">
        <v>179.49112541289327</v>
      </c>
      <c r="R226">
        <v>0</v>
      </c>
    </row>
    <row r="227" spans="2:18" x14ac:dyDescent="0.25">
      <c r="B227">
        <v>29.5</v>
      </c>
      <c r="C227" t="str">
        <f t="shared" si="18"/>
        <v/>
      </c>
      <c r="D227">
        <v>81.455055721913254</v>
      </c>
      <c r="E227">
        <v>0</v>
      </c>
      <c r="F227">
        <v>168.54494427808675</v>
      </c>
      <c r="G227">
        <v>0</v>
      </c>
      <c r="H227">
        <v>0</v>
      </c>
      <c r="J227">
        <f>'Kaverne &amp; Gassäule'!$C$72</f>
        <v>35.5</v>
      </c>
      <c r="K227">
        <f>'Kaverne &amp; Gassäule'!$H$72</f>
        <v>64.317757349714327</v>
      </c>
      <c r="L227">
        <f t="shared" si="21"/>
        <v>232</v>
      </c>
      <c r="M227">
        <f t="shared" si="19"/>
        <v>112</v>
      </c>
      <c r="N227">
        <f t="shared" si="20"/>
        <v>192</v>
      </c>
      <c r="P227">
        <v>71.317925280192156</v>
      </c>
      <c r="Q227">
        <v>178.68207471980784</v>
      </c>
      <c r="R227">
        <v>0</v>
      </c>
    </row>
    <row r="228" spans="2:18" x14ac:dyDescent="0.25">
      <c r="B228">
        <v>30</v>
      </c>
      <c r="C228" t="str">
        <f t="shared" si="18"/>
        <v/>
      </c>
      <c r="D228">
        <v>81.455055721913254</v>
      </c>
      <c r="E228">
        <v>0</v>
      </c>
      <c r="F228">
        <v>168.54494427808675</v>
      </c>
      <c r="G228">
        <v>0</v>
      </c>
      <c r="H228">
        <v>0</v>
      </c>
      <c r="J228">
        <f>'Kaverne &amp; Gassäule'!$C$73</f>
        <v>37</v>
      </c>
      <c r="K228">
        <f>'Kaverne &amp; Gassäule'!$H$73</f>
        <v>65.123375269629022</v>
      </c>
      <c r="L228">
        <f t="shared" si="21"/>
        <v>235</v>
      </c>
      <c r="M228">
        <f t="shared" si="19"/>
        <v>115</v>
      </c>
      <c r="N228">
        <f t="shared" si="20"/>
        <v>195</v>
      </c>
      <c r="P228">
        <v>72.136873827311533</v>
      </c>
      <c r="Q228">
        <v>177.86312617268845</v>
      </c>
      <c r="R228">
        <v>0</v>
      </c>
    </row>
    <row r="229" spans="2:18" x14ac:dyDescent="0.25">
      <c r="B229">
        <v>30.5</v>
      </c>
      <c r="C229" t="str">
        <f t="shared" si="18"/>
        <v/>
      </c>
      <c r="D229">
        <v>81.455055721913254</v>
      </c>
      <c r="E229">
        <v>0</v>
      </c>
      <c r="F229">
        <v>168.54494427808675</v>
      </c>
      <c r="G229">
        <v>0</v>
      </c>
      <c r="H229">
        <v>0</v>
      </c>
      <c r="J229">
        <f>'Kaverne &amp; Gassäule'!$C$74</f>
        <v>38.5</v>
      </c>
      <c r="K229">
        <f>'Kaverne &amp; Gassäule'!$H$74</f>
        <v>65.931036665690229</v>
      </c>
      <c r="L229">
        <f t="shared" si="21"/>
        <v>238</v>
      </c>
      <c r="M229">
        <f t="shared" si="19"/>
        <v>118</v>
      </c>
      <c r="N229">
        <f t="shared" si="20"/>
        <v>198</v>
      </c>
      <c r="P229">
        <v>72.966718261209081</v>
      </c>
      <c r="Q229">
        <v>177.03328173879092</v>
      </c>
      <c r="R229">
        <v>0</v>
      </c>
    </row>
    <row r="230" spans="2:18" x14ac:dyDescent="0.25">
      <c r="B230">
        <v>31</v>
      </c>
      <c r="C230" t="str">
        <f t="shared" si="18"/>
        <v/>
      </c>
      <c r="D230">
        <v>81.455055721913254</v>
      </c>
      <c r="E230">
        <v>0</v>
      </c>
      <c r="F230">
        <v>168.54494427808675</v>
      </c>
      <c r="G230">
        <v>0</v>
      </c>
      <c r="H230">
        <v>0</v>
      </c>
      <c r="J230">
        <f>'Kaverne &amp; Gassäule'!$C$75</f>
        <v>40</v>
      </c>
      <c r="K230">
        <f>'Kaverne &amp; Gassäule'!$H$75</f>
        <v>66.740742935030426</v>
      </c>
      <c r="L230">
        <f t="shared" si="21"/>
        <v>241</v>
      </c>
      <c r="M230">
        <f t="shared" si="19"/>
        <v>121</v>
      </c>
      <c r="N230">
        <f t="shared" si="20"/>
        <v>201</v>
      </c>
      <c r="P230">
        <v>73.772983734467516</v>
      </c>
      <c r="Q230">
        <v>0</v>
      </c>
      <c r="R230">
        <v>176.22701626553248</v>
      </c>
    </row>
    <row r="231" spans="2:18" x14ac:dyDescent="0.25">
      <c r="B231">
        <v>31.5</v>
      </c>
      <c r="C231" t="str">
        <f t="shared" si="18"/>
        <v/>
      </c>
      <c r="D231">
        <v>81.455055721913254</v>
      </c>
      <c r="E231">
        <v>0</v>
      </c>
      <c r="F231">
        <v>168.54494427808675</v>
      </c>
      <c r="G231">
        <v>0</v>
      </c>
      <c r="H231">
        <v>0</v>
      </c>
      <c r="J231">
        <f>'Kaverne &amp; Gassäule'!$C$76</f>
        <v>41.5</v>
      </c>
      <c r="K231">
        <f>'Kaverne &amp; Gassäule'!$H$76</f>
        <v>67.552494107155084</v>
      </c>
      <c r="L231">
        <f t="shared" si="21"/>
        <v>244</v>
      </c>
      <c r="M231">
        <f t="shared" si="19"/>
        <v>124</v>
      </c>
      <c r="N231">
        <f t="shared" si="20"/>
        <v>204</v>
      </c>
      <c r="P231">
        <v>73.772983734467516</v>
      </c>
      <c r="Q231">
        <v>0</v>
      </c>
      <c r="R231">
        <v>176.22701626553248</v>
      </c>
    </row>
    <row r="232" spans="2:18" x14ac:dyDescent="0.25">
      <c r="B232">
        <v>32</v>
      </c>
      <c r="C232" t="str">
        <f t="shared" si="18"/>
        <v/>
      </c>
      <c r="D232">
        <v>81.455055721913254</v>
      </c>
      <c r="E232">
        <v>0</v>
      </c>
      <c r="F232">
        <v>168.54494427808675</v>
      </c>
      <c r="G232">
        <v>0</v>
      </c>
      <c r="H232">
        <v>0</v>
      </c>
      <c r="J232">
        <f>'Kaverne &amp; Gassäule'!$C$77</f>
        <v>43</v>
      </c>
      <c r="K232">
        <f>'Kaverne &amp; Gassäule'!$H$77</f>
        <v>68.366289002634076</v>
      </c>
      <c r="L232">
        <f t="shared" si="21"/>
        <v>247</v>
      </c>
      <c r="M232">
        <f t="shared" si="19"/>
        <v>127</v>
      </c>
      <c r="N232">
        <f t="shared" si="20"/>
        <v>207</v>
      </c>
      <c r="P232">
        <v>73.772983734467516</v>
      </c>
      <c r="Q232">
        <v>0</v>
      </c>
      <c r="R232">
        <v>176.22701626553248</v>
      </c>
    </row>
    <row r="233" spans="2:18" x14ac:dyDescent="0.25">
      <c r="B233">
        <v>32.5</v>
      </c>
      <c r="C233" t="str">
        <f t="shared" si="18"/>
        <v/>
      </c>
      <c r="D233">
        <v>81.455055721913254</v>
      </c>
      <c r="E233">
        <v>0</v>
      </c>
      <c r="F233">
        <v>168.54494427808675</v>
      </c>
      <c r="G233">
        <v>0</v>
      </c>
      <c r="H233">
        <v>0</v>
      </c>
      <c r="J233">
        <f>'Kaverne &amp; Gassäule'!$C$78</f>
        <v>44.5</v>
      </c>
      <c r="K233">
        <f>'Kaverne &amp; Gassäule'!$H$78</f>
        <v>69.182125369272583</v>
      </c>
      <c r="L233">
        <f t="shared" si="21"/>
        <v>250</v>
      </c>
      <c r="M233">
        <f t="shared" si="19"/>
        <v>130</v>
      </c>
      <c r="N233">
        <f t="shared" si="20"/>
        <v>210</v>
      </c>
      <c r="P233">
        <v>73.772983734467516</v>
      </c>
      <c r="Q233">
        <v>0</v>
      </c>
      <c r="R233">
        <v>176.22701626553248</v>
      </c>
    </row>
    <row r="234" spans="2:18" x14ac:dyDescent="0.25">
      <c r="B234">
        <v>33</v>
      </c>
      <c r="C234" t="str">
        <f t="shared" si="18"/>
        <v/>
      </c>
      <c r="D234">
        <v>81.455055721913254</v>
      </c>
      <c r="E234">
        <v>0</v>
      </c>
      <c r="F234">
        <v>168.54494427808675</v>
      </c>
      <c r="G234">
        <v>0</v>
      </c>
      <c r="H234">
        <v>0</v>
      </c>
      <c r="J234">
        <f>'Kaverne &amp; Gassäule'!$C$79</f>
        <v>46</v>
      </c>
      <c r="K234">
        <f>'Kaverne &amp; Gassäule'!$H$79</f>
        <v>70</v>
      </c>
      <c r="L234">
        <f t="shared" si="21"/>
        <v>253</v>
      </c>
      <c r="M234">
        <f t="shared" si="19"/>
        <v>133</v>
      </c>
      <c r="N234">
        <f t="shared" si="20"/>
        <v>213</v>
      </c>
      <c r="P234">
        <v>73.772983734467516</v>
      </c>
      <c r="Q234">
        <v>0</v>
      </c>
      <c r="R234">
        <v>176.22701626553248</v>
      </c>
    </row>
    <row r="235" spans="2:18" x14ac:dyDescent="0.25">
      <c r="B235">
        <v>33.5</v>
      </c>
      <c r="C235" t="str">
        <f t="shared" si="18"/>
        <v/>
      </c>
      <c r="D235">
        <v>81.455055721913254</v>
      </c>
      <c r="E235">
        <v>0</v>
      </c>
      <c r="F235">
        <v>168.54494427808675</v>
      </c>
      <c r="G235">
        <v>0</v>
      </c>
      <c r="H235">
        <v>0</v>
      </c>
      <c r="M235" t="str">
        <f t="shared" si="19"/>
        <v/>
      </c>
      <c r="N235" t="str">
        <f t="shared" si="20"/>
        <v/>
      </c>
      <c r="P235">
        <v>73.772983734467516</v>
      </c>
      <c r="Q235">
        <v>0</v>
      </c>
      <c r="R235">
        <v>176.22701626553248</v>
      </c>
    </row>
    <row r="236" spans="2:18" x14ac:dyDescent="0.25">
      <c r="B236">
        <v>34</v>
      </c>
      <c r="C236" t="str">
        <f t="shared" si="18"/>
        <v/>
      </c>
      <c r="D236">
        <v>81.455055721913254</v>
      </c>
      <c r="E236">
        <v>0</v>
      </c>
      <c r="F236">
        <v>168.54494427808675</v>
      </c>
      <c r="G236">
        <v>0</v>
      </c>
      <c r="H236">
        <v>0</v>
      </c>
      <c r="I236" s="10" t="s">
        <v>284</v>
      </c>
      <c r="J236">
        <f>T_Kav_V1</f>
        <v>46</v>
      </c>
      <c r="K236">
        <f>pmin_V1</f>
        <v>70</v>
      </c>
      <c r="L236">
        <f>(J236-Diagramm_Tmin)/Diagramm_dT+1</f>
        <v>253</v>
      </c>
      <c r="M236">
        <f t="shared" si="19"/>
        <v>133</v>
      </c>
      <c r="N236">
        <f t="shared" si="20"/>
        <v>213</v>
      </c>
      <c r="P236">
        <v>73.772983734467516</v>
      </c>
      <c r="Q236">
        <v>0</v>
      </c>
      <c r="R236">
        <v>176.22701626553248</v>
      </c>
    </row>
    <row r="237" spans="2:18" x14ac:dyDescent="0.25">
      <c r="B237">
        <v>34.5</v>
      </c>
      <c r="C237" t="str">
        <f t="shared" si="18"/>
        <v/>
      </c>
      <c r="D237">
        <v>81.455055721913254</v>
      </c>
      <c r="E237">
        <v>0</v>
      </c>
      <c r="F237">
        <v>168.54494427808675</v>
      </c>
      <c r="G237">
        <v>0</v>
      </c>
      <c r="H237">
        <v>0</v>
      </c>
      <c r="J237">
        <f>T_Kav_V1</f>
        <v>46</v>
      </c>
      <c r="K237">
        <f>pmax_V1</f>
        <v>210</v>
      </c>
      <c r="L237">
        <f>(J237-Diagramm_Tmin)/Diagramm_dT+1</f>
        <v>253</v>
      </c>
      <c r="M237">
        <f t="shared" si="19"/>
        <v>133</v>
      </c>
      <c r="N237">
        <f t="shared" si="20"/>
        <v>213</v>
      </c>
      <c r="P237">
        <v>73.772983734467516</v>
      </c>
      <c r="Q237">
        <v>0</v>
      </c>
      <c r="R237">
        <v>176.22701626553248</v>
      </c>
    </row>
    <row r="238" spans="2:18" x14ac:dyDescent="0.25">
      <c r="B238">
        <v>35</v>
      </c>
      <c r="C238" t="str">
        <f t="shared" si="18"/>
        <v/>
      </c>
      <c r="D238">
        <v>81.455055721913254</v>
      </c>
      <c r="E238">
        <v>0</v>
      </c>
      <c r="F238">
        <v>168.54494427808675</v>
      </c>
      <c r="G238">
        <v>0</v>
      </c>
      <c r="H238">
        <v>0</v>
      </c>
      <c r="M238" t="str">
        <f t="shared" si="19"/>
        <v/>
      </c>
      <c r="N238" t="str">
        <f t="shared" si="20"/>
        <v/>
      </c>
      <c r="P238">
        <v>73.772983734467516</v>
      </c>
      <c r="Q238">
        <v>0</v>
      </c>
      <c r="R238">
        <v>176.22701626553248</v>
      </c>
    </row>
    <row r="239" spans="2:18" x14ac:dyDescent="0.25">
      <c r="B239">
        <v>35.5</v>
      </c>
      <c r="C239" t="str">
        <f t="shared" si="18"/>
        <v/>
      </c>
      <c r="D239">
        <v>81.455055721913254</v>
      </c>
      <c r="E239">
        <v>0</v>
      </c>
      <c r="F239">
        <v>168.54494427808675</v>
      </c>
      <c r="G239">
        <v>0</v>
      </c>
      <c r="H239">
        <v>0</v>
      </c>
      <c r="I239" s="10" t="s">
        <v>362</v>
      </c>
      <c r="J239">
        <f>Tober_V1</f>
        <v>10</v>
      </c>
      <c r="K239">
        <f>Kopf_leer</f>
        <v>50.705458672726493</v>
      </c>
      <c r="L239">
        <f>(J239-Diagramm_Tmin)/Diagramm_dT+1</f>
        <v>181</v>
      </c>
      <c r="M239">
        <f t="shared" si="19"/>
        <v>61</v>
      </c>
      <c r="N239">
        <f t="shared" si="20"/>
        <v>141</v>
      </c>
      <c r="P239">
        <v>73.772983734467516</v>
      </c>
      <c r="Q239">
        <v>0</v>
      </c>
      <c r="R239">
        <v>176.22701626553248</v>
      </c>
    </row>
    <row r="240" spans="2:18" x14ac:dyDescent="0.25">
      <c r="B240">
        <v>36</v>
      </c>
      <c r="C240" t="str">
        <f t="shared" si="18"/>
        <v/>
      </c>
      <c r="D240">
        <v>81.455055721913254</v>
      </c>
      <c r="E240">
        <v>0</v>
      </c>
      <c r="F240">
        <v>168.54494427808675</v>
      </c>
      <c r="G240">
        <v>0</v>
      </c>
      <c r="H240">
        <v>0</v>
      </c>
      <c r="J240">
        <f>Tober_V1</f>
        <v>10</v>
      </c>
      <c r="K240">
        <f>Kopf_voll</f>
        <v>114.93130198208927</v>
      </c>
      <c r="L240">
        <f>(J240-Diagramm_Tmin)/Diagramm_dT+1</f>
        <v>181</v>
      </c>
      <c r="M240">
        <f t="shared" si="19"/>
        <v>61</v>
      </c>
      <c r="N240">
        <f t="shared" si="20"/>
        <v>141</v>
      </c>
      <c r="P240">
        <v>73.772983734467516</v>
      </c>
      <c r="Q240">
        <v>0</v>
      </c>
      <c r="R240">
        <v>176.22701626553248</v>
      </c>
    </row>
    <row r="241" spans="2:18" x14ac:dyDescent="0.25">
      <c r="B241">
        <v>36.5</v>
      </c>
      <c r="C241" t="str">
        <f t="shared" si="18"/>
        <v/>
      </c>
      <c r="D241">
        <v>81.455055721913254</v>
      </c>
      <c r="E241">
        <v>0</v>
      </c>
      <c r="F241">
        <v>168.54494427808675</v>
      </c>
      <c r="G241">
        <v>0</v>
      </c>
      <c r="H241">
        <v>0</v>
      </c>
      <c r="M241" t="str">
        <f t="shared" si="19"/>
        <v/>
      </c>
      <c r="N241" t="str">
        <f t="shared" si="20"/>
        <v/>
      </c>
      <c r="P241">
        <v>73.772983734467516</v>
      </c>
      <c r="Q241">
        <v>0</v>
      </c>
      <c r="R241">
        <v>176.22701626553248</v>
      </c>
    </row>
    <row r="242" spans="2:18" x14ac:dyDescent="0.25">
      <c r="B242">
        <v>37</v>
      </c>
      <c r="C242" t="str">
        <f t="shared" si="18"/>
        <v/>
      </c>
      <c r="D242">
        <v>81.455055721913254</v>
      </c>
      <c r="E242">
        <v>0</v>
      </c>
      <c r="F242">
        <v>168.54494427808675</v>
      </c>
      <c r="G242">
        <v>0</v>
      </c>
      <c r="H242">
        <v>0</v>
      </c>
      <c r="I242" s="10" t="s">
        <v>285</v>
      </c>
      <c r="J242">
        <v>-71</v>
      </c>
      <c r="K242">
        <v>150</v>
      </c>
      <c r="L242">
        <f>(J242-Diagramm_Tmin)/Diagramm_dT+1</f>
        <v>19</v>
      </c>
      <c r="M242" t="e">
        <f t="shared" si="19"/>
        <v>#N/A</v>
      </c>
      <c r="N242" t="e">
        <f t="shared" si="20"/>
        <v>#N/A</v>
      </c>
      <c r="P242">
        <v>73.772983734467516</v>
      </c>
      <c r="Q242">
        <v>0</v>
      </c>
      <c r="R242">
        <v>176.22701626553248</v>
      </c>
    </row>
    <row r="243" spans="2:18" x14ac:dyDescent="0.25">
      <c r="B243">
        <v>37.5</v>
      </c>
      <c r="C243" t="str">
        <f t="shared" si="18"/>
        <v/>
      </c>
      <c r="D243">
        <v>81.455055721913254</v>
      </c>
      <c r="E243">
        <v>0</v>
      </c>
      <c r="F243">
        <v>168.54494427808675</v>
      </c>
      <c r="G243">
        <v>0</v>
      </c>
      <c r="H243">
        <v>0</v>
      </c>
      <c r="J243">
        <v>-12</v>
      </c>
      <c r="K243">
        <v>170</v>
      </c>
      <c r="L243">
        <f>(J243-Diagramm_Tmin)/Diagramm_dT+1</f>
        <v>137</v>
      </c>
      <c r="M243">
        <f t="shared" si="19"/>
        <v>17</v>
      </c>
      <c r="N243">
        <f t="shared" si="20"/>
        <v>97</v>
      </c>
      <c r="P243">
        <v>73.772983734467516</v>
      </c>
      <c r="Q243">
        <v>0</v>
      </c>
      <c r="R243">
        <v>176.22701626553248</v>
      </c>
    </row>
    <row r="244" spans="2:18" x14ac:dyDescent="0.25">
      <c r="B244">
        <v>38</v>
      </c>
      <c r="C244" t="str">
        <f t="shared" si="18"/>
        <v/>
      </c>
      <c r="D244">
        <v>81.455055721913254</v>
      </c>
      <c r="E244">
        <v>0</v>
      </c>
      <c r="F244">
        <v>168.54494427808675</v>
      </c>
      <c r="G244">
        <v>0</v>
      </c>
      <c r="H244">
        <v>0</v>
      </c>
      <c r="J244">
        <v>78</v>
      </c>
      <c r="K244">
        <v>25</v>
      </c>
      <c r="L244">
        <f>(J244-Diagramm_Tmin)/Diagramm_dT+1</f>
        <v>317</v>
      </c>
      <c r="M244">
        <f t="shared" si="19"/>
        <v>197</v>
      </c>
      <c r="N244">
        <f t="shared" si="20"/>
        <v>277</v>
      </c>
      <c r="P244">
        <v>73.772983734467516</v>
      </c>
      <c r="Q244">
        <v>0</v>
      </c>
      <c r="R244">
        <v>176.22701626553248</v>
      </c>
    </row>
    <row r="245" spans="2:18" x14ac:dyDescent="0.25">
      <c r="B245">
        <v>38.5</v>
      </c>
      <c r="C245" t="str">
        <f t="shared" si="18"/>
        <v/>
      </c>
      <c r="D245">
        <v>81.455055721913254</v>
      </c>
      <c r="E245">
        <v>0</v>
      </c>
      <c r="F245">
        <v>168.54494427808675</v>
      </c>
      <c r="G245">
        <v>0</v>
      </c>
      <c r="H245">
        <v>0</v>
      </c>
      <c r="J245">
        <v>78</v>
      </c>
      <c r="K245">
        <v>160</v>
      </c>
      <c r="L245">
        <f>(J245-Diagramm_Tmin)/Diagramm_dT+1</f>
        <v>317</v>
      </c>
      <c r="M245">
        <f t="shared" si="19"/>
        <v>197</v>
      </c>
      <c r="N245">
        <f t="shared" si="20"/>
        <v>277</v>
      </c>
      <c r="P245">
        <v>73.772983734467516</v>
      </c>
      <c r="Q245">
        <v>0</v>
      </c>
      <c r="R245">
        <v>176.22701626553248</v>
      </c>
    </row>
    <row r="246" spans="2:18" x14ac:dyDescent="0.25">
      <c r="B246">
        <v>39</v>
      </c>
      <c r="C246" t="str">
        <f t="shared" si="18"/>
        <v/>
      </c>
      <c r="D246">
        <v>81.455055721913254</v>
      </c>
      <c r="E246">
        <v>0</v>
      </c>
      <c r="F246">
        <v>168.54494427808675</v>
      </c>
      <c r="G246">
        <v>0</v>
      </c>
      <c r="H246">
        <v>0</v>
      </c>
      <c r="J246">
        <v>-25</v>
      </c>
      <c r="K246">
        <v>32</v>
      </c>
      <c r="L246">
        <f>(J246-Diagramm_Tmin)/Diagramm_dT+1</f>
        <v>111</v>
      </c>
      <c r="M246" t="e">
        <f t="shared" si="19"/>
        <v>#N/A</v>
      </c>
      <c r="N246">
        <f t="shared" si="20"/>
        <v>71</v>
      </c>
      <c r="P246">
        <v>73.772983734467516</v>
      </c>
      <c r="Q246">
        <v>0</v>
      </c>
      <c r="R246">
        <v>176.22701626553248</v>
      </c>
    </row>
    <row r="247" spans="2:18" x14ac:dyDescent="0.25">
      <c r="B247">
        <v>39.5</v>
      </c>
      <c r="C247" t="str">
        <f t="shared" si="18"/>
        <v/>
      </c>
      <c r="D247">
        <v>81.455055721913254</v>
      </c>
      <c r="E247">
        <v>0</v>
      </c>
      <c r="F247">
        <v>168.54494427808675</v>
      </c>
      <c r="G247">
        <v>0</v>
      </c>
      <c r="H247">
        <v>0</v>
      </c>
      <c r="I247" s="10" t="s">
        <v>286</v>
      </c>
      <c r="J247">
        <v>60</v>
      </c>
      <c r="K247">
        <v>216</v>
      </c>
      <c r="L247">
        <f t="shared" ref="L247:L253" si="22">(J247-Diagramm_Tmin)/Diagramm_dT+1</f>
        <v>281</v>
      </c>
      <c r="M247">
        <f t="shared" si="19"/>
        <v>161</v>
      </c>
      <c r="N247">
        <f t="shared" si="20"/>
        <v>241</v>
      </c>
      <c r="P247">
        <v>73.772983734467516</v>
      </c>
      <c r="Q247">
        <v>0</v>
      </c>
      <c r="R247">
        <v>176.22701626553248</v>
      </c>
    </row>
    <row r="248" spans="2:18" x14ac:dyDescent="0.25">
      <c r="B248">
        <v>40</v>
      </c>
      <c r="C248" t="str">
        <f t="shared" si="18"/>
        <v>40</v>
      </c>
      <c r="D248">
        <v>81.455055721913254</v>
      </c>
      <c r="E248">
        <v>0</v>
      </c>
      <c r="F248">
        <v>168.54494427808675</v>
      </c>
      <c r="G248">
        <v>0</v>
      </c>
      <c r="H248">
        <v>0</v>
      </c>
      <c r="J248">
        <v>60</v>
      </c>
      <c r="K248">
        <v>172</v>
      </c>
      <c r="L248">
        <f t="shared" si="22"/>
        <v>281</v>
      </c>
      <c r="M248">
        <f t="shared" si="19"/>
        <v>161</v>
      </c>
      <c r="N248">
        <f t="shared" si="20"/>
        <v>241</v>
      </c>
      <c r="P248">
        <v>73.772983734467516</v>
      </c>
      <c r="Q248">
        <v>0</v>
      </c>
      <c r="R248">
        <v>176.22701626553248</v>
      </c>
    </row>
    <row r="249" spans="2:18" x14ac:dyDescent="0.25">
      <c r="B249">
        <v>40.5</v>
      </c>
      <c r="C249" t="str">
        <f t="shared" si="18"/>
        <v/>
      </c>
      <c r="D249">
        <v>81.455055721913254</v>
      </c>
      <c r="E249">
        <v>0</v>
      </c>
      <c r="F249">
        <v>168.54494427808675</v>
      </c>
      <c r="G249">
        <v>0</v>
      </c>
      <c r="H249">
        <v>0</v>
      </c>
      <c r="J249">
        <v>58</v>
      </c>
      <c r="K249">
        <v>64</v>
      </c>
      <c r="L249">
        <f t="shared" si="22"/>
        <v>277</v>
      </c>
      <c r="M249">
        <f t="shared" si="19"/>
        <v>157</v>
      </c>
      <c r="N249">
        <f t="shared" si="20"/>
        <v>237</v>
      </c>
      <c r="P249">
        <v>73.772983734467516</v>
      </c>
      <c r="Q249">
        <v>0</v>
      </c>
      <c r="R249">
        <v>176.22701626553248</v>
      </c>
    </row>
    <row r="250" spans="2:18" x14ac:dyDescent="0.25">
      <c r="B250">
        <v>41</v>
      </c>
      <c r="C250" t="str">
        <f t="shared" si="18"/>
        <v/>
      </c>
      <c r="D250">
        <v>81.455055721913254</v>
      </c>
      <c r="E250">
        <v>0</v>
      </c>
      <c r="F250">
        <v>168.54494427808675</v>
      </c>
      <c r="G250">
        <v>0</v>
      </c>
      <c r="H250">
        <v>0</v>
      </c>
      <c r="J250">
        <v>-6</v>
      </c>
      <c r="K250">
        <v>118.93130198208927</v>
      </c>
      <c r="L250">
        <f t="shared" si="22"/>
        <v>149</v>
      </c>
      <c r="M250">
        <f t="shared" si="19"/>
        <v>29</v>
      </c>
      <c r="N250">
        <f t="shared" si="20"/>
        <v>109</v>
      </c>
      <c r="P250">
        <v>73.772983734467516</v>
      </c>
      <c r="Q250">
        <v>0</v>
      </c>
      <c r="R250">
        <v>176.22701626553248</v>
      </c>
    </row>
    <row r="251" spans="2:18" x14ac:dyDescent="0.25">
      <c r="B251">
        <v>41.5</v>
      </c>
      <c r="C251" t="str">
        <f t="shared" si="18"/>
        <v/>
      </c>
      <c r="D251">
        <v>81.455055721913254</v>
      </c>
      <c r="E251">
        <v>0</v>
      </c>
      <c r="F251">
        <v>168.54494427808675</v>
      </c>
      <c r="G251">
        <v>0</v>
      </c>
      <c r="H251">
        <v>0</v>
      </c>
      <c r="J251">
        <v>-8</v>
      </c>
      <c r="K251">
        <v>83.17759431791859</v>
      </c>
      <c r="L251">
        <f t="shared" si="22"/>
        <v>145</v>
      </c>
      <c r="M251">
        <f t="shared" si="19"/>
        <v>25</v>
      </c>
      <c r="N251">
        <f t="shared" si="20"/>
        <v>105</v>
      </c>
      <c r="P251">
        <v>73.772983734467516</v>
      </c>
      <c r="Q251">
        <v>0</v>
      </c>
      <c r="R251">
        <v>176.22701626553248</v>
      </c>
    </row>
    <row r="252" spans="2:18" x14ac:dyDescent="0.25">
      <c r="B252">
        <v>42</v>
      </c>
      <c r="C252" t="str">
        <f t="shared" si="18"/>
        <v/>
      </c>
      <c r="D252">
        <v>81.455055721913254</v>
      </c>
      <c r="E252">
        <v>0</v>
      </c>
      <c r="F252">
        <v>168.54494427808675</v>
      </c>
      <c r="G252">
        <v>0</v>
      </c>
      <c r="H252">
        <v>0</v>
      </c>
      <c r="J252">
        <v>-11</v>
      </c>
      <c r="K252">
        <v>44.705458672726493</v>
      </c>
      <c r="L252">
        <f t="shared" si="22"/>
        <v>139</v>
      </c>
      <c r="M252">
        <f t="shared" si="19"/>
        <v>19</v>
      </c>
      <c r="N252">
        <f t="shared" si="20"/>
        <v>99</v>
      </c>
      <c r="P252">
        <v>73.772983734467516</v>
      </c>
      <c r="Q252">
        <v>0</v>
      </c>
      <c r="R252">
        <v>176.22701626553248</v>
      </c>
    </row>
    <row r="253" spans="2:18" x14ac:dyDescent="0.25">
      <c r="B253">
        <v>42.5</v>
      </c>
      <c r="C253" t="str">
        <f t="shared" si="18"/>
        <v/>
      </c>
      <c r="D253">
        <v>81.455055721913254</v>
      </c>
      <c r="E253">
        <v>0</v>
      </c>
      <c r="F253">
        <v>168.54494427808675</v>
      </c>
      <c r="G253">
        <v>0</v>
      </c>
      <c r="H253">
        <v>0</v>
      </c>
      <c r="J253">
        <v>29</v>
      </c>
      <c r="K253">
        <v>100</v>
      </c>
      <c r="L253">
        <f t="shared" si="22"/>
        <v>219</v>
      </c>
      <c r="M253">
        <f t="shared" si="19"/>
        <v>99</v>
      </c>
      <c r="N253">
        <f t="shared" si="20"/>
        <v>179</v>
      </c>
      <c r="P253">
        <v>73.772983734467516</v>
      </c>
      <c r="Q253">
        <v>0</v>
      </c>
      <c r="R253">
        <v>176.22701626553248</v>
      </c>
    </row>
    <row r="254" spans="2:18" x14ac:dyDescent="0.25">
      <c r="B254">
        <v>43</v>
      </c>
      <c r="C254" t="str">
        <f t="shared" si="18"/>
        <v/>
      </c>
      <c r="D254">
        <v>81.455055721913254</v>
      </c>
      <c r="E254">
        <v>0</v>
      </c>
      <c r="F254">
        <v>168.54494427808675</v>
      </c>
      <c r="G254">
        <v>0</v>
      </c>
      <c r="H254">
        <v>0</v>
      </c>
      <c r="M254" t="str">
        <f t="shared" si="19"/>
        <v/>
      </c>
      <c r="N254" t="str">
        <f t="shared" si="20"/>
        <v/>
      </c>
      <c r="P254">
        <v>73.772983734467516</v>
      </c>
      <c r="Q254">
        <v>0</v>
      </c>
      <c r="R254">
        <v>176.22701626553248</v>
      </c>
    </row>
    <row r="255" spans="2:18" x14ac:dyDescent="0.25">
      <c r="B255">
        <v>43.5</v>
      </c>
      <c r="C255" t="str">
        <f t="shared" si="18"/>
        <v/>
      </c>
      <c r="D255">
        <v>81.455055721913254</v>
      </c>
      <c r="E255">
        <v>0</v>
      </c>
      <c r="F255">
        <v>168.54494427808675</v>
      </c>
      <c r="G255">
        <v>0</v>
      </c>
      <c r="H255">
        <v>0</v>
      </c>
      <c r="M255" t="str">
        <f t="shared" si="19"/>
        <v/>
      </c>
      <c r="N255" t="str">
        <f t="shared" si="20"/>
        <v/>
      </c>
      <c r="P255">
        <v>73.772983734467516</v>
      </c>
      <c r="Q255">
        <v>0</v>
      </c>
      <c r="R255">
        <v>176.22701626553248</v>
      </c>
    </row>
    <row r="256" spans="2:18" x14ac:dyDescent="0.25">
      <c r="B256">
        <v>44</v>
      </c>
      <c r="C256" t="str">
        <f t="shared" si="18"/>
        <v/>
      </c>
      <c r="D256">
        <v>81.455055721913254</v>
      </c>
      <c r="E256">
        <v>0</v>
      </c>
      <c r="F256">
        <v>168.54494427808675</v>
      </c>
      <c r="G256">
        <v>0</v>
      </c>
      <c r="H256">
        <v>0</v>
      </c>
      <c r="I256" s="10" t="s">
        <v>363</v>
      </c>
      <c r="J256">
        <v>-56.557999999999964</v>
      </c>
      <c r="K256">
        <v>5.179643433349451</v>
      </c>
      <c r="L256">
        <f t="shared" ref="L256:L296" si="23">(J256-Diagramm_Tmin)/Diagramm_dT+1</f>
        <v>47.884000000000071</v>
      </c>
      <c r="M256" t="e">
        <f t="shared" si="19"/>
        <v>#N/A</v>
      </c>
      <c r="N256">
        <f t="shared" si="20"/>
        <v>7.8840000000000714</v>
      </c>
      <c r="P256">
        <v>73.772983734467516</v>
      </c>
      <c r="Q256">
        <v>0</v>
      </c>
      <c r="R256">
        <v>176.22701626553248</v>
      </c>
    </row>
    <row r="257" spans="2:18" x14ac:dyDescent="0.25">
      <c r="B257">
        <v>44.5</v>
      </c>
      <c r="C257" t="str">
        <f t="shared" si="18"/>
        <v/>
      </c>
      <c r="D257">
        <v>81.455055721913254</v>
      </c>
      <c r="E257">
        <v>0</v>
      </c>
      <c r="F257">
        <v>168.54494427808675</v>
      </c>
      <c r="G257">
        <v>0</v>
      </c>
      <c r="H257">
        <v>0</v>
      </c>
      <c r="J257">
        <v>-54.369619999925447</v>
      </c>
      <c r="K257">
        <v>5.690561898357319</v>
      </c>
      <c r="L257">
        <f t="shared" si="23"/>
        <v>52.260760000149105</v>
      </c>
      <c r="M257" t="e">
        <f t="shared" si="19"/>
        <v>#N/A</v>
      </c>
      <c r="N257">
        <f t="shared" si="20"/>
        <v>12.260760000149105</v>
      </c>
      <c r="P257">
        <v>73.772983734467516</v>
      </c>
      <c r="Q257">
        <v>0</v>
      </c>
      <c r="R257">
        <v>176.22701626553248</v>
      </c>
    </row>
    <row r="258" spans="2:18" x14ac:dyDescent="0.25">
      <c r="B258">
        <v>45</v>
      </c>
      <c r="C258" t="str">
        <f t="shared" si="18"/>
        <v/>
      </c>
      <c r="D258">
        <v>81.455055721913254</v>
      </c>
      <c r="E258">
        <v>0</v>
      </c>
      <c r="F258">
        <v>168.54494427808675</v>
      </c>
      <c r="G258">
        <v>0</v>
      </c>
      <c r="H258">
        <v>0</v>
      </c>
      <c r="J258">
        <v>-52.181239999850931</v>
      </c>
      <c r="K258">
        <v>6.2385925725646123</v>
      </c>
      <c r="L258">
        <f t="shared" si="23"/>
        <v>56.637520000298139</v>
      </c>
      <c r="M258" t="e">
        <f t="shared" si="19"/>
        <v>#N/A</v>
      </c>
      <c r="N258">
        <f t="shared" si="20"/>
        <v>16.637520000298139</v>
      </c>
      <c r="P258">
        <v>73.772983734467516</v>
      </c>
      <c r="Q258">
        <v>0</v>
      </c>
      <c r="R258">
        <v>176.22701626553248</v>
      </c>
    </row>
    <row r="259" spans="2:18" x14ac:dyDescent="0.25">
      <c r="B259">
        <v>45.5</v>
      </c>
      <c r="C259" t="str">
        <f t="shared" si="18"/>
        <v/>
      </c>
      <c r="D259">
        <v>81.455055721913254</v>
      </c>
      <c r="E259">
        <v>0</v>
      </c>
      <c r="F259">
        <v>168.54494427808675</v>
      </c>
      <c r="G259">
        <v>0</v>
      </c>
      <c r="H259">
        <v>0</v>
      </c>
      <c r="J259">
        <v>-49.992859999776414</v>
      </c>
      <c r="K259">
        <v>6.825395560929695</v>
      </c>
      <c r="L259">
        <f t="shared" si="23"/>
        <v>61.014280000447172</v>
      </c>
      <c r="M259" t="e">
        <f t="shared" si="19"/>
        <v>#N/A</v>
      </c>
      <c r="N259">
        <f t="shared" si="20"/>
        <v>21.014280000447172</v>
      </c>
      <c r="P259">
        <v>73.772983734467516</v>
      </c>
      <c r="Q259">
        <v>0</v>
      </c>
      <c r="R259">
        <v>176.22701626553248</v>
      </c>
    </row>
    <row r="260" spans="2:18" x14ac:dyDescent="0.25">
      <c r="B260">
        <v>46</v>
      </c>
      <c r="C260" t="str">
        <f t="shared" si="18"/>
        <v/>
      </c>
      <c r="D260">
        <v>81.455055721913254</v>
      </c>
      <c r="E260">
        <v>0</v>
      </c>
      <c r="F260">
        <v>168.54494427808675</v>
      </c>
      <c r="G260">
        <v>0</v>
      </c>
      <c r="H260">
        <v>0</v>
      </c>
      <c r="J260">
        <v>-47.804479999701897</v>
      </c>
      <c r="K260">
        <v>7.4526521748979997</v>
      </c>
      <c r="L260">
        <f t="shared" si="23"/>
        <v>65.391040000596206</v>
      </c>
      <c r="M260" t="e">
        <f t="shared" si="19"/>
        <v>#N/A</v>
      </c>
      <c r="N260">
        <f t="shared" si="20"/>
        <v>25.391040000596206</v>
      </c>
      <c r="P260">
        <v>73.772983734467516</v>
      </c>
      <c r="Q260">
        <v>0</v>
      </c>
      <c r="R260">
        <v>176.22701626553248</v>
      </c>
    </row>
    <row r="261" spans="2:18" x14ac:dyDescent="0.25">
      <c r="B261">
        <v>46.5</v>
      </c>
      <c r="C261" t="str">
        <f t="shared" si="18"/>
        <v/>
      </c>
      <c r="D261">
        <v>81.455055721913254</v>
      </c>
      <c r="E261">
        <v>0</v>
      </c>
      <c r="F261">
        <v>168.54494427808675</v>
      </c>
      <c r="G261">
        <v>0</v>
      </c>
      <c r="H261">
        <v>0</v>
      </c>
      <c r="J261">
        <v>-45.61609999962738</v>
      </c>
      <c r="K261">
        <v>8.1220643662310241</v>
      </c>
      <c r="L261">
        <f t="shared" si="23"/>
        <v>69.76780000074524</v>
      </c>
      <c r="M261" t="e">
        <f t="shared" si="19"/>
        <v>#N/A</v>
      </c>
      <c r="N261">
        <f t="shared" si="20"/>
        <v>29.76780000074524</v>
      </c>
      <c r="P261">
        <v>73.772983734467516</v>
      </c>
      <c r="Q261">
        <v>0</v>
      </c>
      <c r="R261">
        <v>176.22701626553248</v>
      </c>
    </row>
    <row r="262" spans="2:18" x14ac:dyDescent="0.25">
      <c r="B262">
        <v>47</v>
      </c>
      <c r="C262" t="str">
        <f t="shared" si="18"/>
        <v/>
      </c>
      <c r="D262">
        <v>81.455055721913254</v>
      </c>
      <c r="E262">
        <v>0</v>
      </c>
      <c r="F262">
        <v>168.54494427808675</v>
      </c>
      <c r="G262">
        <v>0</v>
      </c>
      <c r="H262">
        <v>0</v>
      </c>
      <c r="J262">
        <v>-43.427719999552863</v>
      </c>
      <c r="K262">
        <v>8.8353543202131775</v>
      </c>
      <c r="L262">
        <f t="shared" si="23"/>
        <v>74.144560000894273</v>
      </c>
      <c r="M262" t="e">
        <f t="shared" si="19"/>
        <v>#N/A</v>
      </c>
      <c r="N262">
        <f t="shared" si="20"/>
        <v>34.144560000894273</v>
      </c>
      <c r="P262">
        <v>73.772983734467516</v>
      </c>
      <c r="Q262">
        <v>0</v>
      </c>
      <c r="R262">
        <v>176.22701626553248</v>
      </c>
    </row>
    <row r="263" spans="2:18" x14ac:dyDescent="0.25">
      <c r="B263">
        <v>47.5</v>
      </c>
      <c r="C263" t="str">
        <f t="shared" si="18"/>
        <v/>
      </c>
      <c r="D263">
        <v>81.455055721913254</v>
      </c>
      <c r="E263">
        <v>0</v>
      </c>
      <c r="F263">
        <v>168.54494427808675</v>
      </c>
      <c r="G263">
        <v>0</v>
      </c>
      <c r="H263">
        <v>0</v>
      </c>
      <c r="J263">
        <v>-41.239339999478346</v>
      </c>
      <c r="K263">
        <v>9.5942642191494194</v>
      </c>
      <c r="L263">
        <f t="shared" si="23"/>
        <v>78.521320001043307</v>
      </c>
      <c r="M263" t="e">
        <f t="shared" si="19"/>
        <v>#N/A</v>
      </c>
      <c r="N263">
        <f t="shared" si="20"/>
        <v>38.521320001043307</v>
      </c>
      <c r="P263">
        <v>73.772983734467516</v>
      </c>
      <c r="Q263">
        <v>0</v>
      </c>
      <c r="R263">
        <v>176.22701626553248</v>
      </c>
    </row>
    <row r="264" spans="2:18" x14ac:dyDescent="0.25">
      <c r="B264">
        <v>48</v>
      </c>
      <c r="C264" t="str">
        <f t="shared" ref="C264:C327" si="24">IF(MOD(B264,20)=0,TEXT(B264,"0"),"")</f>
        <v/>
      </c>
      <c r="D264">
        <v>81.455055721913254</v>
      </c>
      <c r="E264">
        <v>0</v>
      </c>
      <c r="F264">
        <v>168.54494427808675</v>
      </c>
      <c r="G264">
        <v>0</v>
      </c>
      <c r="H264">
        <v>0</v>
      </c>
      <c r="J264">
        <v>-39.05095999940383</v>
      </c>
      <c r="K264">
        <v>10.400556183845032</v>
      </c>
      <c r="L264">
        <f t="shared" si="23"/>
        <v>82.898080001192341</v>
      </c>
      <c r="M264" t="e">
        <f t="shared" ref="M264:M327" si="25">IF(J264="","",IF(J264&lt;Zoom_Tmin,NA(),(J264-Zoom_Tmin)/Diagramm_dT+1))</f>
        <v>#N/A</v>
      </c>
      <c r="N264">
        <f t="shared" ref="N264:N327" si="26">IF(J264="","",IF(J264&lt;Zoom2_Tmin,NA(),(J264-Zoom2_Tmin)/Diagramm_dT+1))</f>
        <v>42.898080001192341</v>
      </c>
      <c r="P264">
        <v>73.772983734467516</v>
      </c>
      <c r="Q264">
        <v>0</v>
      </c>
      <c r="R264">
        <v>176.22701626553248</v>
      </c>
    </row>
    <row r="265" spans="2:18" x14ac:dyDescent="0.25">
      <c r="B265">
        <v>48.5</v>
      </c>
      <c r="C265" t="str">
        <f t="shared" si="24"/>
        <v/>
      </c>
      <c r="D265">
        <v>81.455055721913254</v>
      </c>
      <c r="E265">
        <v>0</v>
      </c>
      <c r="F265">
        <v>168.54494427808675</v>
      </c>
      <c r="G265">
        <v>0</v>
      </c>
      <c r="H265">
        <v>0</v>
      </c>
      <c r="J265">
        <v>-36.862579999329313</v>
      </c>
      <c r="K265">
        <v>11.256012395801237</v>
      </c>
      <c r="L265">
        <f t="shared" si="23"/>
        <v>87.274840001341374</v>
      </c>
      <c r="M265" t="e">
        <f t="shared" si="25"/>
        <v>#N/A</v>
      </c>
      <c r="N265">
        <f t="shared" si="26"/>
        <v>47.274840001341374</v>
      </c>
      <c r="P265">
        <v>73.772983734467516</v>
      </c>
      <c r="Q265">
        <v>0</v>
      </c>
      <c r="R265">
        <v>176.22701626553248</v>
      </c>
    </row>
    <row r="266" spans="2:18" x14ac:dyDescent="0.25">
      <c r="B266">
        <v>49</v>
      </c>
      <c r="C266" t="str">
        <f t="shared" si="24"/>
        <v/>
      </c>
      <c r="D266">
        <v>81.455055721913254</v>
      </c>
      <c r="E266">
        <v>0</v>
      </c>
      <c r="F266">
        <v>168.54494427808675</v>
      </c>
      <c r="G266">
        <v>0</v>
      </c>
      <c r="H266">
        <v>0</v>
      </c>
      <c r="J266">
        <v>-34.674199999254796</v>
      </c>
      <c r="K266">
        <v>12.162435399008638</v>
      </c>
      <c r="L266">
        <f t="shared" si="23"/>
        <v>91.651600001490408</v>
      </c>
      <c r="M266" t="e">
        <f t="shared" si="25"/>
        <v>#N/A</v>
      </c>
      <c r="N266">
        <f t="shared" si="26"/>
        <v>51.651600001490408</v>
      </c>
      <c r="P266">
        <v>73.772983734467516</v>
      </c>
      <c r="Q266">
        <v>0</v>
      </c>
      <c r="R266">
        <v>176.22701626553248</v>
      </c>
    </row>
    <row r="267" spans="2:18" x14ac:dyDescent="0.25">
      <c r="B267">
        <v>49.5</v>
      </c>
      <c r="C267" t="str">
        <f t="shared" si="24"/>
        <v/>
      </c>
      <c r="D267">
        <v>81.455055721913254</v>
      </c>
      <c r="E267">
        <v>0</v>
      </c>
      <c r="F267">
        <v>168.54494427808675</v>
      </c>
      <c r="G267">
        <v>0</v>
      </c>
      <c r="H267">
        <v>0</v>
      </c>
      <c r="J267">
        <v>-32.485819999180279</v>
      </c>
      <c r="K267">
        <v>13.12164858209297</v>
      </c>
      <c r="L267">
        <f t="shared" si="23"/>
        <v>96.028360001639442</v>
      </c>
      <c r="M267" t="e">
        <f t="shared" si="25"/>
        <v>#N/A</v>
      </c>
      <c r="N267">
        <f t="shared" si="26"/>
        <v>56.028360001639442</v>
      </c>
      <c r="P267">
        <v>73.772983734467516</v>
      </c>
      <c r="Q267">
        <v>0</v>
      </c>
      <c r="R267">
        <v>176.22701626553248</v>
      </c>
    </row>
    <row r="268" spans="2:18" x14ac:dyDescent="0.25">
      <c r="B268">
        <v>50</v>
      </c>
      <c r="C268" t="str">
        <f t="shared" si="24"/>
        <v/>
      </c>
      <c r="D268">
        <v>81.455055721913254</v>
      </c>
      <c r="E268">
        <v>0</v>
      </c>
      <c r="F268">
        <v>168.54494427808675</v>
      </c>
      <c r="G268">
        <v>0</v>
      </c>
      <c r="H268">
        <v>0</v>
      </c>
      <c r="J268">
        <v>-30.297439999105762</v>
      </c>
      <c r="K268">
        <v>14.135496853100509</v>
      </c>
      <c r="L268">
        <f t="shared" si="23"/>
        <v>100.40512000178848</v>
      </c>
      <c r="M268" t="e">
        <f t="shared" si="25"/>
        <v>#N/A</v>
      </c>
      <c r="N268">
        <f t="shared" si="26"/>
        <v>60.405120001788475</v>
      </c>
      <c r="P268">
        <v>73.772983734467516</v>
      </c>
      <c r="Q268">
        <v>0</v>
      </c>
      <c r="R268">
        <v>176.22701626553248</v>
      </c>
    </row>
    <row r="269" spans="2:18" x14ac:dyDescent="0.25">
      <c r="B269">
        <v>50.5</v>
      </c>
      <c r="C269" t="str">
        <f t="shared" si="24"/>
        <v/>
      </c>
      <c r="D269">
        <v>81.455055721913254</v>
      </c>
      <c r="E269">
        <v>0</v>
      </c>
      <c r="F269">
        <v>168.54494427808675</v>
      </c>
      <c r="G269">
        <v>0</v>
      </c>
      <c r="H269">
        <v>0</v>
      </c>
      <c r="J269">
        <v>-28.109059999031246</v>
      </c>
      <c r="K269">
        <v>15.205847540490653</v>
      </c>
      <c r="L269">
        <f t="shared" si="23"/>
        <v>104.78188000193751</v>
      </c>
      <c r="M269" t="e">
        <f t="shared" si="25"/>
        <v>#N/A</v>
      </c>
      <c r="N269">
        <f t="shared" si="26"/>
        <v>64.781880001937509</v>
      </c>
      <c r="P269">
        <v>73.772983734467516</v>
      </c>
      <c r="Q269">
        <v>0</v>
      </c>
      <c r="R269">
        <v>176.22701626553248</v>
      </c>
    </row>
    <row r="270" spans="2:18" x14ac:dyDescent="0.25">
      <c r="B270">
        <v>51</v>
      </c>
      <c r="C270" t="str">
        <f t="shared" si="24"/>
        <v/>
      </c>
      <c r="D270">
        <v>81.455055721913254</v>
      </c>
      <c r="E270">
        <v>0</v>
      </c>
      <c r="F270">
        <v>168.54494427808675</v>
      </c>
      <c r="G270">
        <v>0</v>
      </c>
      <c r="H270">
        <v>0</v>
      </c>
      <c r="J270">
        <v>-25.9206799989567</v>
      </c>
      <c r="K270">
        <v>16.334591579694806</v>
      </c>
      <c r="L270">
        <f t="shared" si="23"/>
        <v>109.1586400020866</v>
      </c>
      <c r="M270" t="e">
        <f t="shared" si="25"/>
        <v>#N/A</v>
      </c>
      <c r="N270">
        <f t="shared" si="26"/>
        <v>69.158640002086599</v>
      </c>
      <c r="P270">
        <v>73.772983734467516</v>
      </c>
      <c r="Q270">
        <v>0</v>
      </c>
      <c r="R270">
        <v>176.22701626553248</v>
      </c>
    </row>
    <row r="271" spans="2:18" x14ac:dyDescent="0.25">
      <c r="B271">
        <v>51.5</v>
      </c>
      <c r="C271" t="str">
        <f t="shared" si="24"/>
        <v/>
      </c>
      <c r="D271">
        <v>81.455055721913254</v>
      </c>
      <c r="E271">
        <v>0</v>
      </c>
      <c r="F271">
        <v>168.54494427808675</v>
      </c>
      <c r="G271">
        <v>0</v>
      </c>
      <c r="H271">
        <v>0</v>
      </c>
      <c r="J271">
        <v>-23.732299998882183</v>
      </c>
      <c r="K271">
        <v>17.523645066186731</v>
      </c>
      <c r="L271">
        <f t="shared" si="23"/>
        <v>113.53540000223563</v>
      </c>
      <c r="M271" t="e">
        <f t="shared" si="25"/>
        <v>#N/A</v>
      </c>
      <c r="N271">
        <f t="shared" si="26"/>
        <v>73.535400002235633</v>
      </c>
      <c r="P271">
        <v>73.772983734467516</v>
      </c>
      <c r="Q271">
        <v>0</v>
      </c>
      <c r="R271">
        <v>176.22701626553248</v>
      </c>
    </row>
    <row r="272" spans="2:18" x14ac:dyDescent="0.25">
      <c r="B272">
        <v>52</v>
      </c>
      <c r="C272" t="str">
        <f t="shared" si="24"/>
        <v/>
      </c>
      <c r="D272">
        <v>81.455055721913254</v>
      </c>
      <c r="E272">
        <v>0</v>
      </c>
      <c r="F272">
        <v>168.54494427808675</v>
      </c>
      <c r="G272">
        <v>0</v>
      </c>
      <c r="H272">
        <v>0</v>
      </c>
      <c r="J272">
        <v>-21.543919998807667</v>
      </c>
      <c r="K272">
        <v>18.774951265593533</v>
      </c>
      <c r="L272">
        <f t="shared" si="23"/>
        <v>117.91216000238467</v>
      </c>
      <c r="M272" t="e">
        <f t="shared" si="25"/>
        <v>#N/A</v>
      </c>
      <c r="N272">
        <f t="shared" si="26"/>
        <v>77.912160002384667</v>
      </c>
      <c r="P272">
        <v>73.772983734467516</v>
      </c>
      <c r="Q272">
        <v>0</v>
      </c>
      <c r="R272">
        <v>176.22701626553248</v>
      </c>
    </row>
    <row r="273" spans="2:18" x14ac:dyDescent="0.25">
      <c r="B273">
        <v>52.5</v>
      </c>
      <c r="C273" t="str">
        <f t="shared" si="24"/>
        <v/>
      </c>
      <c r="D273">
        <v>81.455055721913254</v>
      </c>
      <c r="E273">
        <v>0</v>
      </c>
      <c r="F273">
        <v>168.54494427808675</v>
      </c>
      <c r="G273">
        <v>0</v>
      </c>
      <c r="H273">
        <v>0</v>
      </c>
      <c r="J273">
        <v>-19.35553999873315</v>
      </c>
      <c r="K273">
        <v>20.09048316632229</v>
      </c>
      <c r="L273">
        <f t="shared" si="23"/>
        <v>122.2889200025337</v>
      </c>
      <c r="M273">
        <f t="shared" si="25"/>
        <v>2.2889200025337004</v>
      </c>
      <c r="N273">
        <f t="shared" si="26"/>
        <v>82.2889200025337</v>
      </c>
      <c r="P273">
        <v>73.772983734467516</v>
      </c>
      <c r="Q273">
        <v>0</v>
      </c>
      <c r="R273">
        <v>176.22701626553248</v>
      </c>
    </row>
    <row r="274" spans="2:18" x14ac:dyDescent="0.25">
      <c r="B274">
        <v>53</v>
      </c>
      <c r="C274" t="str">
        <f t="shared" si="24"/>
        <v/>
      </c>
      <c r="D274">
        <v>81.455055721913254</v>
      </c>
      <c r="E274">
        <v>0</v>
      </c>
      <c r="F274">
        <v>168.54494427808675</v>
      </c>
      <c r="G274">
        <v>0</v>
      </c>
      <c r="H274">
        <v>0</v>
      </c>
      <c r="J274">
        <v>-17.167159998658633</v>
      </c>
      <c r="K274">
        <v>21.472246644534383</v>
      </c>
      <c r="L274">
        <f t="shared" si="23"/>
        <v>126.66568000268273</v>
      </c>
      <c r="M274">
        <f t="shared" si="25"/>
        <v>6.6656800026827341</v>
      </c>
      <c r="N274">
        <f t="shared" si="26"/>
        <v>86.665680002682734</v>
      </c>
      <c r="P274">
        <v>73.772983734467516</v>
      </c>
      <c r="Q274">
        <v>0</v>
      </c>
      <c r="R274">
        <v>176.22701626553248</v>
      </c>
    </row>
    <row r="275" spans="2:18" x14ac:dyDescent="0.25">
      <c r="B275">
        <v>53.5</v>
      </c>
      <c r="C275" t="str">
        <f t="shared" si="24"/>
        <v/>
      </c>
      <c r="D275">
        <v>81.455055721913254</v>
      </c>
      <c r="E275">
        <v>0</v>
      </c>
      <c r="F275">
        <v>168.54494427808675</v>
      </c>
      <c r="G275">
        <v>0</v>
      </c>
      <c r="H275">
        <v>0</v>
      </c>
      <c r="J275">
        <v>-14.978779998584116</v>
      </c>
      <c r="K275">
        <v>22.922284294019239</v>
      </c>
      <c r="L275">
        <f t="shared" si="23"/>
        <v>131.04244000283177</v>
      </c>
      <c r="M275">
        <f t="shared" si="25"/>
        <v>11.042440002831768</v>
      </c>
      <c r="N275">
        <f t="shared" si="26"/>
        <v>91.042440002831768</v>
      </c>
      <c r="P275">
        <v>73.772983734467516</v>
      </c>
      <c r="Q275">
        <v>0</v>
      </c>
      <c r="R275">
        <v>176.22701626553248</v>
      </c>
    </row>
    <row r="276" spans="2:18" x14ac:dyDescent="0.25">
      <c r="B276">
        <v>54</v>
      </c>
      <c r="C276" t="str">
        <f t="shared" si="24"/>
        <v/>
      </c>
      <c r="D276">
        <v>81.455055721913254</v>
      </c>
      <c r="E276">
        <v>0</v>
      </c>
      <c r="F276">
        <v>168.54494427808675</v>
      </c>
      <c r="G276">
        <v>0</v>
      </c>
      <c r="H276">
        <v>0</v>
      </c>
      <c r="J276">
        <v>-12.790399998509599</v>
      </c>
      <c r="K276">
        <v>24.442679965043133</v>
      </c>
      <c r="L276">
        <f t="shared" si="23"/>
        <v>135.4192000029808</v>
      </c>
      <c r="M276">
        <f t="shared" si="25"/>
        <v>15.419200002980801</v>
      </c>
      <c r="N276">
        <f t="shared" si="26"/>
        <v>95.419200002980801</v>
      </c>
      <c r="P276">
        <v>73.772983734467516</v>
      </c>
      <c r="Q276">
        <v>0</v>
      </c>
      <c r="R276">
        <v>176.22701626553248</v>
      </c>
    </row>
    <row r="277" spans="2:18" x14ac:dyDescent="0.25">
      <c r="B277">
        <v>54.5</v>
      </c>
      <c r="C277" t="str">
        <f t="shared" si="24"/>
        <v/>
      </c>
      <c r="D277">
        <v>81.455055721913254</v>
      </c>
      <c r="E277">
        <v>0</v>
      </c>
      <c r="F277">
        <v>168.54494427808675</v>
      </c>
      <c r="G277">
        <v>0</v>
      </c>
      <c r="H277">
        <v>0</v>
      </c>
      <c r="J277">
        <v>-10.602019998435082</v>
      </c>
      <c r="K277">
        <v>26.035564065652519</v>
      </c>
      <c r="L277">
        <f t="shared" si="23"/>
        <v>139.79596000312984</v>
      </c>
      <c r="M277">
        <f t="shared" si="25"/>
        <v>19.795960003129835</v>
      </c>
      <c r="N277">
        <f t="shared" si="26"/>
        <v>99.795960003129835</v>
      </c>
      <c r="P277">
        <v>73.772983734467516</v>
      </c>
      <c r="Q277">
        <v>0</v>
      </c>
      <c r="R277">
        <v>176.22701626553248</v>
      </c>
    </row>
    <row r="278" spans="2:18" x14ac:dyDescent="0.25">
      <c r="B278">
        <v>55</v>
      </c>
      <c r="C278" t="str">
        <f t="shared" si="24"/>
        <v/>
      </c>
      <c r="D278">
        <v>81.455055721913254</v>
      </c>
      <c r="E278">
        <v>0</v>
      </c>
      <c r="F278">
        <v>168.54494427808675</v>
      </c>
      <c r="G278">
        <v>0</v>
      </c>
      <c r="H278">
        <v>0</v>
      </c>
      <c r="J278">
        <v>-8.4136399983605656</v>
      </c>
      <c r="K278">
        <v>27.703119713043016</v>
      </c>
      <c r="L278">
        <f t="shared" si="23"/>
        <v>144.17272000327887</v>
      </c>
      <c r="M278">
        <f t="shared" si="25"/>
        <v>24.172720003278869</v>
      </c>
      <c r="N278">
        <f t="shared" si="26"/>
        <v>104.17272000327887</v>
      </c>
      <c r="P278">
        <v>73.772983734467516</v>
      </c>
      <c r="Q278">
        <v>0</v>
      </c>
      <c r="R278">
        <v>176.22701626553248</v>
      </c>
    </row>
    <row r="279" spans="2:18" x14ac:dyDescent="0.25">
      <c r="B279">
        <v>55.5</v>
      </c>
      <c r="C279" t="str">
        <f t="shared" si="24"/>
        <v/>
      </c>
      <c r="D279">
        <v>81.455055721913254</v>
      </c>
      <c r="E279">
        <v>0</v>
      </c>
      <c r="F279">
        <v>168.54494427808675</v>
      </c>
      <c r="G279">
        <v>0</v>
      </c>
      <c r="H279">
        <v>0</v>
      </c>
      <c r="J279">
        <v>-6.2252599982860488</v>
      </c>
      <c r="K279">
        <v>29.447589887066314</v>
      </c>
      <c r="L279">
        <f t="shared" si="23"/>
        <v>148.5494800034279</v>
      </c>
      <c r="M279">
        <f t="shared" si="25"/>
        <v>28.549480003427902</v>
      </c>
      <c r="N279">
        <f t="shared" si="26"/>
        <v>108.5494800034279</v>
      </c>
      <c r="P279">
        <v>73.772983734467516</v>
      </c>
      <c r="Q279">
        <v>0</v>
      </c>
      <c r="R279">
        <v>176.22701626553248</v>
      </c>
    </row>
    <row r="280" spans="2:18" x14ac:dyDescent="0.25">
      <c r="B280">
        <v>56</v>
      </c>
      <c r="C280" t="str">
        <f t="shared" si="24"/>
        <v/>
      </c>
      <c r="D280">
        <v>81.455055721913254</v>
      </c>
      <c r="E280">
        <v>0</v>
      </c>
      <c r="F280">
        <v>168.54494427808675</v>
      </c>
      <c r="G280">
        <v>0</v>
      </c>
      <c r="H280">
        <v>0</v>
      </c>
      <c r="J280">
        <v>-4.036879998211532</v>
      </c>
      <c r="K280">
        <v>31.271285838462976</v>
      </c>
      <c r="L280">
        <f t="shared" si="23"/>
        <v>152.92624000357694</v>
      </c>
      <c r="M280">
        <f t="shared" si="25"/>
        <v>32.926240003576936</v>
      </c>
      <c r="N280">
        <f t="shared" si="26"/>
        <v>112.92624000357694</v>
      </c>
      <c r="P280">
        <v>73.772983734467516</v>
      </c>
      <c r="Q280">
        <v>0</v>
      </c>
      <c r="R280">
        <v>176.22701626553248</v>
      </c>
    </row>
    <row r="281" spans="2:18" x14ac:dyDescent="0.25">
      <c r="B281">
        <v>56.5</v>
      </c>
      <c r="C281" t="str">
        <f t="shared" si="24"/>
        <v/>
      </c>
      <c r="D281">
        <v>81.455055721913254</v>
      </c>
      <c r="E281">
        <v>0</v>
      </c>
      <c r="F281">
        <v>168.54494427808675</v>
      </c>
      <c r="G281">
        <v>0</v>
      </c>
      <c r="H281">
        <v>0</v>
      </c>
      <c r="J281">
        <v>-1.8484999981370152</v>
      </c>
      <c r="K281">
        <v>33.176597146455947</v>
      </c>
      <c r="L281">
        <f t="shared" si="23"/>
        <v>157.30300000372597</v>
      </c>
      <c r="M281">
        <f t="shared" si="25"/>
        <v>37.30300000372597</v>
      </c>
      <c r="N281">
        <f t="shared" si="26"/>
        <v>117.30300000372597</v>
      </c>
      <c r="P281">
        <v>73.772983734467516</v>
      </c>
      <c r="Q281">
        <v>0</v>
      </c>
      <c r="R281">
        <v>176.22701626553248</v>
      </c>
    </row>
    <row r="282" spans="2:18" x14ac:dyDescent="0.25">
      <c r="B282">
        <v>57</v>
      </c>
      <c r="C282" t="str">
        <f t="shared" si="24"/>
        <v/>
      </c>
      <c r="D282">
        <v>81.455055721913254</v>
      </c>
      <c r="E282">
        <v>0</v>
      </c>
      <c r="F282">
        <v>168.54494427808675</v>
      </c>
      <c r="G282">
        <v>0</v>
      </c>
      <c r="H282">
        <v>0</v>
      </c>
      <c r="J282">
        <v>0.33988000193750167</v>
      </c>
      <c r="K282">
        <v>35.166004004476882</v>
      </c>
      <c r="L282">
        <f t="shared" si="23"/>
        <v>161.679760003875</v>
      </c>
      <c r="M282">
        <f t="shared" si="25"/>
        <v>41.679760003875003</v>
      </c>
      <c r="N282">
        <f t="shared" si="26"/>
        <v>121.679760003875</v>
      </c>
      <c r="P282">
        <v>73.772983734467516</v>
      </c>
      <c r="Q282">
        <v>0</v>
      </c>
      <c r="R282">
        <v>176.22701626553248</v>
      </c>
    </row>
    <row r="283" spans="2:18" x14ac:dyDescent="0.25">
      <c r="B283">
        <v>57.5</v>
      </c>
      <c r="C283" t="str">
        <f t="shared" si="24"/>
        <v/>
      </c>
      <c r="D283">
        <v>81.455055721913254</v>
      </c>
      <c r="E283">
        <v>0</v>
      </c>
      <c r="F283">
        <v>168.54494427808675</v>
      </c>
      <c r="G283">
        <v>0</v>
      </c>
      <c r="H283">
        <v>0</v>
      </c>
      <c r="J283">
        <v>2.5282600020120185</v>
      </c>
      <c r="K283">
        <v>37.242092524682882</v>
      </c>
      <c r="L283">
        <f t="shared" si="23"/>
        <v>166.05652000402404</v>
      </c>
      <c r="M283">
        <f t="shared" si="25"/>
        <v>46.056520004024037</v>
      </c>
      <c r="N283">
        <f t="shared" si="26"/>
        <v>126.05652000402404</v>
      </c>
      <c r="P283">
        <v>73.772983734467516</v>
      </c>
      <c r="Q283">
        <v>0</v>
      </c>
      <c r="R283">
        <v>176.22701626553248</v>
      </c>
    </row>
    <row r="284" spans="2:18" x14ac:dyDescent="0.25">
      <c r="B284">
        <v>58</v>
      </c>
      <c r="C284" t="str">
        <f t="shared" si="24"/>
        <v/>
      </c>
      <c r="D284">
        <v>81.455055721913254</v>
      </c>
      <c r="E284">
        <v>0</v>
      </c>
      <c r="F284">
        <v>168.54494427808675</v>
      </c>
      <c r="G284">
        <v>0</v>
      </c>
      <c r="H284">
        <v>0</v>
      </c>
      <c r="J284">
        <v>4.7166400020865353</v>
      </c>
      <c r="K284">
        <v>39.40757405146131</v>
      </c>
      <c r="L284">
        <f t="shared" si="23"/>
        <v>170.43328000417307</v>
      </c>
      <c r="M284">
        <f t="shared" si="25"/>
        <v>50.433280004173071</v>
      </c>
      <c r="N284">
        <f t="shared" si="26"/>
        <v>130.43328000417307</v>
      </c>
      <c r="P284">
        <v>73.772983734467516</v>
      </c>
      <c r="Q284">
        <v>0</v>
      </c>
      <c r="R284">
        <v>176.22701626553248</v>
      </c>
    </row>
    <row r="285" spans="2:18" x14ac:dyDescent="0.25">
      <c r="B285">
        <v>58.5</v>
      </c>
      <c r="C285" t="str">
        <f t="shared" si="24"/>
        <v/>
      </c>
      <c r="D285">
        <v>81.455055721913254</v>
      </c>
      <c r="E285">
        <v>0</v>
      </c>
      <c r="F285">
        <v>168.54494427808675</v>
      </c>
      <c r="G285">
        <v>0</v>
      </c>
      <c r="H285">
        <v>0</v>
      </c>
      <c r="J285">
        <v>6.9050200021610522</v>
      </c>
      <c r="K285">
        <v>41.665309602075148</v>
      </c>
      <c r="L285">
        <f t="shared" si="23"/>
        <v>174.8100400043221</v>
      </c>
      <c r="M285">
        <f t="shared" si="25"/>
        <v>54.810040004322104</v>
      </c>
      <c r="N285">
        <f t="shared" si="26"/>
        <v>134.8100400043221</v>
      </c>
      <c r="P285">
        <v>73.772983734467516</v>
      </c>
      <c r="Q285">
        <v>0</v>
      </c>
      <c r="R285">
        <v>176.22701626553248</v>
      </c>
    </row>
    <row r="286" spans="2:18" x14ac:dyDescent="0.25">
      <c r="B286">
        <v>59</v>
      </c>
      <c r="C286" t="str">
        <f t="shared" si="24"/>
        <v/>
      </c>
      <c r="D286">
        <v>81.455055721913254</v>
      </c>
      <c r="E286">
        <v>0</v>
      </c>
      <c r="F286">
        <v>168.54494427808675</v>
      </c>
      <c r="G286">
        <v>0</v>
      </c>
      <c r="H286">
        <v>0</v>
      </c>
      <c r="J286">
        <v>9.093400002235569</v>
      </c>
      <c r="K286">
        <v>44.018340595742728</v>
      </c>
      <c r="L286">
        <f t="shared" si="23"/>
        <v>179.18680000447114</v>
      </c>
      <c r="M286">
        <f t="shared" si="25"/>
        <v>59.186800004471138</v>
      </c>
      <c r="N286">
        <f t="shared" si="26"/>
        <v>139.18680000447114</v>
      </c>
      <c r="P286">
        <v>73.772983734467516</v>
      </c>
      <c r="Q286">
        <v>0</v>
      </c>
      <c r="R286">
        <v>176.22701626553248</v>
      </c>
    </row>
    <row r="287" spans="2:18" x14ac:dyDescent="0.25">
      <c r="B287">
        <v>59.5</v>
      </c>
      <c r="C287" t="str">
        <f t="shared" si="24"/>
        <v/>
      </c>
      <c r="D287">
        <v>81.455055721913254</v>
      </c>
      <c r="E287">
        <v>0</v>
      </c>
      <c r="F287">
        <v>168.54494427808675</v>
      </c>
      <c r="G287">
        <v>0</v>
      </c>
      <c r="H287">
        <v>0</v>
      </c>
      <c r="J287">
        <v>11.281780002310086</v>
      </c>
      <c r="K287">
        <v>46.46992720935107</v>
      </c>
      <c r="L287">
        <f t="shared" si="23"/>
        <v>183.56356000462017</v>
      </c>
      <c r="M287">
        <f t="shared" si="25"/>
        <v>63.563560004620172</v>
      </c>
      <c r="N287">
        <f t="shared" si="26"/>
        <v>143.56356000462017</v>
      </c>
      <c r="P287">
        <v>73.772983734467516</v>
      </c>
      <c r="Q287">
        <v>0</v>
      </c>
      <c r="R287">
        <v>176.22701626553248</v>
      </c>
    </row>
    <row r="288" spans="2:18" x14ac:dyDescent="0.25">
      <c r="B288">
        <v>60</v>
      </c>
      <c r="C288" t="str">
        <f t="shared" si="24"/>
        <v>60</v>
      </c>
      <c r="D288">
        <v>81.455055721913254</v>
      </c>
      <c r="E288">
        <v>0</v>
      </c>
      <c r="F288">
        <v>168.54494427808675</v>
      </c>
      <c r="G288">
        <v>0</v>
      </c>
      <c r="H288">
        <v>0</v>
      </c>
      <c r="J288">
        <v>13.470160002384603</v>
      </c>
      <c r="K288">
        <v>49.023596810330844</v>
      </c>
      <c r="L288">
        <f t="shared" si="23"/>
        <v>187.94032000476921</v>
      </c>
      <c r="M288">
        <f t="shared" si="25"/>
        <v>67.940320004769205</v>
      </c>
      <c r="N288">
        <f t="shared" si="26"/>
        <v>147.94032000476921</v>
      </c>
      <c r="P288">
        <v>73.772983734467516</v>
      </c>
      <c r="Q288">
        <v>0</v>
      </c>
      <c r="R288">
        <v>176.22701626553248</v>
      </c>
    </row>
    <row r="289" spans="2:18" x14ac:dyDescent="0.25">
      <c r="B289">
        <v>60.5</v>
      </c>
      <c r="C289" t="str">
        <f t="shared" si="24"/>
        <v/>
      </c>
      <c r="D289">
        <v>81.455055721913254</v>
      </c>
      <c r="E289">
        <v>0</v>
      </c>
      <c r="F289">
        <v>168.54494427808675</v>
      </c>
      <c r="G289">
        <v>0</v>
      </c>
      <c r="H289">
        <v>0</v>
      </c>
      <c r="J289">
        <v>15.658540002459119</v>
      </c>
      <c r="K289">
        <v>51.683208775895139</v>
      </c>
      <c r="L289">
        <f t="shared" si="23"/>
        <v>192.31708000491824</v>
      </c>
      <c r="M289">
        <f t="shared" si="25"/>
        <v>72.317080004918239</v>
      </c>
      <c r="N289">
        <f t="shared" si="26"/>
        <v>152.31708000491824</v>
      </c>
      <c r="P289">
        <v>73.772983734467516</v>
      </c>
      <c r="Q289">
        <v>0</v>
      </c>
      <c r="R289">
        <v>176.22701626553248</v>
      </c>
    </row>
    <row r="290" spans="2:18" x14ac:dyDescent="0.25">
      <c r="B290">
        <v>61</v>
      </c>
      <c r="C290" t="str">
        <f t="shared" si="24"/>
        <v/>
      </c>
      <c r="D290">
        <v>81.455055721913254</v>
      </c>
      <c r="E290">
        <v>0</v>
      </c>
      <c r="F290">
        <v>168.54494427808675</v>
      </c>
      <c r="G290">
        <v>0</v>
      </c>
      <c r="H290">
        <v>0</v>
      </c>
      <c r="J290">
        <v>17.846920002533636</v>
      </c>
      <c r="K290">
        <v>54.453051446377017</v>
      </c>
      <c r="L290">
        <f t="shared" si="23"/>
        <v>196.69384000506727</v>
      </c>
      <c r="M290">
        <f t="shared" si="25"/>
        <v>76.693840005067273</v>
      </c>
      <c r="N290">
        <f t="shared" si="26"/>
        <v>156.69384000506727</v>
      </c>
      <c r="P290">
        <v>73.772983734467516</v>
      </c>
      <c r="Q290">
        <v>0</v>
      </c>
      <c r="R290">
        <v>176.22701626553248</v>
      </c>
    </row>
    <row r="291" spans="2:18" x14ac:dyDescent="0.25">
      <c r="B291">
        <v>61.5</v>
      </c>
      <c r="C291" t="str">
        <f t="shared" si="24"/>
        <v/>
      </c>
      <c r="D291">
        <v>81.455055721913254</v>
      </c>
      <c r="E291">
        <v>0</v>
      </c>
      <c r="F291">
        <v>168.54494427808675</v>
      </c>
      <c r="G291">
        <v>0</v>
      </c>
      <c r="H291">
        <v>0</v>
      </c>
      <c r="J291">
        <v>20.035300002608153</v>
      </c>
      <c r="K291">
        <v>57.338004121264795</v>
      </c>
      <c r="L291">
        <f t="shared" si="23"/>
        <v>201.07060000521631</v>
      </c>
      <c r="M291">
        <f t="shared" si="25"/>
        <v>81.070600005216306</v>
      </c>
      <c r="N291">
        <f t="shared" si="26"/>
        <v>161.07060000521631</v>
      </c>
      <c r="P291">
        <v>73.772983734467516</v>
      </c>
      <c r="Q291">
        <v>0</v>
      </c>
      <c r="R291">
        <v>176.22701626553248</v>
      </c>
    </row>
    <row r="292" spans="2:18" x14ac:dyDescent="0.25">
      <c r="B292">
        <v>62</v>
      </c>
      <c r="C292" t="str">
        <f t="shared" si="24"/>
        <v/>
      </c>
      <c r="D292">
        <v>81.455055721913254</v>
      </c>
      <c r="E292">
        <v>0</v>
      </c>
      <c r="F292">
        <v>168.54494427808675</v>
      </c>
      <c r="G292">
        <v>0</v>
      </c>
      <c r="H292">
        <v>0</v>
      </c>
      <c r="J292">
        <v>22.22368000268267</v>
      </c>
      <c r="K292">
        <v>60.343818172330835</v>
      </c>
      <c r="L292">
        <f t="shared" si="23"/>
        <v>205.44736000536534</v>
      </c>
      <c r="M292">
        <f t="shared" si="25"/>
        <v>85.44736000536534</v>
      </c>
      <c r="N292">
        <f t="shared" si="26"/>
        <v>165.44736000536534</v>
      </c>
      <c r="P292">
        <v>73.772983734467516</v>
      </c>
      <c r="Q292">
        <v>0</v>
      </c>
      <c r="R292">
        <v>176.22701626553248</v>
      </c>
    </row>
    <row r="293" spans="2:18" x14ac:dyDescent="0.25">
      <c r="B293">
        <v>62.5</v>
      </c>
      <c r="C293" t="str">
        <f t="shared" si="24"/>
        <v/>
      </c>
      <c r="D293">
        <v>81.455055721913254</v>
      </c>
      <c r="E293">
        <v>0</v>
      </c>
      <c r="F293">
        <v>168.54494427808675</v>
      </c>
      <c r="G293">
        <v>0</v>
      </c>
      <c r="H293">
        <v>0</v>
      </c>
      <c r="J293">
        <v>24.412060002757187</v>
      </c>
      <c r="K293">
        <v>63.4775854036277</v>
      </c>
      <c r="L293">
        <f t="shared" si="23"/>
        <v>209.82412000551437</v>
      </c>
      <c r="M293">
        <f t="shared" si="25"/>
        <v>89.824120005514374</v>
      </c>
      <c r="N293">
        <f t="shared" si="26"/>
        <v>169.82412000551437</v>
      </c>
      <c r="P293">
        <v>73.772983734467516</v>
      </c>
      <c r="Q293">
        <v>0</v>
      </c>
      <c r="R293">
        <v>176.22701626553248</v>
      </c>
    </row>
    <row r="294" spans="2:18" x14ac:dyDescent="0.25">
      <c r="B294">
        <v>63</v>
      </c>
      <c r="C294" t="str">
        <f t="shared" si="24"/>
        <v/>
      </c>
      <c r="D294">
        <v>81.455055721913254</v>
      </c>
      <c r="E294">
        <v>0</v>
      </c>
      <c r="F294">
        <v>168.54494427808675</v>
      </c>
      <c r="G294">
        <v>0</v>
      </c>
      <c r="H294">
        <v>0</v>
      </c>
      <c r="J294">
        <v>26.600440002831704</v>
      </c>
      <c r="K294">
        <v>66.748524248563641</v>
      </c>
      <c r="L294">
        <f t="shared" si="23"/>
        <v>214.20088000566341</v>
      </c>
      <c r="M294">
        <f t="shared" si="25"/>
        <v>94.200880005663407</v>
      </c>
      <c r="N294">
        <f t="shared" si="26"/>
        <v>174.20088000566341</v>
      </c>
      <c r="P294">
        <v>73.772983734467516</v>
      </c>
      <c r="Q294">
        <v>0</v>
      </c>
      <c r="R294">
        <v>176.22701626553248</v>
      </c>
    </row>
    <row r="295" spans="2:18" x14ac:dyDescent="0.25">
      <c r="B295">
        <v>63.5</v>
      </c>
      <c r="C295" t="str">
        <f t="shared" si="24"/>
        <v/>
      </c>
      <c r="D295">
        <v>81.455055721913254</v>
      </c>
      <c r="E295">
        <v>0</v>
      </c>
      <c r="F295">
        <v>168.54494427808675</v>
      </c>
      <c r="G295">
        <v>0</v>
      </c>
      <c r="H295">
        <v>0</v>
      </c>
      <c r="J295">
        <v>28.78882000290622</v>
      </c>
      <c r="K295">
        <v>70.169980059503217</v>
      </c>
      <c r="L295">
        <f t="shared" si="23"/>
        <v>218.57764000581244</v>
      </c>
      <c r="M295">
        <f t="shared" si="25"/>
        <v>98.577640005812441</v>
      </c>
      <c r="N295">
        <f t="shared" si="26"/>
        <v>178.57764000581244</v>
      </c>
      <c r="P295">
        <v>73.772983734467516</v>
      </c>
      <c r="Q295">
        <v>0</v>
      </c>
      <c r="R295">
        <v>176.22701626553248</v>
      </c>
    </row>
    <row r="296" spans="2:18" x14ac:dyDescent="0.25">
      <c r="B296">
        <v>64</v>
      </c>
      <c r="C296" t="str">
        <f t="shared" si="24"/>
        <v/>
      </c>
      <c r="D296">
        <v>81.455055721913254</v>
      </c>
      <c r="E296">
        <v>0</v>
      </c>
      <c r="F296">
        <v>168.54494427808675</v>
      </c>
      <c r="G296">
        <v>0</v>
      </c>
      <c r="H296">
        <v>0</v>
      </c>
      <c r="J296">
        <v>30.977200002980737</v>
      </c>
      <c r="K296">
        <v>73.771278108842608</v>
      </c>
      <c r="L296">
        <f t="shared" si="23"/>
        <v>222.95440000596147</v>
      </c>
      <c r="M296">
        <f t="shared" si="25"/>
        <v>102.95440000596147</v>
      </c>
      <c r="N296">
        <f t="shared" si="26"/>
        <v>182.95440000596147</v>
      </c>
      <c r="P296">
        <v>73.772983734467516</v>
      </c>
      <c r="Q296">
        <v>0</v>
      </c>
      <c r="R296">
        <v>176.22701626553248</v>
      </c>
    </row>
    <row r="297" spans="2:18" x14ac:dyDescent="0.25">
      <c r="B297">
        <v>64.5</v>
      </c>
      <c r="C297" t="str">
        <f t="shared" si="24"/>
        <v/>
      </c>
      <c r="D297">
        <v>81.455055721913254</v>
      </c>
      <c r="E297">
        <v>0</v>
      </c>
      <c r="F297">
        <v>168.54494427808675</v>
      </c>
      <c r="G297">
        <v>0</v>
      </c>
      <c r="H297">
        <v>0</v>
      </c>
      <c r="M297" t="str">
        <f t="shared" si="25"/>
        <v/>
      </c>
      <c r="N297" t="str">
        <f t="shared" si="26"/>
        <v/>
      </c>
      <c r="P297">
        <v>73.772983734467516</v>
      </c>
      <c r="Q297">
        <v>0</v>
      </c>
      <c r="R297">
        <v>176.22701626553248</v>
      </c>
    </row>
    <row r="298" spans="2:18" x14ac:dyDescent="0.25">
      <c r="B298">
        <v>65</v>
      </c>
      <c r="C298" t="str">
        <f t="shared" si="24"/>
        <v/>
      </c>
      <c r="D298">
        <v>81.455055721913254</v>
      </c>
      <c r="E298">
        <v>0</v>
      </c>
      <c r="F298">
        <v>168.54494427808675</v>
      </c>
      <c r="G298">
        <v>0</v>
      </c>
      <c r="H298">
        <v>0</v>
      </c>
      <c r="I298" s="10" t="s">
        <v>364</v>
      </c>
      <c r="J298">
        <v>-56.557999999999964</v>
      </c>
      <c r="K298">
        <v>54.249178858911719</v>
      </c>
      <c r="L298">
        <f t="shared" ref="L298:L327" si="27">(J298-Diagramm_Tmin)/Diagramm_dT+1</f>
        <v>47.884000000000071</v>
      </c>
      <c r="M298" t="e">
        <f t="shared" si="25"/>
        <v>#N/A</v>
      </c>
      <c r="N298">
        <f t="shared" si="26"/>
        <v>7.8840000000000714</v>
      </c>
      <c r="P298">
        <v>73.772983734467516</v>
      </c>
      <c r="Q298">
        <v>0</v>
      </c>
      <c r="R298">
        <v>176.22701626553248</v>
      </c>
    </row>
    <row r="299" spans="2:18" x14ac:dyDescent="0.25">
      <c r="B299">
        <v>65.5</v>
      </c>
      <c r="C299" t="str">
        <f t="shared" si="24"/>
        <v/>
      </c>
      <c r="D299">
        <v>81.455055721913254</v>
      </c>
      <c r="E299">
        <v>0</v>
      </c>
      <c r="F299">
        <v>168.54494427808675</v>
      </c>
      <c r="G299">
        <v>0</v>
      </c>
      <c r="H299">
        <v>0</v>
      </c>
      <c r="J299">
        <v>-53.647394473887061</v>
      </c>
      <c r="K299">
        <v>52.664363407576069</v>
      </c>
      <c r="L299">
        <f t="shared" si="27"/>
        <v>53.705211052225877</v>
      </c>
      <c r="M299" t="e">
        <f t="shared" si="25"/>
        <v>#N/A</v>
      </c>
      <c r="N299">
        <f t="shared" si="26"/>
        <v>13.705211052225877</v>
      </c>
      <c r="P299">
        <v>73.772983734467516</v>
      </c>
      <c r="Q299">
        <v>0</v>
      </c>
      <c r="R299">
        <v>176.22701626553248</v>
      </c>
    </row>
    <row r="300" spans="2:18" x14ac:dyDescent="0.25">
      <c r="B300">
        <v>66</v>
      </c>
      <c r="C300" t="str">
        <f t="shared" si="24"/>
        <v/>
      </c>
      <c r="D300">
        <v>81.455055721913254</v>
      </c>
      <c r="E300">
        <v>0</v>
      </c>
      <c r="F300">
        <v>168.54494427808675</v>
      </c>
      <c r="G300">
        <v>0</v>
      </c>
      <c r="H300">
        <v>0</v>
      </c>
      <c r="J300">
        <v>-50.736788947774158</v>
      </c>
      <c r="K300">
        <v>51.40003231788009</v>
      </c>
      <c r="L300">
        <f t="shared" si="27"/>
        <v>59.526422104451683</v>
      </c>
      <c r="M300" t="e">
        <f t="shared" si="25"/>
        <v>#N/A</v>
      </c>
      <c r="N300">
        <f t="shared" si="26"/>
        <v>19.526422104451683</v>
      </c>
      <c r="P300">
        <v>73.772983734467516</v>
      </c>
      <c r="Q300">
        <v>0</v>
      </c>
      <c r="R300">
        <v>176.22701626553248</v>
      </c>
    </row>
    <row r="301" spans="2:18" x14ac:dyDescent="0.25">
      <c r="B301">
        <v>66.5</v>
      </c>
      <c r="C301" t="str">
        <f t="shared" si="24"/>
        <v/>
      </c>
      <c r="D301">
        <v>81.455055721913254</v>
      </c>
      <c r="E301">
        <v>0</v>
      </c>
      <c r="F301">
        <v>168.54494427808675</v>
      </c>
      <c r="G301">
        <v>0</v>
      </c>
      <c r="H301">
        <v>0</v>
      </c>
      <c r="J301">
        <v>-47.826183421661256</v>
      </c>
      <c r="K301">
        <v>50.422039629483656</v>
      </c>
      <c r="L301">
        <f t="shared" si="27"/>
        <v>65.347633156677489</v>
      </c>
      <c r="M301" t="e">
        <f t="shared" si="25"/>
        <v>#N/A</v>
      </c>
      <c r="N301">
        <f t="shared" si="26"/>
        <v>25.347633156677489</v>
      </c>
      <c r="P301">
        <v>73.772983734467516</v>
      </c>
      <c r="Q301">
        <v>0</v>
      </c>
      <c r="R301">
        <v>176.22701626553248</v>
      </c>
    </row>
    <row r="302" spans="2:18" x14ac:dyDescent="0.25">
      <c r="B302">
        <v>67</v>
      </c>
      <c r="C302" t="str">
        <f t="shared" si="24"/>
        <v/>
      </c>
      <c r="D302">
        <v>81.455055721913254</v>
      </c>
      <c r="E302">
        <v>0</v>
      </c>
      <c r="F302">
        <v>168.54494427808675</v>
      </c>
      <c r="G302">
        <v>0</v>
      </c>
      <c r="H302">
        <v>0</v>
      </c>
      <c r="J302">
        <v>-44.915577895548353</v>
      </c>
      <c r="K302">
        <v>49.703056462019831</v>
      </c>
      <c r="L302">
        <f t="shared" si="27"/>
        <v>71.168844208903295</v>
      </c>
      <c r="M302" t="e">
        <f t="shared" si="25"/>
        <v>#N/A</v>
      </c>
      <c r="N302">
        <f t="shared" si="26"/>
        <v>31.168844208903295</v>
      </c>
      <c r="P302">
        <v>73.772983734467516</v>
      </c>
      <c r="Q302">
        <v>0</v>
      </c>
      <c r="R302">
        <v>176.22701626553248</v>
      </c>
    </row>
    <row r="303" spans="2:18" x14ac:dyDescent="0.25">
      <c r="B303">
        <v>67.5</v>
      </c>
      <c r="C303" t="str">
        <f t="shared" si="24"/>
        <v/>
      </c>
      <c r="D303">
        <v>81.455055721913254</v>
      </c>
      <c r="E303">
        <v>0</v>
      </c>
      <c r="F303">
        <v>168.54494427808675</v>
      </c>
      <c r="G303">
        <v>0</v>
      </c>
      <c r="H303">
        <v>0</v>
      </c>
      <c r="J303">
        <v>-42.00497236943545</v>
      </c>
      <c r="K303">
        <v>49.221145655561216</v>
      </c>
      <c r="L303">
        <f t="shared" si="27"/>
        <v>76.9900552611291</v>
      </c>
      <c r="M303" t="e">
        <f t="shared" si="25"/>
        <v>#N/A</v>
      </c>
      <c r="N303">
        <f t="shared" si="26"/>
        <v>36.9900552611291</v>
      </c>
      <c r="P303">
        <v>73.772983734467516</v>
      </c>
      <c r="Q303">
        <v>0</v>
      </c>
      <c r="R303">
        <v>176.22701626553248</v>
      </c>
    </row>
    <row r="304" spans="2:18" x14ac:dyDescent="0.25">
      <c r="B304">
        <v>68</v>
      </c>
      <c r="C304" t="str">
        <f t="shared" si="24"/>
        <v/>
      </c>
      <c r="D304">
        <v>81.455055721913254</v>
      </c>
      <c r="E304">
        <v>0</v>
      </c>
      <c r="F304">
        <v>168.54494427808675</v>
      </c>
      <c r="G304">
        <v>0</v>
      </c>
      <c r="H304">
        <v>0</v>
      </c>
      <c r="J304">
        <v>-39.094366843322547</v>
      </c>
      <c r="K304">
        <v>48.959101170097277</v>
      </c>
      <c r="L304">
        <f t="shared" si="27"/>
        <v>82.811266313354906</v>
      </c>
      <c r="M304" t="e">
        <f t="shared" si="25"/>
        <v>#N/A</v>
      </c>
      <c r="N304">
        <f t="shared" si="26"/>
        <v>42.811266313354906</v>
      </c>
      <c r="P304">
        <v>73.772983734467516</v>
      </c>
      <c r="Q304">
        <v>0</v>
      </c>
      <c r="R304">
        <v>176.22701626553248</v>
      </c>
    </row>
    <row r="305" spans="2:18" x14ac:dyDescent="0.25">
      <c r="B305">
        <v>68.5</v>
      </c>
      <c r="C305" t="str">
        <f t="shared" si="24"/>
        <v/>
      </c>
      <c r="D305">
        <v>81.455055721913254</v>
      </c>
      <c r="E305">
        <v>0</v>
      </c>
      <c r="F305">
        <v>168.54494427808675</v>
      </c>
      <c r="G305">
        <v>0</v>
      </c>
      <c r="H305">
        <v>0</v>
      </c>
      <c r="J305">
        <v>-36.183761317209644</v>
      </c>
      <c r="K305">
        <v>48.902828994722412</v>
      </c>
      <c r="L305">
        <f t="shared" si="27"/>
        <v>88.632477365580712</v>
      </c>
      <c r="M305" t="e">
        <f t="shared" si="25"/>
        <v>#N/A</v>
      </c>
      <c r="N305">
        <f t="shared" si="26"/>
        <v>48.632477365580712</v>
      </c>
      <c r="P305">
        <v>73.772983734467516</v>
      </c>
      <c r="Q305">
        <v>0</v>
      </c>
      <c r="R305">
        <v>176.22701626553248</v>
      </c>
    </row>
    <row r="306" spans="2:18" x14ac:dyDescent="0.25">
      <c r="B306">
        <v>69</v>
      </c>
      <c r="C306" t="str">
        <f t="shared" si="24"/>
        <v/>
      </c>
      <c r="D306">
        <v>81.455055721913254</v>
      </c>
      <c r="E306">
        <v>0</v>
      </c>
      <c r="F306">
        <v>168.54494427808675</v>
      </c>
      <c r="G306">
        <v>0</v>
      </c>
      <c r="H306">
        <v>0</v>
      </c>
      <c r="J306">
        <v>-33.273155791096741</v>
      </c>
      <c r="K306">
        <v>49.040237729303101</v>
      </c>
      <c r="L306">
        <f t="shared" si="27"/>
        <v>94.453688417806518</v>
      </c>
      <c r="M306" t="e">
        <f t="shared" si="25"/>
        <v>#N/A</v>
      </c>
      <c r="N306">
        <f t="shared" si="26"/>
        <v>54.453688417806518</v>
      </c>
      <c r="P306">
        <v>73.772983734467516</v>
      </c>
      <c r="Q306">
        <v>0</v>
      </c>
      <c r="R306">
        <v>176.22701626553248</v>
      </c>
    </row>
    <row r="307" spans="2:18" x14ac:dyDescent="0.25">
      <c r="B307">
        <v>69.5</v>
      </c>
      <c r="C307" t="str">
        <f t="shared" si="24"/>
        <v/>
      </c>
      <c r="D307">
        <v>81.455055721913254</v>
      </c>
      <c r="E307">
        <v>0</v>
      </c>
      <c r="F307">
        <v>168.54494427808675</v>
      </c>
      <c r="G307">
        <v>0</v>
      </c>
      <c r="H307">
        <v>0</v>
      </c>
      <c r="J307">
        <v>-30.362550264983838</v>
      </c>
      <c r="K307">
        <v>49.362146363389712</v>
      </c>
      <c r="L307">
        <f t="shared" si="27"/>
        <v>100.27489947003232</v>
      </c>
      <c r="M307" t="e">
        <f t="shared" si="25"/>
        <v>#N/A</v>
      </c>
      <c r="N307">
        <f t="shared" si="26"/>
        <v>60.274899470032324</v>
      </c>
      <c r="P307">
        <v>73.772983734467516</v>
      </c>
      <c r="Q307">
        <v>0</v>
      </c>
      <c r="R307">
        <v>176.22701626553248</v>
      </c>
    </row>
    <row r="308" spans="2:18" x14ac:dyDescent="0.25">
      <c r="B308">
        <v>70</v>
      </c>
      <c r="C308" t="str">
        <f t="shared" si="24"/>
        <v/>
      </c>
      <c r="D308">
        <v>81.455055721913254</v>
      </c>
      <c r="E308">
        <v>0</v>
      </c>
      <c r="F308">
        <v>168.54494427808675</v>
      </c>
      <c r="G308">
        <v>0</v>
      </c>
      <c r="H308">
        <v>0</v>
      </c>
      <c r="J308">
        <v>-27.451944738870935</v>
      </c>
      <c r="K308">
        <v>49.861173471192402</v>
      </c>
      <c r="L308">
        <f t="shared" si="27"/>
        <v>106.09611052225813</v>
      </c>
      <c r="M308" t="e">
        <f t="shared" si="25"/>
        <v>#N/A</v>
      </c>
      <c r="N308">
        <f t="shared" si="26"/>
        <v>66.09611052225813</v>
      </c>
      <c r="P308">
        <v>73.772983734467516</v>
      </c>
      <c r="Q308">
        <v>0</v>
      </c>
      <c r="R308">
        <v>176.22701626553248</v>
      </c>
    </row>
    <row r="309" spans="2:18" x14ac:dyDescent="0.25">
      <c r="B309">
        <v>70.5</v>
      </c>
      <c r="C309" t="str">
        <f t="shared" si="24"/>
        <v/>
      </c>
      <c r="D309">
        <v>81.455055721913254</v>
      </c>
      <c r="E309">
        <v>0</v>
      </c>
      <c r="F309">
        <v>168.54494427808675</v>
      </c>
      <c r="G309">
        <v>0</v>
      </c>
      <c r="H309">
        <v>0</v>
      </c>
      <c r="J309">
        <v>-24.541339212758032</v>
      </c>
      <c r="K309">
        <v>50.531397928398562</v>
      </c>
      <c r="L309">
        <f t="shared" si="27"/>
        <v>111.91732157448394</v>
      </c>
      <c r="M309" t="e">
        <f t="shared" si="25"/>
        <v>#N/A</v>
      </c>
      <c r="N309">
        <f t="shared" si="26"/>
        <v>71.917321574483935</v>
      </c>
      <c r="P309">
        <v>73.772983734467516</v>
      </c>
      <c r="Q309">
        <v>0</v>
      </c>
      <c r="R309">
        <v>176.22701626553248</v>
      </c>
    </row>
    <row r="310" spans="2:18" x14ac:dyDescent="0.25">
      <c r="B310">
        <v>71</v>
      </c>
      <c r="C310" t="str">
        <f t="shared" si="24"/>
        <v/>
      </c>
      <c r="D310">
        <v>81.455055721913254</v>
      </c>
      <c r="E310">
        <v>0</v>
      </c>
      <c r="F310">
        <v>168.54494427808675</v>
      </c>
      <c r="G310">
        <v>0</v>
      </c>
      <c r="H310">
        <v>0</v>
      </c>
      <c r="J310">
        <v>-21.630733686645129</v>
      </c>
      <c r="K310">
        <v>51.368765341961051</v>
      </c>
      <c r="L310">
        <f t="shared" si="27"/>
        <v>117.73853262670974</v>
      </c>
      <c r="M310" t="e">
        <f t="shared" si="25"/>
        <v>#N/A</v>
      </c>
      <c r="N310">
        <f t="shared" si="26"/>
        <v>77.738532626709741</v>
      </c>
      <c r="P310">
        <v>73.772983734467516</v>
      </c>
      <c r="Q310">
        <v>0</v>
      </c>
      <c r="R310">
        <v>176.22701626553248</v>
      </c>
    </row>
    <row r="311" spans="2:18" x14ac:dyDescent="0.25">
      <c r="B311">
        <v>71.5</v>
      </c>
      <c r="C311" t="str">
        <f t="shared" si="24"/>
        <v/>
      </c>
      <c r="D311">
        <v>81.455055721913254</v>
      </c>
      <c r="E311">
        <v>0</v>
      </c>
      <c r="F311">
        <v>168.54494427808675</v>
      </c>
      <c r="G311">
        <v>0</v>
      </c>
      <c r="H311">
        <v>0</v>
      </c>
      <c r="J311">
        <v>-18.720128160532227</v>
      </c>
      <c r="K311">
        <v>52.368889762331087</v>
      </c>
      <c r="L311">
        <f t="shared" si="27"/>
        <v>123.55974367893555</v>
      </c>
      <c r="M311">
        <f t="shared" si="25"/>
        <v>3.559743678935547</v>
      </c>
      <c r="N311">
        <f t="shared" si="26"/>
        <v>83.559743678935547</v>
      </c>
      <c r="P311">
        <v>73.772983734467516</v>
      </c>
      <c r="Q311">
        <v>0</v>
      </c>
      <c r="R311">
        <v>176.22701626553248</v>
      </c>
    </row>
    <row r="312" spans="2:18" x14ac:dyDescent="0.25">
      <c r="B312">
        <v>72</v>
      </c>
      <c r="C312" t="str">
        <f t="shared" si="24"/>
        <v/>
      </c>
      <c r="D312">
        <v>81.455055721913254</v>
      </c>
      <c r="E312">
        <v>0</v>
      </c>
      <c r="F312">
        <v>168.54494427808675</v>
      </c>
      <c r="G312">
        <v>0</v>
      </c>
      <c r="H312">
        <v>0</v>
      </c>
      <c r="J312">
        <v>-15.809522634419324</v>
      </c>
      <c r="K312">
        <v>53.528518650089161</v>
      </c>
      <c r="L312">
        <f t="shared" si="27"/>
        <v>129.38095473116135</v>
      </c>
      <c r="M312">
        <f t="shared" si="25"/>
        <v>9.3809547311613528</v>
      </c>
      <c r="N312">
        <f t="shared" si="26"/>
        <v>89.380954731161353</v>
      </c>
      <c r="P312">
        <v>73.772983734467516</v>
      </c>
      <c r="Q312">
        <v>0</v>
      </c>
      <c r="R312">
        <v>176.22701626553248</v>
      </c>
    </row>
    <row r="313" spans="2:18" x14ac:dyDescent="0.25">
      <c r="B313">
        <v>72.5</v>
      </c>
      <c r="C313" t="str">
        <f t="shared" si="24"/>
        <v/>
      </c>
      <c r="D313">
        <v>81.455055721913254</v>
      </c>
      <c r="E313">
        <v>0</v>
      </c>
      <c r="F313">
        <v>168.54494427808675</v>
      </c>
      <c r="G313">
        <v>0</v>
      </c>
      <c r="H313">
        <v>0</v>
      </c>
      <c r="J313">
        <v>-12.898917108306421</v>
      </c>
      <c r="K313">
        <v>54.845101014529511</v>
      </c>
      <c r="L313">
        <f t="shared" si="27"/>
        <v>135.20216578338716</v>
      </c>
      <c r="M313">
        <f t="shared" si="25"/>
        <v>15.202165783387159</v>
      </c>
      <c r="N313">
        <f t="shared" si="26"/>
        <v>95.202165783387159</v>
      </c>
      <c r="P313">
        <v>73.772983734467516</v>
      </c>
      <c r="Q313">
        <v>0</v>
      </c>
      <c r="R313">
        <v>176.22701626553248</v>
      </c>
    </row>
    <row r="314" spans="2:18" x14ac:dyDescent="0.25">
      <c r="B314">
        <v>73</v>
      </c>
      <c r="C314" t="str">
        <f t="shared" si="24"/>
        <v/>
      </c>
      <c r="D314">
        <v>81.455055721913254</v>
      </c>
      <c r="E314">
        <v>0</v>
      </c>
      <c r="F314">
        <v>168.54494427808675</v>
      </c>
      <c r="G314">
        <v>0</v>
      </c>
      <c r="H314">
        <v>0</v>
      </c>
      <c r="J314">
        <v>-9.9883115821935178</v>
      </c>
      <c r="K314">
        <v>56.316468002074117</v>
      </c>
      <c r="L314">
        <f t="shared" si="27"/>
        <v>141.02337683561296</v>
      </c>
      <c r="M314">
        <f t="shared" si="25"/>
        <v>21.023376835612964</v>
      </c>
      <c r="N314">
        <f t="shared" si="26"/>
        <v>101.02337683561296</v>
      </c>
      <c r="P314">
        <v>73.772983734467516</v>
      </c>
      <c r="Q314">
        <v>0</v>
      </c>
      <c r="R314">
        <v>176.22701626553248</v>
      </c>
    </row>
    <row r="315" spans="2:18" x14ac:dyDescent="0.25">
      <c r="B315">
        <v>73.5</v>
      </c>
      <c r="C315" t="str">
        <f t="shared" si="24"/>
        <v/>
      </c>
      <c r="D315">
        <v>81.455055721913254</v>
      </c>
      <c r="E315">
        <v>0</v>
      </c>
      <c r="F315">
        <v>168.54494427808675</v>
      </c>
      <c r="G315">
        <v>0</v>
      </c>
      <c r="H315">
        <v>0</v>
      </c>
      <c r="J315">
        <v>-7.0777060560806149</v>
      </c>
      <c r="K315">
        <v>57.940872900767133</v>
      </c>
      <c r="L315">
        <f t="shared" si="27"/>
        <v>146.84458788783877</v>
      </c>
      <c r="M315">
        <f t="shared" si="25"/>
        <v>26.84458788783877</v>
      </c>
      <c r="N315">
        <f t="shared" si="26"/>
        <v>106.84458788783877</v>
      </c>
      <c r="P315">
        <v>73.772983734467516</v>
      </c>
      <c r="Q315">
        <v>0</v>
      </c>
      <c r="R315">
        <v>176.22701626553248</v>
      </c>
    </row>
    <row r="316" spans="2:18" x14ac:dyDescent="0.25">
      <c r="B316">
        <v>74</v>
      </c>
      <c r="C316" t="str">
        <f t="shared" si="24"/>
        <v/>
      </c>
      <c r="D316">
        <v>81.455055721913254</v>
      </c>
      <c r="E316">
        <v>0</v>
      </c>
      <c r="F316">
        <v>168.54494427808675</v>
      </c>
      <c r="G316">
        <v>0</v>
      </c>
      <c r="H316">
        <v>0</v>
      </c>
      <c r="J316">
        <v>-4.167100529967712</v>
      </c>
      <c r="K316">
        <v>59.716932633410508</v>
      </c>
      <c r="L316">
        <f t="shared" si="27"/>
        <v>152.66579894006458</v>
      </c>
      <c r="M316">
        <f t="shared" si="25"/>
        <v>32.665798940064576</v>
      </c>
      <c r="N316">
        <f t="shared" si="26"/>
        <v>112.66579894006458</v>
      </c>
      <c r="P316">
        <v>73.772983734467516</v>
      </c>
      <c r="Q316">
        <v>0</v>
      </c>
      <c r="R316">
        <v>176.22701626553248</v>
      </c>
    </row>
    <row r="317" spans="2:18" x14ac:dyDescent="0.25">
      <c r="B317">
        <v>74.5</v>
      </c>
      <c r="C317" t="str">
        <f t="shared" si="24"/>
        <v/>
      </c>
      <c r="D317">
        <v>81.455055721913254</v>
      </c>
      <c r="E317">
        <v>0</v>
      </c>
      <c r="F317">
        <v>168.54494427808675</v>
      </c>
      <c r="G317">
        <v>0</v>
      </c>
      <c r="H317">
        <v>0</v>
      </c>
      <c r="J317">
        <v>-1.2564950038548091</v>
      </c>
      <c r="K317">
        <v>61.642103419846549</v>
      </c>
      <c r="L317">
        <f t="shared" si="27"/>
        <v>158.48700999229038</v>
      </c>
      <c r="M317">
        <f t="shared" si="25"/>
        <v>38.487009992290382</v>
      </c>
      <c r="N317">
        <f t="shared" si="26"/>
        <v>118.48700999229038</v>
      </c>
      <c r="P317">
        <v>73.772983734467516</v>
      </c>
      <c r="Q317">
        <v>0</v>
      </c>
      <c r="R317">
        <v>176.22701626553248</v>
      </c>
    </row>
    <row r="318" spans="2:18" x14ac:dyDescent="0.25">
      <c r="B318">
        <v>75</v>
      </c>
      <c r="C318" t="str">
        <f t="shared" si="24"/>
        <v/>
      </c>
      <c r="D318">
        <v>81.455055721913254</v>
      </c>
      <c r="E318">
        <v>0</v>
      </c>
      <c r="F318">
        <v>168.54494427808675</v>
      </c>
      <c r="G318">
        <v>0</v>
      </c>
      <c r="H318">
        <v>0</v>
      </c>
      <c r="J318">
        <v>1.6541105222580939</v>
      </c>
      <c r="K318">
        <v>63.71401451613437</v>
      </c>
      <c r="L318">
        <f t="shared" si="27"/>
        <v>164.30822104451619</v>
      </c>
      <c r="M318">
        <f t="shared" si="25"/>
        <v>44.308221044516188</v>
      </c>
      <c r="N318">
        <f t="shared" si="26"/>
        <v>124.30822104451619</v>
      </c>
      <c r="P318">
        <v>73.772983734467516</v>
      </c>
      <c r="Q318">
        <v>0</v>
      </c>
      <c r="R318">
        <v>176.22701626553248</v>
      </c>
    </row>
    <row r="319" spans="2:18" x14ac:dyDescent="0.25">
      <c r="B319">
        <v>75.5</v>
      </c>
      <c r="C319" t="str">
        <f t="shared" si="24"/>
        <v/>
      </c>
      <c r="D319">
        <v>81.455055721913254</v>
      </c>
      <c r="E319">
        <v>0</v>
      </c>
      <c r="F319">
        <v>168.54494427808675</v>
      </c>
      <c r="G319">
        <v>0</v>
      </c>
      <c r="H319">
        <v>0</v>
      </c>
      <c r="J319">
        <v>4.5647160483709968</v>
      </c>
      <c r="K319">
        <v>65.929211829067867</v>
      </c>
      <c r="L319">
        <f t="shared" si="27"/>
        <v>170.12943209674199</v>
      </c>
      <c r="M319">
        <f t="shared" si="25"/>
        <v>50.129432096741994</v>
      </c>
      <c r="N319">
        <f t="shared" si="26"/>
        <v>130.12943209674199</v>
      </c>
      <c r="P319">
        <v>73.772983734467516</v>
      </c>
      <c r="Q319">
        <v>0</v>
      </c>
      <c r="R319">
        <v>176.22701626553248</v>
      </c>
    </row>
    <row r="320" spans="2:18" x14ac:dyDescent="0.25">
      <c r="B320">
        <v>76</v>
      </c>
      <c r="C320" t="str">
        <f t="shared" si="24"/>
        <v/>
      </c>
      <c r="D320">
        <v>81.455055721913254</v>
      </c>
      <c r="E320">
        <v>0</v>
      </c>
      <c r="F320">
        <v>168.54494427808675</v>
      </c>
      <c r="G320">
        <v>0</v>
      </c>
      <c r="H320">
        <v>0</v>
      </c>
      <c r="J320">
        <v>7.4753215744838997</v>
      </c>
      <c r="K320">
        <v>68.282233623562746</v>
      </c>
      <c r="L320">
        <f t="shared" si="27"/>
        <v>175.9506431489678</v>
      </c>
      <c r="M320">
        <f t="shared" si="25"/>
        <v>55.950643148967799</v>
      </c>
      <c r="N320">
        <f t="shared" si="26"/>
        <v>135.9506431489678</v>
      </c>
      <c r="P320">
        <v>73.772983734467516</v>
      </c>
      <c r="Q320">
        <v>0</v>
      </c>
      <c r="R320">
        <v>176.22701626553248</v>
      </c>
    </row>
    <row r="321" spans="2:18" x14ac:dyDescent="0.25">
      <c r="B321">
        <v>76.5</v>
      </c>
      <c r="C321" t="str">
        <f t="shared" si="24"/>
        <v/>
      </c>
      <c r="D321">
        <v>81.455055721913254</v>
      </c>
      <c r="E321">
        <v>0</v>
      </c>
      <c r="F321">
        <v>168.54494427808675</v>
      </c>
      <c r="G321">
        <v>0</v>
      </c>
      <c r="H321">
        <v>0</v>
      </c>
      <c r="J321">
        <v>10.385927100596803</v>
      </c>
      <c r="K321">
        <v>70.764954852547746</v>
      </c>
      <c r="L321">
        <f t="shared" si="27"/>
        <v>181.77185420119361</v>
      </c>
      <c r="M321">
        <f t="shared" si="25"/>
        <v>61.771854201193605</v>
      </c>
      <c r="N321">
        <f t="shared" si="26"/>
        <v>141.77185420119361</v>
      </c>
      <c r="P321">
        <v>73.772983734467516</v>
      </c>
      <c r="Q321">
        <v>0</v>
      </c>
      <c r="R321">
        <v>176.22701626553248</v>
      </c>
    </row>
    <row r="322" spans="2:18" x14ac:dyDescent="0.25">
      <c r="B322">
        <v>77</v>
      </c>
      <c r="C322" t="str">
        <f t="shared" si="24"/>
        <v/>
      </c>
      <c r="D322">
        <v>81.455055721913254</v>
      </c>
      <c r="E322">
        <v>0</v>
      </c>
      <c r="F322">
        <v>168.54494427808675</v>
      </c>
      <c r="G322">
        <v>0</v>
      </c>
      <c r="H322">
        <v>0</v>
      </c>
      <c r="J322">
        <v>13.296532626709705</v>
      </c>
      <c r="K322">
        <v>73.364513310303693</v>
      </c>
      <c r="L322">
        <f t="shared" si="27"/>
        <v>187.59306525341941</v>
      </c>
      <c r="M322">
        <f t="shared" si="25"/>
        <v>67.593065253419411</v>
      </c>
      <c r="N322">
        <f t="shared" si="26"/>
        <v>147.59306525341941</v>
      </c>
      <c r="P322">
        <v>73.772983734467516</v>
      </c>
      <c r="Q322">
        <v>0</v>
      </c>
      <c r="R322">
        <v>176.22701626553248</v>
      </c>
    </row>
    <row r="323" spans="2:18" x14ac:dyDescent="0.25">
      <c r="B323">
        <v>77.5</v>
      </c>
      <c r="C323" t="str">
        <f t="shared" si="24"/>
        <v/>
      </c>
      <c r="D323">
        <v>81.455055721913254</v>
      </c>
      <c r="E323">
        <v>0</v>
      </c>
      <c r="F323">
        <v>168.54494427808675</v>
      </c>
      <c r="G323">
        <v>0</v>
      </c>
      <c r="H323">
        <v>0</v>
      </c>
      <c r="J323">
        <v>16.207138152822608</v>
      </c>
      <c r="K323">
        <v>76.061587611447692</v>
      </c>
      <c r="L323">
        <f t="shared" si="27"/>
        <v>193.41427630564522</v>
      </c>
      <c r="M323">
        <f t="shared" si="25"/>
        <v>73.414276305645217</v>
      </c>
      <c r="N323">
        <f t="shared" si="26"/>
        <v>153.41427630564522</v>
      </c>
      <c r="P323">
        <v>73.772983734467516</v>
      </c>
      <c r="Q323">
        <v>0</v>
      </c>
      <c r="R323">
        <v>176.22701626553248</v>
      </c>
    </row>
    <row r="324" spans="2:18" x14ac:dyDescent="0.25">
      <c r="B324">
        <v>78</v>
      </c>
      <c r="C324" t="str">
        <f t="shared" si="24"/>
        <v/>
      </c>
      <c r="D324">
        <v>81.455055721913254</v>
      </c>
      <c r="E324">
        <v>0</v>
      </c>
      <c r="F324">
        <v>168.54494427808675</v>
      </c>
      <c r="G324">
        <v>0</v>
      </c>
      <c r="H324">
        <v>0</v>
      </c>
      <c r="J324">
        <v>19.117743678935511</v>
      </c>
      <c r="K324">
        <v>78.81922862244744</v>
      </c>
      <c r="L324">
        <f t="shared" si="27"/>
        <v>199.23548735787102</v>
      </c>
      <c r="M324">
        <f t="shared" si="25"/>
        <v>79.235487357871023</v>
      </c>
      <c r="N324">
        <f t="shared" si="26"/>
        <v>159.23548735787102</v>
      </c>
      <c r="P324">
        <v>73.772983734467516</v>
      </c>
      <c r="Q324">
        <v>0</v>
      </c>
      <c r="R324">
        <v>176.22701626553248</v>
      </c>
    </row>
    <row r="325" spans="2:18" x14ac:dyDescent="0.25">
      <c r="B325">
        <v>78.5</v>
      </c>
      <c r="C325" t="str">
        <f t="shared" si="24"/>
        <v/>
      </c>
      <c r="D325">
        <v>81.455055721913254</v>
      </c>
      <c r="E325">
        <v>0</v>
      </c>
      <c r="F325">
        <v>168.54494427808675</v>
      </c>
      <c r="G325">
        <v>0</v>
      </c>
      <c r="H325">
        <v>0</v>
      </c>
      <c r="J325">
        <v>22.028349205048414</v>
      </c>
      <c r="K325">
        <v>81.507379398410805</v>
      </c>
      <c r="L325">
        <f t="shared" si="27"/>
        <v>205.05669841009683</v>
      </c>
      <c r="M325">
        <f t="shared" si="25"/>
        <v>85.056698410096828</v>
      </c>
      <c r="N325">
        <f t="shared" si="26"/>
        <v>165.05669841009683</v>
      </c>
      <c r="P325">
        <v>73.772983734467516</v>
      </c>
      <c r="Q325">
        <v>0</v>
      </c>
      <c r="R325">
        <v>176.22701626553248</v>
      </c>
    </row>
    <row r="326" spans="2:18" x14ac:dyDescent="0.25">
      <c r="B326">
        <v>79</v>
      </c>
      <c r="C326" t="str">
        <f t="shared" si="24"/>
        <v/>
      </c>
      <c r="D326">
        <v>81.455055721913254</v>
      </c>
      <c r="E326">
        <v>0</v>
      </c>
      <c r="F326">
        <v>168.54494427808675</v>
      </c>
      <c r="G326">
        <v>0</v>
      </c>
      <c r="H326">
        <v>0</v>
      </c>
      <c r="J326">
        <v>24.938954731161317</v>
      </c>
      <c r="K326">
        <v>84.006386183492225</v>
      </c>
      <c r="L326">
        <f t="shared" si="27"/>
        <v>210.87790946232263</v>
      </c>
      <c r="M326">
        <f t="shared" si="25"/>
        <v>90.877909462322634</v>
      </c>
      <c r="N326">
        <f t="shared" si="26"/>
        <v>170.87790946232263</v>
      </c>
      <c r="P326">
        <v>73.772983734467516</v>
      </c>
      <c r="Q326">
        <v>0</v>
      </c>
      <c r="R326">
        <v>176.22701626553248</v>
      </c>
    </row>
    <row r="327" spans="2:18" x14ac:dyDescent="0.25">
      <c r="B327">
        <v>79.5</v>
      </c>
      <c r="C327" t="str">
        <f t="shared" si="24"/>
        <v/>
      </c>
      <c r="D327">
        <v>81.455055721913254</v>
      </c>
      <c r="E327">
        <v>0</v>
      </c>
      <c r="F327">
        <v>168.54494427808675</v>
      </c>
      <c r="G327">
        <v>0</v>
      </c>
      <c r="H327">
        <v>0</v>
      </c>
      <c r="J327">
        <v>27.84956025727422</v>
      </c>
      <c r="K327">
        <v>84.685344406773822</v>
      </c>
      <c r="L327">
        <f t="shared" si="27"/>
        <v>216.69912051454844</v>
      </c>
      <c r="M327">
        <f t="shared" si="25"/>
        <v>96.69912051454844</v>
      </c>
      <c r="N327">
        <f t="shared" si="26"/>
        <v>176.69912051454844</v>
      </c>
      <c r="P327">
        <v>73.772983734467516</v>
      </c>
      <c r="Q327">
        <v>0</v>
      </c>
      <c r="R327">
        <v>176.22701626553248</v>
      </c>
    </row>
    <row r="328" spans="2:18" x14ac:dyDescent="0.25">
      <c r="B328">
        <v>80</v>
      </c>
      <c r="C328" t="str">
        <f t="shared" ref="C328:C368" si="28">IF(MOD(B328,20)=0,TEXT(B328,"0"),"")</f>
        <v>80</v>
      </c>
      <c r="D328">
        <v>81.455055721913254</v>
      </c>
      <c r="E328">
        <v>0</v>
      </c>
      <c r="F328">
        <v>168.54494427808675</v>
      </c>
      <c r="G328">
        <v>0</v>
      </c>
      <c r="H328">
        <v>0</v>
      </c>
      <c r="M328" t="str">
        <f t="shared" ref="M328:M391" si="29">IF(J328="","",IF(J328&lt;Zoom_Tmin,NA(),(J328-Zoom_Tmin)/Diagramm_dT+1))</f>
        <v/>
      </c>
      <c r="N328" t="str">
        <f t="shared" ref="N328:N391" si="30">IF(J328="","",IF(J328&lt;Zoom2_Tmin,NA(),(J328-Zoom2_Tmin)/Diagramm_dT+1))</f>
        <v/>
      </c>
      <c r="P328">
        <v>73.772983734467516</v>
      </c>
      <c r="Q328">
        <v>0</v>
      </c>
      <c r="R328">
        <v>176.22701626553248</v>
      </c>
    </row>
    <row r="329" spans="2:18" x14ac:dyDescent="0.25">
      <c r="B329">
        <v>80.5</v>
      </c>
      <c r="C329" t="str">
        <f t="shared" si="28"/>
        <v/>
      </c>
      <c r="D329">
        <v>81.455055721913254</v>
      </c>
      <c r="E329">
        <v>0</v>
      </c>
      <c r="F329">
        <v>168.54494427808675</v>
      </c>
      <c r="G329">
        <v>0</v>
      </c>
      <c r="H329">
        <v>0</v>
      </c>
      <c r="I329" s="10" t="s">
        <v>365</v>
      </c>
      <c r="J329">
        <v>-56.557999999999964</v>
      </c>
      <c r="K329">
        <v>2.4780051259929632</v>
      </c>
      <c r="L329">
        <f t="shared" ref="L329:L358" si="31">(J329-Diagramm_Tmin)/Diagramm_dT+1</f>
        <v>47.884000000000071</v>
      </c>
      <c r="M329" t="e">
        <f t="shared" si="29"/>
        <v>#N/A</v>
      </c>
      <c r="N329">
        <f t="shared" si="30"/>
        <v>7.8840000000000714</v>
      </c>
      <c r="P329">
        <v>73.772983734467516</v>
      </c>
      <c r="Q329">
        <v>0</v>
      </c>
      <c r="R329">
        <v>176.22701626553248</v>
      </c>
    </row>
    <row r="330" spans="2:18" x14ac:dyDescent="0.25">
      <c r="B330">
        <v>81</v>
      </c>
      <c r="C330" t="str">
        <f t="shared" si="28"/>
        <v/>
      </c>
      <c r="D330">
        <v>81.455055721913254</v>
      </c>
      <c r="E330">
        <v>0</v>
      </c>
      <c r="F330">
        <v>168.54494427808675</v>
      </c>
      <c r="G330">
        <v>0</v>
      </c>
      <c r="H330">
        <v>0</v>
      </c>
      <c r="J330">
        <v>-53.638988815513187</v>
      </c>
      <c r="K330">
        <v>3.2104599332675336</v>
      </c>
      <c r="L330">
        <f t="shared" si="31"/>
        <v>53.722022368973626</v>
      </c>
      <c r="M330" t="e">
        <f t="shared" si="29"/>
        <v>#N/A</v>
      </c>
      <c r="N330">
        <f t="shared" si="30"/>
        <v>13.722022368973626</v>
      </c>
      <c r="P330">
        <v>73.772983734467516</v>
      </c>
      <c r="Q330">
        <v>0</v>
      </c>
      <c r="R330">
        <v>176.22701626553248</v>
      </c>
    </row>
    <row r="331" spans="2:18" x14ac:dyDescent="0.25">
      <c r="B331">
        <v>81.5</v>
      </c>
      <c r="C331" t="str">
        <f t="shared" si="28"/>
        <v/>
      </c>
      <c r="D331">
        <v>81.455055721913254</v>
      </c>
      <c r="E331">
        <v>0</v>
      </c>
      <c r="F331">
        <v>168.54494427808675</v>
      </c>
      <c r="G331">
        <v>0</v>
      </c>
      <c r="H331">
        <v>0</v>
      </c>
      <c r="J331">
        <v>-50.71997763102641</v>
      </c>
      <c r="K331">
        <v>4.0147345983788778</v>
      </c>
      <c r="L331">
        <f t="shared" si="31"/>
        <v>59.56004473794718</v>
      </c>
      <c r="M331" t="e">
        <f t="shared" si="29"/>
        <v>#N/A</v>
      </c>
      <c r="N331">
        <f t="shared" si="30"/>
        <v>19.56004473794718</v>
      </c>
      <c r="P331">
        <v>73.772983734467516</v>
      </c>
      <c r="Q331">
        <v>0</v>
      </c>
      <c r="R331">
        <v>176.22701626553248</v>
      </c>
    </row>
    <row r="332" spans="2:18" x14ac:dyDescent="0.25">
      <c r="B332">
        <v>82</v>
      </c>
      <c r="C332" t="str">
        <f t="shared" si="28"/>
        <v/>
      </c>
      <c r="D332">
        <v>81.455055721913254</v>
      </c>
      <c r="E332">
        <v>0</v>
      </c>
      <c r="F332">
        <v>168.54494427808675</v>
      </c>
      <c r="G332">
        <v>0</v>
      </c>
      <c r="H332">
        <v>0</v>
      </c>
      <c r="J332">
        <v>-47.80096644653964</v>
      </c>
      <c r="K332">
        <v>4.8949818046756448</v>
      </c>
      <c r="L332">
        <f t="shared" si="31"/>
        <v>65.39806710692072</v>
      </c>
      <c r="M332" t="e">
        <f t="shared" si="29"/>
        <v>#N/A</v>
      </c>
      <c r="N332">
        <f t="shared" si="30"/>
        <v>25.39806710692072</v>
      </c>
      <c r="P332">
        <v>73.772983734467516</v>
      </c>
      <c r="Q332">
        <v>0</v>
      </c>
      <c r="R332">
        <v>176.22701626553248</v>
      </c>
    </row>
    <row r="333" spans="2:18" x14ac:dyDescent="0.25">
      <c r="B333">
        <v>82.5</v>
      </c>
      <c r="C333" t="str">
        <f t="shared" si="28"/>
        <v/>
      </c>
      <c r="D333">
        <v>81.455055721913254</v>
      </c>
      <c r="E333">
        <v>0</v>
      </c>
      <c r="F333">
        <v>168.54494427808675</v>
      </c>
      <c r="G333">
        <v>0</v>
      </c>
      <c r="H333">
        <v>0</v>
      </c>
      <c r="J333">
        <v>-44.881955262052863</v>
      </c>
      <c r="K333">
        <v>5.8564245962950601</v>
      </c>
      <c r="L333">
        <f t="shared" si="31"/>
        <v>71.236089475894275</v>
      </c>
      <c r="M333" t="e">
        <f t="shared" si="29"/>
        <v>#N/A</v>
      </c>
      <c r="N333">
        <f t="shared" si="30"/>
        <v>31.236089475894275</v>
      </c>
      <c r="P333">
        <v>73.772983734467516</v>
      </c>
      <c r="Q333">
        <v>0</v>
      </c>
      <c r="R333">
        <v>176.22701626553248</v>
      </c>
    </row>
    <row r="334" spans="2:18" x14ac:dyDescent="0.25">
      <c r="B334">
        <v>83</v>
      </c>
      <c r="C334" t="str">
        <f t="shared" si="28"/>
        <v/>
      </c>
      <c r="D334">
        <v>81.455055721913254</v>
      </c>
      <c r="E334">
        <v>0</v>
      </c>
      <c r="F334">
        <v>168.54494427808675</v>
      </c>
      <c r="G334">
        <v>0</v>
      </c>
      <c r="H334">
        <v>0</v>
      </c>
      <c r="J334">
        <v>-41.962944077566085</v>
      </c>
      <c r="K334">
        <v>6.9029427794701999</v>
      </c>
      <c r="L334">
        <f t="shared" si="31"/>
        <v>77.074111844867829</v>
      </c>
      <c r="M334" t="e">
        <f t="shared" si="29"/>
        <v>#N/A</v>
      </c>
      <c r="N334">
        <f t="shared" si="30"/>
        <v>37.074111844867829</v>
      </c>
      <c r="P334">
        <v>73.772983734467516</v>
      </c>
      <c r="Q334">
        <v>0</v>
      </c>
      <c r="R334">
        <v>176.22701626553248</v>
      </c>
    </row>
    <row r="335" spans="2:18" x14ac:dyDescent="0.25">
      <c r="B335">
        <v>83.5</v>
      </c>
      <c r="C335" t="str">
        <f t="shared" si="28"/>
        <v/>
      </c>
      <c r="D335">
        <v>81.455055721913254</v>
      </c>
      <c r="E335">
        <v>0</v>
      </c>
      <c r="F335">
        <v>168.54494427808675</v>
      </c>
      <c r="G335">
        <v>0</v>
      </c>
      <c r="H335">
        <v>0</v>
      </c>
      <c r="J335">
        <v>-39.043932893079315</v>
      </c>
      <c r="K335">
        <v>8.0394947701484778</v>
      </c>
      <c r="L335">
        <f t="shared" si="31"/>
        <v>82.91213421384137</v>
      </c>
      <c r="M335" t="e">
        <f t="shared" si="29"/>
        <v>#N/A</v>
      </c>
      <c r="N335">
        <f t="shared" si="30"/>
        <v>42.91213421384137</v>
      </c>
      <c r="P335">
        <v>73.772983734467516</v>
      </c>
      <c r="Q335">
        <v>0</v>
      </c>
      <c r="R335">
        <v>176.22701626553248</v>
      </c>
    </row>
    <row r="336" spans="2:18" x14ac:dyDescent="0.25">
      <c r="B336">
        <v>84</v>
      </c>
      <c r="C336" t="str">
        <f t="shared" si="28"/>
        <v/>
      </c>
      <c r="D336">
        <v>81.455055721913254</v>
      </c>
      <c r="E336">
        <v>0</v>
      </c>
      <c r="F336">
        <v>168.54494427808675</v>
      </c>
      <c r="G336">
        <v>0</v>
      </c>
      <c r="H336">
        <v>0</v>
      </c>
      <c r="J336">
        <v>-36.124921708592538</v>
      </c>
      <c r="K336">
        <v>9.2713091561138921</v>
      </c>
      <c r="L336">
        <f t="shared" si="31"/>
        <v>88.750156582814924</v>
      </c>
      <c r="M336" t="e">
        <f t="shared" si="29"/>
        <v>#N/A</v>
      </c>
      <c r="N336">
        <f t="shared" si="30"/>
        <v>48.750156582814924</v>
      </c>
      <c r="P336">
        <v>73.772983734467516</v>
      </c>
      <c r="Q336">
        <v>0</v>
      </c>
      <c r="R336">
        <v>176.22701626553248</v>
      </c>
    </row>
    <row r="337" spans="2:18" x14ac:dyDescent="0.25">
      <c r="B337">
        <v>84.5</v>
      </c>
      <c r="C337" t="str">
        <f t="shared" si="28"/>
        <v/>
      </c>
      <c r="D337">
        <v>81.455055721913254</v>
      </c>
      <c r="E337">
        <v>0</v>
      </c>
      <c r="F337">
        <v>168.54494427808675</v>
      </c>
      <c r="G337">
        <v>0</v>
      </c>
      <c r="H337">
        <v>0</v>
      </c>
      <c r="J337">
        <v>-33.205910524105761</v>
      </c>
      <c r="K337">
        <v>10.603085389059821</v>
      </c>
      <c r="L337">
        <f t="shared" si="31"/>
        <v>94.588178951788478</v>
      </c>
      <c r="M337" t="e">
        <f t="shared" si="29"/>
        <v>#N/A</v>
      </c>
      <c r="N337">
        <f t="shared" si="30"/>
        <v>54.588178951788478</v>
      </c>
      <c r="P337">
        <v>73.772983734467516</v>
      </c>
      <c r="Q337">
        <v>0</v>
      </c>
      <c r="R337">
        <v>176.22701626553248</v>
      </c>
    </row>
    <row r="338" spans="2:18" x14ac:dyDescent="0.25">
      <c r="B338">
        <v>85</v>
      </c>
      <c r="C338" t="str">
        <f t="shared" si="28"/>
        <v/>
      </c>
      <c r="D338">
        <v>81.455055721913254</v>
      </c>
      <c r="E338">
        <v>0</v>
      </c>
      <c r="F338">
        <v>168.54494427808675</v>
      </c>
      <c r="G338">
        <v>0</v>
      </c>
      <c r="H338">
        <v>0</v>
      </c>
      <c r="J338">
        <v>-30.286899339618984</v>
      </c>
      <c r="K338">
        <v>12.039852172418426</v>
      </c>
      <c r="L338">
        <f t="shared" si="31"/>
        <v>100.42620132076203</v>
      </c>
      <c r="M338" t="e">
        <f t="shared" si="29"/>
        <v>#N/A</v>
      </c>
      <c r="N338">
        <f t="shared" si="30"/>
        <v>60.426201320762033</v>
      </c>
      <c r="P338">
        <v>73.772983734467516</v>
      </c>
      <c r="Q338">
        <v>0</v>
      </c>
      <c r="R338">
        <v>176.22701626553248</v>
      </c>
    </row>
    <row r="339" spans="2:18" x14ac:dyDescent="0.25">
      <c r="B339">
        <v>85.5</v>
      </c>
      <c r="C339" t="str">
        <f t="shared" si="28"/>
        <v/>
      </c>
      <c r="D339">
        <v>81.455055721913254</v>
      </c>
      <c r="E339">
        <v>0</v>
      </c>
      <c r="F339">
        <v>168.54494427808675</v>
      </c>
      <c r="G339">
        <v>0</v>
      </c>
      <c r="H339">
        <v>0</v>
      </c>
      <c r="J339">
        <v>-27.36788815513221</v>
      </c>
      <c r="K339">
        <v>13.586873765952987</v>
      </c>
      <c r="L339">
        <f t="shared" si="31"/>
        <v>106.26422368973559</v>
      </c>
      <c r="M339" t="e">
        <f t="shared" si="29"/>
        <v>#N/A</v>
      </c>
      <c r="N339">
        <f t="shared" si="30"/>
        <v>66.264223689735587</v>
      </c>
      <c r="P339">
        <v>73.772983734467516</v>
      </c>
      <c r="Q339">
        <v>0</v>
      </c>
      <c r="R339">
        <v>176.22701626553248</v>
      </c>
    </row>
    <row r="340" spans="2:18" x14ac:dyDescent="0.25">
      <c r="B340">
        <v>86</v>
      </c>
      <c r="C340" t="str">
        <f t="shared" si="28"/>
        <v/>
      </c>
      <c r="D340">
        <v>81.455055721913254</v>
      </c>
      <c r="E340">
        <v>0</v>
      </c>
      <c r="F340">
        <v>168.54494427808675</v>
      </c>
      <c r="G340">
        <v>0</v>
      </c>
      <c r="H340">
        <v>0</v>
      </c>
      <c r="J340">
        <v>-24.448876970645436</v>
      </c>
      <c r="K340">
        <v>15.249592936904534</v>
      </c>
      <c r="L340">
        <f t="shared" si="31"/>
        <v>112.10224605870913</v>
      </c>
      <c r="M340" t="e">
        <f t="shared" si="29"/>
        <v>#N/A</v>
      </c>
      <c r="N340">
        <f t="shared" si="30"/>
        <v>72.102246058709127</v>
      </c>
      <c r="P340">
        <v>73.772983734467516</v>
      </c>
      <c r="Q340">
        <v>0</v>
      </c>
      <c r="R340">
        <v>176.22701626553248</v>
      </c>
    </row>
    <row r="341" spans="2:18" x14ac:dyDescent="0.25">
      <c r="B341">
        <v>86.5</v>
      </c>
      <c r="C341" t="str">
        <f t="shared" si="28"/>
        <v/>
      </c>
      <c r="D341">
        <v>81.455055721913254</v>
      </c>
      <c r="E341">
        <v>0</v>
      </c>
      <c r="F341">
        <v>168.54494427808675</v>
      </c>
      <c r="G341">
        <v>0</v>
      </c>
      <c r="H341">
        <v>0</v>
      </c>
      <c r="J341">
        <v>-21.529865786158659</v>
      </c>
      <c r="K341">
        <v>17.033658727159636</v>
      </c>
      <c r="L341">
        <f t="shared" si="31"/>
        <v>117.94026842768268</v>
      </c>
      <c r="M341" t="e">
        <f t="shared" si="29"/>
        <v>#N/A</v>
      </c>
      <c r="N341">
        <f t="shared" si="30"/>
        <v>77.940268427682682</v>
      </c>
      <c r="P341">
        <v>73.772983734467516</v>
      </c>
      <c r="Q341">
        <v>0</v>
      </c>
      <c r="R341">
        <v>176.22701626553248</v>
      </c>
    </row>
    <row r="342" spans="2:18" x14ac:dyDescent="0.25">
      <c r="B342">
        <v>87</v>
      </c>
      <c r="C342" t="str">
        <f t="shared" si="28"/>
        <v/>
      </c>
      <c r="D342">
        <v>81.455055721913254</v>
      </c>
      <c r="E342">
        <v>0</v>
      </c>
      <c r="F342">
        <v>168.54494427808675</v>
      </c>
      <c r="G342">
        <v>0</v>
      </c>
      <c r="H342">
        <v>0</v>
      </c>
      <c r="J342">
        <v>-18.610854601671882</v>
      </c>
      <c r="K342">
        <v>18.945376817165933</v>
      </c>
      <c r="L342">
        <f t="shared" si="31"/>
        <v>123.77829079665624</v>
      </c>
      <c r="M342">
        <f t="shared" si="29"/>
        <v>3.7782907966562362</v>
      </c>
      <c r="N342">
        <f t="shared" si="30"/>
        <v>83.778290796656236</v>
      </c>
      <c r="P342">
        <v>73.772983734467516</v>
      </c>
      <c r="Q342">
        <v>0</v>
      </c>
      <c r="R342">
        <v>176.22701626553248</v>
      </c>
    </row>
    <row r="343" spans="2:18" x14ac:dyDescent="0.25">
      <c r="B343">
        <v>87.5</v>
      </c>
      <c r="C343" t="str">
        <f t="shared" si="28"/>
        <v/>
      </c>
      <c r="D343">
        <v>81.455055721913254</v>
      </c>
      <c r="E343">
        <v>0</v>
      </c>
      <c r="F343">
        <v>168.54494427808675</v>
      </c>
      <c r="G343">
        <v>0</v>
      </c>
      <c r="H343">
        <v>0</v>
      </c>
      <c r="J343">
        <v>-15.691843417185112</v>
      </c>
      <c r="K343">
        <v>20.990785665133657</v>
      </c>
      <c r="L343">
        <f t="shared" si="31"/>
        <v>129.61631316562978</v>
      </c>
      <c r="M343">
        <f t="shared" si="29"/>
        <v>9.6163131656297764</v>
      </c>
      <c r="N343">
        <f t="shared" si="30"/>
        <v>89.616313165629776</v>
      </c>
      <c r="P343">
        <v>73.772983734467516</v>
      </c>
      <c r="Q343">
        <v>0</v>
      </c>
      <c r="R343">
        <v>176.22701626553248</v>
      </c>
    </row>
    <row r="344" spans="2:18" x14ac:dyDescent="0.25">
      <c r="B344">
        <v>88</v>
      </c>
      <c r="C344" t="str">
        <f t="shared" si="28"/>
        <v/>
      </c>
      <c r="D344">
        <v>81.455055721913254</v>
      </c>
      <c r="E344">
        <v>0</v>
      </c>
      <c r="F344">
        <v>168.54494427808675</v>
      </c>
      <c r="G344">
        <v>0</v>
      </c>
      <c r="H344">
        <v>0</v>
      </c>
      <c r="J344">
        <v>-12.772832232698335</v>
      </c>
      <c r="K344">
        <v>23.176208762572006</v>
      </c>
      <c r="L344">
        <f t="shared" si="31"/>
        <v>135.45433553460333</v>
      </c>
      <c r="M344">
        <f t="shared" si="29"/>
        <v>15.454335534603331</v>
      </c>
      <c r="N344">
        <f t="shared" si="30"/>
        <v>95.454335534603331</v>
      </c>
      <c r="P344">
        <v>73.772983734467516</v>
      </c>
      <c r="Q344">
        <v>0</v>
      </c>
      <c r="R344">
        <v>176.22701626553248</v>
      </c>
    </row>
    <row r="345" spans="2:18" x14ac:dyDescent="0.25">
      <c r="B345">
        <v>88.5</v>
      </c>
      <c r="C345" t="str">
        <f t="shared" si="28"/>
        <v/>
      </c>
      <c r="D345">
        <v>81.455055721913254</v>
      </c>
      <c r="E345">
        <v>0</v>
      </c>
      <c r="F345">
        <v>168.54494427808675</v>
      </c>
      <c r="G345">
        <v>0</v>
      </c>
      <c r="H345">
        <v>0</v>
      </c>
      <c r="J345">
        <v>-9.8538210482115574</v>
      </c>
      <c r="K345">
        <v>25.508607393240041</v>
      </c>
      <c r="L345">
        <f t="shared" si="31"/>
        <v>141.29235790357689</v>
      </c>
      <c r="M345">
        <f t="shared" si="29"/>
        <v>21.292357903576885</v>
      </c>
      <c r="N345">
        <f t="shared" si="30"/>
        <v>101.29235790357689</v>
      </c>
      <c r="P345">
        <v>73.772983734467516</v>
      </c>
      <c r="Q345">
        <v>0</v>
      </c>
      <c r="R345">
        <v>176.22701626553248</v>
      </c>
    </row>
    <row r="346" spans="2:18" x14ac:dyDescent="0.25">
      <c r="B346">
        <v>89</v>
      </c>
      <c r="C346" t="str">
        <f t="shared" si="28"/>
        <v/>
      </c>
      <c r="D346">
        <v>81.455055721913254</v>
      </c>
      <c r="E346">
        <v>0</v>
      </c>
      <c r="F346">
        <v>168.54494427808675</v>
      </c>
      <c r="G346">
        <v>0</v>
      </c>
      <c r="H346">
        <v>0</v>
      </c>
      <c r="J346">
        <v>-6.9348098637247801</v>
      </c>
      <c r="K346">
        <v>27.995474228307575</v>
      </c>
      <c r="L346">
        <f t="shared" si="31"/>
        <v>147.13038027255044</v>
      </c>
      <c r="M346">
        <f t="shared" si="29"/>
        <v>27.13038027255044</v>
      </c>
      <c r="N346">
        <f t="shared" si="30"/>
        <v>107.13038027255044</v>
      </c>
      <c r="P346">
        <v>73.772983734467516</v>
      </c>
      <c r="Q346">
        <v>0</v>
      </c>
      <c r="R346">
        <v>176.22701626553248</v>
      </c>
    </row>
    <row r="347" spans="2:18" x14ac:dyDescent="0.25">
      <c r="B347">
        <v>89.5</v>
      </c>
      <c r="C347" t="str">
        <f t="shared" si="28"/>
        <v/>
      </c>
      <c r="D347">
        <v>81.455055721913254</v>
      </c>
      <c r="E347">
        <v>0</v>
      </c>
      <c r="F347">
        <v>168.54494427808675</v>
      </c>
      <c r="G347">
        <v>0</v>
      </c>
      <c r="H347">
        <v>0</v>
      </c>
      <c r="J347">
        <v>-4.0157986792380029</v>
      </c>
      <c r="K347">
        <v>30.644973518769611</v>
      </c>
      <c r="L347">
        <f t="shared" si="31"/>
        <v>152.96840264152399</v>
      </c>
      <c r="M347">
        <f t="shared" si="29"/>
        <v>32.968402641523994</v>
      </c>
      <c r="N347">
        <f t="shared" si="30"/>
        <v>112.96840264152399</v>
      </c>
      <c r="P347">
        <v>73.772983734467516</v>
      </c>
      <c r="Q347">
        <v>0</v>
      </c>
      <c r="R347">
        <v>176.22701626553248</v>
      </c>
    </row>
    <row r="348" spans="2:18" x14ac:dyDescent="0.25">
      <c r="B348">
        <v>90</v>
      </c>
      <c r="C348" t="str">
        <f t="shared" si="28"/>
        <v/>
      </c>
      <c r="D348">
        <v>81.455055721913254</v>
      </c>
      <c r="E348">
        <v>0</v>
      </c>
      <c r="F348">
        <v>168.54494427808675</v>
      </c>
      <c r="G348">
        <v>0</v>
      </c>
      <c r="H348">
        <v>0</v>
      </c>
      <c r="J348">
        <v>-1.0967874947512328</v>
      </c>
      <c r="K348">
        <v>33.466550208449242</v>
      </c>
      <c r="L348">
        <f t="shared" si="31"/>
        <v>158.80642501049755</v>
      </c>
      <c r="M348">
        <f t="shared" si="29"/>
        <v>38.806425010497534</v>
      </c>
      <c r="N348">
        <f t="shared" si="30"/>
        <v>118.80642501049753</v>
      </c>
      <c r="P348">
        <v>73.772983734467516</v>
      </c>
      <c r="Q348">
        <v>0</v>
      </c>
      <c r="R348">
        <v>176.22701626553248</v>
      </c>
    </row>
    <row r="349" spans="2:18" x14ac:dyDescent="0.25">
      <c r="B349">
        <v>90.5</v>
      </c>
      <c r="C349" t="str">
        <f t="shared" si="28"/>
        <v/>
      </c>
      <c r="D349">
        <v>81.455055721913254</v>
      </c>
      <c r="E349">
        <v>0</v>
      </c>
      <c r="F349">
        <v>168.54494427808675</v>
      </c>
      <c r="G349">
        <v>0</v>
      </c>
      <c r="H349">
        <v>0</v>
      </c>
      <c r="J349">
        <v>1.8222236897355444</v>
      </c>
      <c r="K349">
        <v>36.470502620113258</v>
      </c>
      <c r="L349">
        <f t="shared" si="31"/>
        <v>164.6444473794711</v>
      </c>
      <c r="M349">
        <f t="shared" si="29"/>
        <v>44.644447379471089</v>
      </c>
      <c r="N349">
        <f t="shared" si="30"/>
        <v>124.64444737947109</v>
      </c>
      <c r="P349">
        <v>73.772983734467516</v>
      </c>
      <c r="Q349">
        <v>0</v>
      </c>
      <c r="R349">
        <v>176.22701626553248</v>
      </c>
    </row>
    <row r="350" spans="2:18" x14ac:dyDescent="0.25">
      <c r="B350">
        <v>91</v>
      </c>
      <c r="C350" t="str">
        <f t="shared" si="28"/>
        <v/>
      </c>
      <c r="D350">
        <v>81.455055721913254</v>
      </c>
      <c r="E350">
        <v>0</v>
      </c>
      <c r="F350">
        <v>168.54494427808675</v>
      </c>
      <c r="G350">
        <v>0</v>
      </c>
      <c r="H350">
        <v>0</v>
      </c>
      <c r="J350">
        <v>4.7412348742223216</v>
      </c>
      <c r="K350">
        <v>39.668178690413654</v>
      </c>
      <c r="L350">
        <f t="shared" si="31"/>
        <v>170.48246974844466</v>
      </c>
      <c r="M350">
        <f t="shared" si="29"/>
        <v>50.482469748444643</v>
      </c>
      <c r="N350">
        <f t="shared" si="30"/>
        <v>130.48246974844466</v>
      </c>
      <c r="P350">
        <v>73.772983734467516</v>
      </c>
      <c r="Q350">
        <v>0</v>
      </c>
      <c r="R350">
        <v>176.22701626553248</v>
      </c>
    </row>
    <row r="351" spans="2:18" x14ac:dyDescent="0.25">
      <c r="B351">
        <v>91.5</v>
      </c>
      <c r="C351" t="str">
        <f t="shared" si="28"/>
        <v/>
      </c>
      <c r="D351">
        <v>81.455055721913254</v>
      </c>
      <c r="E351">
        <v>0</v>
      </c>
      <c r="F351">
        <v>168.54494427808675</v>
      </c>
      <c r="G351">
        <v>0</v>
      </c>
      <c r="H351">
        <v>0</v>
      </c>
      <c r="J351">
        <v>7.6602460587090917</v>
      </c>
      <c r="K351">
        <v>43.073587576943865</v>
      </c>
      <c r="L351">
        <f t="shared" si="31"/>
        <v>176.32049211741818</v>
      </c>
      <c r="M351">
        <f t="shared" si="29"/>
        <v>56.320492117418183</v>
      </c>
      <c r="N351">
        <f t="shared" si="30"/>
        <v>136.32049211741818</v>
      </c>
      <c r="P351">
        <v>73.772983734467516</v>
      </c>
      <c r="Q351">
        <v>0</v>
      </c>
      <c r="R351">
        <v>176.22701626553248</v>
      </c>
    </row>
    <row r="352" spans="2:18" x14ac:dyDescent="0.25">
      <c r="B352">
        <v>92</v>
      </c>
      <c r="C352" t="str">
        <f t="shared" si="28"/>
        <v/>
      </c>
      <c r="D352">
        <v>81.455055721913254</v>
      </c>
      <c r="E352">
        <v>0</v>
      </c>
      <c r="F352">
        <v>168.54494427808675</v>
      </c>
      <c r="G352">
        <v>0</v>
      </c>
      <c r="H352">
        <v>0</v>
      </c>
      <c r="J352">
        <v>10.579257243195869</v>
      </c>
      <c r="K352">
        <v>46.703908661604409</v>
      </c>
      <c r="L352">
        <f t="shared" si="31"/>
        <v>182.15851448639174</v>
      </c>
      <c r="M352">
        <f t="shared" si="29"/>
        <v>62.158514486391738</v>
      </c>
      <c r="N352">
        <f t="shared" si="30"/>
        <v>142.15851448639174</v>
      </c>
      <c r="P352">
        <v>73.772983734467516</v>
      </c>
      <c r="Q352">
        <v>0</v>
      </c>
      <c r="R352">
        <v>176.22701626553248</v>
      </c>
    </row>
    <row r="353" spans="2:18" x14ac:dyDescent="0.25">
      <c r="B353">
        <v>92.5</v>
      </c>
      <c r="C353" t="str">
        <f t="shared" si="28"/>
        <v/>
      </c>
      <c r="D353">
        <v>81.455055721913254</v>
      </c>
      <c r="E353">
        <v>0</v>
      </c>
      <c r="F353">
        <v>168.54494427808675</v>
      </c>
      <c r="G353">
        <v>0</v>
      </c>
      <c r="H353">
        <v>0</v>
      </c>
      <c r="J353">
        <v>13.498268427682646</v>
      </c>
      <c r="K353">
        <v>50.58211318954023</v>
      </c>
      <c r="L353">
        <f t="shared" si="31"/>
        <v>187.99653685536529</v>
      </c>
      <c r="M353">
        <f t="shared" si="29"/>
        <v>67.996536855365292</v>
      </c>
      <c r="N353">
        <f t="shared" si="30"/>
        <v>147.99653685536529</v>
      </c>
      <c r="P353">
        <v>73.772983734467516</v>
      </c>
      <c r="Q353">
        <v>0</v>
      </c>
      <c r="R353">
        <v>176.22701626553248</v>
      </c>
    </row>
    <row r="354" spans="2:18" x14ac:dyDescent="0.25">
      <c r="B354">
        <v>93</v>
      </c>
      <c r="C354" t="str">
        <f t="shared" si="28"/>
        <v/>
      </c>
      <c r="D354">
        <v>81.455055721913254</v>
      </c>
      <c r="E354">
        <v>0</v>
      </c>
      <c r="F354">
        <v>168.54494427808675</v>
      </c>
      <c r="G354">
        <v>0</v>
      </c>
      <c r="H354">
        <v>0</v>
      </c>
      <c r="J354">
        <v>16.417279612169423</v>
      </c>
      <c r="K354">
        <v>54.739597871776695</v>
      </c>
      <c r="L354">
        <f t="shared" si="31"/>
        <v>193.83455922433885</v>
      </c>
      <c r="M354">
        <f t="shared" si="29"/>
        <v>73.834559224338847</v>
      </c>
      <c r="N354">
        <f t="shared" si="30"/>
        <v>153.83455922433885</v>
      </c>
      <c r="P354">
        <v>73.772983734467516</v>
      </c>
      <c r="Q354">
        <v>0</v>
      </c>
      <c r="R354">
        <v>176.22701626553248</v>
      </c>
    </row>
    <row r="355" spans="2:18" x14ac:dyDescent="0.25">
      <c r="B355">
        <v>93.5</v>
      </c>
      <c r="C355" t="str">
        <f t="shared" si="28"/>
        <v/>
      </c>
      <c r="D355">
        <v>81.455055721913254</v>
      </c>
      <c r="E355">
        <v>0</v>
      </c>
      <c r="F355">
        <v>168.54494427808675</v>
      </c>
      <c r="G355">
        <v>0</v>
      </c>
      <c r="H355">
        <v>0</v>
      </c>
      <c r="J355">
        <v>19.336290796656201</v>
      </c>
      <c r="K355">
        <v>59.295247173517502</v>
      </c>
      <c r="L355">
        <f t="shared" si="31"/>
        <v>199.6725815933124</v>
      </c>
      <c r="M355">
        <f t="shared" si="29"/>
        <v>79.672581593312401</v>
      </c>
      <c r="N355">
        <f t="shared" si="30"/>
        <v>159.6725815933124</v>
      </c>
      <c r="P355">
        <v>73.772983734467516</v>
      </c>
      <c r="Q355">
        <v>0</v>
      </c>
      <c r="R355">
        <v>176.22701626553248</v>
      </c>
    </row>
    <row r="356" spans="2:18" x14ac:dyDescent="0.25">
      <c r="B356">
        <v>94</v>
      </c>
      <c r="C356" t="str">
        <f t="shared" si="28"/>
        <v/>
      </c>
      <c r="D356">
        <v>81.455055721913254</v>
      </c>
      <c r="E356">
        <v>0</v>
      </c>
      <c r="F356">
        <v>168.54494427808675</v>
      </c>
      <c r="G356">
        <v>0</v>
      </c>
      <c r="H356">
        <v>0</v>
      </c>
      <c r="J356">
        <v>22.255301981142978</v>
      </c>
      <c r="K356">
        <v>64.156072857380096</v>
      </c>
      <c r="L356">
        <f t="shared" si="31"/>
        <v>205.51060396228596</v>
      </c>
      <c r="M356">
        <f t="shared" si="29"/>
        <v>85.510603962285956</v>
      </c>
      <c r="N356">
        <f t="shared" si="30"/>
        <v>165.51060396228596</v>
      </c>
      <c r="P356">
        <v>73.772983734467516</v>
      </c>
      <c r="Q356">
        <v>0</v>
      </c>
      <c r="R356">
        <v>176.22701626553248</v>
      </c>
    </row>
    <row r="357" spans="2:18" x14ac:dyDescent="0.25">
      <c r="B357">
        <v>94.5</v>
      </c>
      <c r="C357" t="str">
        <f t="shared" si="28"/>
        <v/>
      </c>
      <c r="D357">
        <v>81.455055721913254</v>
      </c>
      <c r="E357">
        <v>0</v>
      </c>
      <c r="F357">
        <v>168.54494427808675</v>
      </c>
      <c r="G357">
        <v>0</v>
      </c>
      <c r="H357">
        <v>0</v>
      </c>
      <c r="J357">
        <v>25.174313165629741</v>
      </c>
      <c r="K357">
        <v>69.693005578099459</v>
      </c>
      <c r="L357">
        <f t="shared" si="31"/>
        <v>211.34862633125948</v>
      </c>
      <c r="M357">
        <f t="shared" si="29"/>
        <v>91.348626331259482</v>
      </c>
      <c r="N357">
        <f t="shared" si="30"/>
        <v>171.34862633125948</v>
      </c>
      <c r="P357">
        <v>73.772983734467516</v>
      </c>
      <c r="Q357">
        <v>0</v>
      </c>
      <c r="R357">
        <v>176.22701626553248</v>
      </c>
    </row>
    <row r="358" spans="2:18" x14ac:dyDescent="0.25">
      <c r="B358">
        <v>95</v>
      </c>
      <c r="C358" t="str">
        <f t="shared" si="28"/>
        <v/>
      </c>
      <c r="D358">
        <v>81.455055721913254</v>
      </c>
      <c r="E358">
        <v>0</v>
      </c>
      <c r="F358">
        <v>168.54494427808675</v>
      </c>
      <c r="G358">
        <v>0</v>
      </c>
      <c r="H358">
        <v>0</v>
      </c>
      <c r="J358">
        <v>28.093324350116518</v>
      </c>
      <c r="K358">
        <v>77.896473762668705</v>
      </c>
      <c r="L358">
        <f t="shared" si="31"/>
        <v>217.18664870023304</v>
      </c>
      <c r="M358">
        <f t="shared" si="29"/>
        <v>97.186648700233036</v>
      </c>
      <c r="N358">
        <f t="shared" si="30"/>
        <v>177.18664870023304</v>
      </c>
      <c r="P358">
        <v>73.772983734467516</v>
      </c>
      <c r="Q358">
        <v>0</v>
      </c>
      <c r="R358">
        <v>176.22701626553248</v>
      </c>
    </row>
    <row r="359" spans="2:18" x14ac:dyDescent="0.25">
      <c r="B359">
        <v>95.5</v>
      </c>
      <c r="C359" t="str">
        <f t="shared" si="28"/>
        <v/>
      </c>
      <c r="D359">
        <v>81.455055721913254</v>
      </c>
      <c r="E359">
        <v>0</v>
      </c>
      <c r="F359">
        <v>168.54494427808675</v>
      </c>
      <c r="G359">
        <v>0</v>
      </c>
      <c r="H359">
        <v>0</v>
      </c>
      <c r="M359" t="str">
        <f t="shared" si="29"/>
        <v/>
      </c>
      <c r="N359" t="str">
        <f t="shared" si="30"/>
        <v/>
      </c>
      <c r="P359">
        <v>73.772983734467516</v>
      </c>
      <c r="Q359">
        <v>0</v>
      </c>
      <c r="R359">
        <v>176.22701626553248</v>
      </c>
    </row>
    <row r="360" spans="2:18" x14ac:dyDescent="0.25">
      <c r="B360">
        <v>96</v>
      </c>
      <c r="C360" t="str">
        <f t="shared" si="28"/>
        <v/>
      </c>
      <c r="D360">
        <v>81.455055721913254</v>
      </c>
      <c r="E360">
        <v>0</v>
      </c>
      <c r="F360">
        <v>168.54494427808675</v>
      </c>
      <c r="G360">
        <v>0</v>
      </c>
      <c r="H360">
        <v>0</v>
      </c>
      <c r="I360" s="50"/>
      <c r="M360" t="str">
        <f t="shared" si="29"/>
        <v/>
      </c>
      <c r="N360" t="str">
        <f t="shared" si="30"/>
        <v/>
      </c>
      <c r="P360">
        <v>73.772983734467516</v>
      </c>
      <c r="Q360">
        <v>0</v>
      </c>
      <c r="R360">
        <v>176.22701626553248</v>
      </c>
    </row>
    <row r="361" spans="2:18" x14ac:dyDescent="0.25">
      <c r="B361">
        <v>96.5</v>
      </c>
      <c r="C361" t="str">
        <f t="shared" si="28"/>
        <v/>
      </c>
      <c r="D361">
        <v>81.455055721913254</v>
      </c>
      <c r="E361">
        <v>0</v>
      </c>
      <c r="F361">
        <v>168.54494427808675</v>
      </c>
      <c r="G361">
        <v>0</v>
      </c>
      <c r="H361">
        <v>0</v>
      </c>
      <c r="M361" t="str">
        <f t="shared" si="29"/>
        <v/>
      </c>
      <c r="N361" t="str">
        <f t="shared" si="30"/>
        <v/>
      </c>
      <c r="P361">
        <v>73.772983734467516</v>
      </c>
      <c r="Q361">
        <v>0</v>
      </c>
      <c r="R361">
        <v>176.22701626553248</v>
      </c>
    </row>
    <row r="362" spans="2:18" x14ac:dyDescent="0.25">
      <c r="B362">
        <v>97</v>
      </c>
      <c r="C362" t="str">
        <f t="shared" si="28"/>
        <v/>
      </c>
      <c r="D362">
        <v>81.455055721913254</v>
      </c>
      <c r="E362">
        <v>0</v>
      </c>
      <c r="F362">
        <v>168.54494427808675</v>
      </c>
      <c r="G362">
        <v>0</v>
      </c>
      <c r="H362">
        <v>0</v>
      </c>
      <c r="M362" t="str">
        <f t="shared" si="29"/>
        <v/>
      </c>
      <c r="N362" t="str">
        <f t="shared" si="30"/>
        <v/>
      </c>
      <c r="P362">
        <v>73.772983734467516</v>
      </c>
      <c r="Q362">
        <v>0</v>
      </c>
      <c r="R362">
        <v>176.22701626553248</v>
      </c>
    </row>
    <row r="363" spans="2:18" x14ac:dyDescent="0.25">
      <c r="B363">
        <v>97.5</v>
      </c>
      <c r="C363" t="str">
        <f t="shared" si="28"/>
        <v/>
      </c>
      <c r="D363">
        <v>81.455055721913254</v>
      </c>
      <c r="E363">
        <v>0</v>
      </c>
      <c r="F363">
        <v>168.54494427808675</v>
      </c>
      <c r="G363">
        <v>0</v>
      </c>
      <c r="H363">
        <v>0</v>
      </c>
      <c r="M363" t="str">
        <f t="shared" si="29"/>
        <v/>
      </c>
      <c r="N363" t="str">
        <f t="shared" si="30"/>
        <v/>
      </c>
      <c r="P363">
        <v>73.772983734467516</v>
      </c>
      <c r="Q363">
        <v>0</v>
      </c>
      <c r="R363">
        <v>176.22701626553248</v>
      </c>
    </row>
    <row r="364" spans="2:18" x14ac:dyDescent="0.25">
      <c r="B364">
        <v>98</v>
      </c>
      <c r="C364" t="str">
        <f t="shared" si="28"/>
        <v/>
      </c>
      <c r="D364">
        <v>81.455055721913254</v>
      </c>
      <c r="E364">
        <v>0</v>
      </c>
      <c r="F364">
        <v>168.54494427808675</v>
      </c>
      <c r="G364">
        <v>0</v>
      </c>
      <c r="H364">
        <v>0</v>
      </c>
      <c r="M364" t="str">
        <f t="shared" si="29"/>
        <v/>
      </c>
      <c r="N364" t="str">
        <f t="shared" si="30"/>
        <v/>
      </c>
      <c r="P364">
        <v>73.772983734467516</v>
      </c>
      <c r="Q364">
        <v>0</v>
      </c>
      <c r="R364">
        <v>176.22701626553248</v>
      </c>
    </row>
    <row r="365" spans="2:18" x14ac:dyDescent="0.25">
      <c r="B365">
        <v>98.5</v>
      </c>
      <c r="C365" t="str">
        <f t="shared" si="28"/>
        <v/>
      </c>
      <c r="D365">
        <v>81.455055721913254</v>
      </c>
      <c r="E365">
        <v>0</v>
      </c>
      <c r="F365">
        <v>168.54494427808675</v>
      </c>
      <c r="G365">
        <v>0</v>
      </c>
      <c r="H365">
        <v>0</v>
      </c>
      <c r="M365" t="str">
        <f t="shared" si="29"/>
        <v/>
      </c>
      <c r="N365" t="str">
        <f t="shared" si="30"/>
        <v/>
      </c>
      <c r="P365">
        <v>73.772983734467516</v>
      </c>
      <c r="Q365">
        <v>0</v>
      </c>
      <c r="R365">
        <v>176.22701626553248</v>
      </c>
    </row>
    <row r="366" spans="2:18" x14ac:dyDescent="0.25">
      <c r="B366">
        <v>99</v>
      </c>
      <c r="C366" t="str">
        <f t="shared" si="28"/>
        <v/>
      </c>
      <c r="D366">
        <v>81.455055721913254</v>
      </c>
      <c r="E366">
        <v>0</v>
      </c>
      <c r="F366">
        <v>168.54494427808675</v>
      </c>
      <c r="G366">
        <v>0</v>
      </c>
      <c r="H366">
        <v>0</v>
      </c>
      <c r="M366" t="str">
        <f t="shared" si="29"/>
        <v/>
      </c>
      <c r="N366" t="str">
        <f t="shared" si="30"/>
        <v/>
      </c>
      <c r="P366">
        <v>73.772983734467516</v>
      </c>
      <c r="Q366">
        <v>0</v>
      </c>
      <c r="R366">
        <v>176.22701626553248</v>
      </c>
    </row>
    <row r="367" spans="2:18" x14ac:dyDescent="0.25">
      <c r="B367">
        <v>99.5</v>
      </c>
      <c r="C367" t="str">
        <f t="shared" si="28"/>
        <v/>
      </c>
      <c r="D367">
        <v>81.455055721913254</v>
      </c>
      <c r="E367">
        <v>0</v>
      </c>
      <c r="F367">
        <v>168.54494427808675</v>
      </c>
      <c r="G367">
        <v>0</v>
      </c>
      <c r="H367">
        <v>0</v>
      </c>
      <c r="I367" s="50" t="s">
        <v>499</v>
      </c>
      <c r="J367">
        <v>28.425671780176639</v>
      </c>
      <c r="K367">
        <v>84</v>
      </c>
      <c r="L367">
        <f t="shared" ref="L367:L378" si="32">(J367-Diagramm_Tmin)/Diagramm_dT+1</f>
        <v>217.85134356035329</v>
      </c>
      <c r="M367">
        <f t="shared" si="29"/>
        <v>97.851343560353286</v>
      </c>
      <c r="N367">
        <f t="shared" si="30"/>
        <v>177.85134356035329</v>
      </c>
      <c r="P367">
        <v>73.772983734467516</v>
      </c>
      <c r="Q367">
        <v>0</v>
      </c>
      <c r="R367">
        <v>176.22701626553248</v>
      </c>
    </row>
    <row r="368" spans="2:18" x14ac:dyDescent="0.25">
      <c r="B368">
        <v>100</v>
      </c>
      <c r="C368" t="str">
        <f t="shared" si="28"/>
        <v>100</v>
      </c>
      <c r="D368">
        <v>81.455055721913254</v>
      </c>
      <c r="E368">
        <v>0</v>
      </c>
      <c r="F368">
        <v>168.54494427808675</v>
      </c>
      <c r="G368">
        <v>0</v>
      </c>
      <c r="H368">
        <v>0</v>
      </c>
      <c r="J368">
        <v>30.501749189649779</v>
      </c>
      <c r="K368">
        <v>88</v>
      </c>
      <c r="L368">
        <f t="shared" si="32"/>
        <v>222.00349837929957</v>
      </c>
      <c r="M368">
        <f t="shared" si="29"/>
        <v>102.00349837929956</v>
      </c>
      <c r="N368">
        <f t="shared" si="30"/>
        <v>182.00349837929957</v>
      </c>
      <c r="P368">
        <v>73.772983734467516</v>
      </c>
      <c r="Q368">
        <v>0</v>
      </c>
      <c r="R368">
        <v>176.22701626553248</v>
      </c>
    </row>
    <row r="369" spans="2:18" x14ac:dyDescent="0.25">
      <c r="B369">
        <v>100.5</v>
      </c>
      <c r="C369" t="str">
        <f t="shared" ref="C369:C388" si="33">IF(MOD(B369,20)=0,TEXT(B369,"0"),"")</f>
        <v/>
      </c>
      <c r="D369">
        <v>81.455055721913254</v>
      </c>
      <c r="E369">
        <v>0</v>
      </c>
      <c r="F369">
        <v>168.54494427808675</v>
      </c>
      <c r="G369">
        <v>0</v>
      </c>
      <c r="H369">
        <v>0</v>
      </c>
      <c r="J369">
        <v>32.563546993168082</v>
      </c>
      <c r="K369">
        <v>92</v>
      </c>
      <c r="L369">
        <f t="shared" si="32"/>
        <v>226.12709398633615</v>
      </c>
      <c r="M369">
        <f t="shared" si="29"/>
        <v>106.12709398633616</v>
      </c>
      <c r="N369">
        <f t="shared" si="30"/>
        <v>186.12709398633615</v>
      </c>
      <c r="P369">
        <v>73.772983734467516</v>
      </c>
      <c r="Q369">
        <v>0</v>
      </c>
      <c r="R369">
        <v>176.22701626553248</v>
      </c>
    </row>
    <row r="370" spans="2:18" x14ac:dyDescent="0.25">
      <c r="B370">
        <v>101</v>
      </c>
      <c r="C370" t="str">
        <f t="shared" si="33"/>
        <v/>
      </c>
      <c r="D370">
        <v>81.455055721913254</v>
      </c>
      <c r="E370">
        <v>0</v>
      </c>
      <c r="F370">
        <v>168.54494427808675</v>
      </c>
      <c r="G370">
        <v>0</v>
      </c>
      <c r="H370">
        <v>0</v>
      </c>
      <c r="J370">
        <v>34.614835373033692</v>
      </c>
      <c r="K370">
        <v>96</v>
      </c>
      <c r="L370">
        <f t="shared" si="32"/>
        <v>230.22967074606737</v>
      </c>
      <c r="M370">
        <f t="shared" si="29"/>
        <v>110.22967074606738</v>
      </c>
      <c r="N370">
        <f t="shared" si="30"/>
        <v>190.22967074606737</v>
      </c>
      <c r="P370">
        <v>73.772983734467516</v>
      </c>
      <c r="Q370">
        <v>0</v>
      </c>
      <c r="R370">
        <v>176.22701626553248</v>
      </c>
    </row>
    <row r="371" spans="2:18" x14ac:dyDescent="0.25">
      <c r="B371">
        <v>101.5</v>
      </c>
      <c r="C371" t="str">
        <f t="shared" si="33"/>
        <v/>
      </c>
      <c r="D371">
        <v>81.455055721913254</v>
      </c>
      <c r="E371">
        <v>0</v>
      </c>
      <c r="F371">
        <v>168.54494427808675</v>
      </c>
      <c r="G371">
        <v>0</v>
      </c>
      <c r="H371">
        <v>0</v>
      </c>
      <c r="J371">
        <v>36.655172726102229</v>
      </c>
      <c r="K371">
        <v>100</v>
      </c>
      <c r="L371">
        <f t="shared" si="32"/>
        <v>234.31034545220444</v>
      </c>
      <c r="M371">
        <f t="shared" si="29"/>
        <v>114.31034545220446</v>
      </c>
      <c r="N371">
        <f t="shared" si="30"/>
        <v>194.31034545220444</v>
      </c>
      <c r="P371">
        <v>73.772983734467516</v>
      </c>
      <c r="Q371">
        <v>0</v>
      </c>
      <c r="R371">
        <v>176.22701626553248</v>
      </c>
    </row>
    <row r="372" spans="2:18" x14ac:dyDescent="0.25">
      <c r="B372">
        <v>102</v>
      </c>
      <c r="C372" t="str">
        <f t="shared" si="33"/>
        <v/>
      </c>
      <c r="D372">
        <v>81.455055721913254</v>
      </c>
      <c r="E372">
        <v>0</v>
      </c>
      <c r="F372">
        <v>168.54494427808675</v>
      </c>
      <c r="G372">
        <v>0</v>
      </c>
      <c r="H372">
        <v>0</v>
      </c>
      <c r="J372">
        <v>38.689252705547297</v>
      </c>
      <c r="K372">
        <v>104</v>
      </c>
      <c r="L372">
        <f t="shared" si="32"/>
        <v>238.37850541109458</v>
      </c>
      <c r="M372">
        <f t="shared" si="29"/>
        <v>118.37850541109459</v>
      </c>
      <c r="N372">
        <f t="shared" si="30"/>
        <v>198.37850541109458</v>
      </c>
      <c r="P372">
        <v>73.772983734467516</v>
      </c>
      <c r="Q372">
        <v>0</v>
      </c>
      <c r="R372">
        <v>176.22701626553248</v>
      </c>
    </row>
    <row r="373" spans="2:18" x14ac:dyDescent="0.25">
      <c r="B373">
        <v>102.5</v>
      </c>
      <c r="C373" t="str">
        <f t="shared" si="33"/>
        <v/>
      </c>
      <c r="D373">
        <v>81.455055721913254</v>
      </c>
      <c r="E373">
        <v>0</v>
      </c>
      <c r="F373">
        <v>168.54494427808675</v>
      </c>
      <c r="G373">
        <v>0</v>
      </c>
      <c r="H373">
        <v>0</v>
      </c>
      <c r="J373">
        <v>40.716902950966713</v>
      </c>
      <c r="K373">
        <v>108</v>
      </c>
      <c r="L373">
        <f t="shared" si="32"/>
        <v>242.43380590193343</v>
      </c>
      <c r="M373">
        <f t="shared" si="29"/>
        <v>122.43380590193343</v>
      </c>
      <c r="N373">
        <f t="shared" si="30"/>
        <v>202.43380590193343</v>
      </c>
      <c r="P373">
        <v>73.772983734467516</v>
      </c>
      <c r="Q373">
        <v>0</v>
      </c>
      <c r="R373">
        <v>176.22701626553248</v>
      </c>
    </row>
    <row r="374" spans="2:18" x14ac:dyDescent="0.25">
      <c r="B374">
        <v>103</v>
      </c>
      <c r="C374" t="str">
        <f t="shared" si="33"/>
        <v/>
      </c>
      <c r="D374">
        <v>81.455055721913254</v>
      </c>
      <c r="E374">
        <v>0</v>
      </c>
      <c r="F374">
        <v>168.54494427808675</v>
      </c>
      <c r="G374">
        <v>0</v>
      </c>
      <c r="H374">
        <v>0</v>
      </c>
      <c r="J374">
        <v>42.736242709838756</v>
      </c>
      <c r="K374">
        <v>112</v>
      </c>
      <c r="L374">
        <f t="shared" si="32"/>
        <v>246.47248541967753</v>
      </c>
      <c r="M374">
        <f t="shared" si="29"/>
        <v>126.47248541967751</v>
      </c>
      <c r="N374">
        <f t="shared" si="30"/>
        <v>206.47248541967753</v>
      </c>
      <c r="P374">
        <v>73.772983734467516</v>
      </c>
      <c r="Q374">
        <v>0</v>
      </c>
      <c r="R374">
        <v>176.22701626553248</v>
      </c>
    </row>
    <row r="375" spans="2:18" x14ac:dyDescent="0.25">
      <c r="B375">
        <v>103.5</v>
      </c>
      <c r="C375" t="str">
        <f t="shared" si="33"/>
        <v/>
      </c>
      <c r="D375">
        <v>81.455055721913254</v>
      </c>
      <c r="E375">
        <v>0</v>
      </c>
      <c r="F375">
        <v>168.54494427808675</v>
      </c>
      <c r="G375">
        <v>0</v>
      </c>
      <c r="H375">
        <v>0</v>
      </c>
      <c r="J375">
        <v>44.751921511144339</v>
      </c>
      <c r="K375">
        <v>116</v>
      </c>
      <c r="L375">
        <f t="shared" si="32"/>
        <v>250.50384302228866</v>
      </c>
      <c r="M375">
        <f t="shared" si="29"/>
        <v>130.50384302228866</v>
      </c>
      <c r="N375">
        <f t="shared" si="30"/>
        <v>210.50384302228866</v>
      </c>
      <c r="P375">
        <v>73.772983734467516</v>
      </c>
      <c r="Q375">
        <v>0</v>
      </c>
      <c r="R375">
        <v>176.22701626553248</v>
      </c>
    </row>
    <row r="376" spans="2:18" x14ac:dyDescent="0.25">
      <c r="B376">
        <v>104</v>
      </c>
      <c r="C376" t="str">
        <f t="shared" si="33"/>
        <v/>
      </c>
      <c r="D376">
        <v>81.455055721913254</v>
      </c>
      <c r="E376">
        <v>0</v>
      </c>
      <c r="F376">
        <v>168.54494427808675</v>
      </c>
      <c r="G376">
        <v>0</v>
      </c>
      <c r="H376">
        <v>0</v>
      </c>
      <c r="J376">
        <v>46.762940987179029</v>
      </c>
      <c r="K376">
        <v>120</v>
      </c>
      <c r="L376">
        <f t="shared" si="32"/>
        <v>254.52588197435807</v>
      </c>
      <c r="M376">
        <f t="shared" si="29"/>
        <v>134.52588197435807</v>
      </c>
      <c r="N376">
        <f t="shared" si="30"/>
        <v>214.52588197435807</v>
      </c>
      <c r="P376">
        <v>73.772983734467516</v>
      </c>
      <c r="Q376">
        <v>0</v>
      </c>
      <c r="R376">
        <v>176.22701626553248</v>
      </c>
    </row>
    <row r="377" spans="2:18" x14ac:dyDescent="0.25">
      <c r="B377">
        <v>104.5</v>
      </c>
      <c r="C377" t="str">
        <f t="shared" si="33"/>
        <v/>
      </c>
      <c r="D377">
        <v>81.455055721913254</v>
      </c>
      <c r="E377">
        <v>0</v>
      </c>
      <c r="F377">
        <v>168.54494427808675</v>
      </c>
      <c r="G377">
        <v>0</v>
      </c>
      <c r="H377">
        <v>0</v>
      </c>
      <c r="J377">
        <v>48.769770278683652</v>
      </c>
      <c r="K377">
        <v>124</v>
      </c>
      <c r="L377">
        <f t="shared" si="32"/>
        <v>258.53954055736733</v>
      </c>
      <c r="M377">
        <f t="shared" si="29"/>
        <v>138.5395405573673</v>
      </c>
      <c r="N377">
        <f t="shared" si="30"/>
        <v>218.5395405573673</v>
      </c>
      <c r="P377">
        <v>73.772983734467516</v>
      </c>
      <c r="Q377">
        <v>0</v>
      </c>
      <c r="R377">
        <v>176.22701626553248</v>
      </c>
    </row>
    <row r="378" spans="2:18" x14ac:dyDescent="0.25">
      <c r="B378">
        <v>105</v>
      </c>
      <c r="C378" t="str">
        <f t="shared" si="33"/>
        <v/>
      </c>
      <c r="D378">
        <v>81.455055721913254</v>
      </c>
      <c r="E378">
        <v>0</v>
      </c>
      <c r="F378">
        <v>168.54494427808675</v>
      </c>
      <c r="G378">
        <v>0</v>
      </c>
      <c r="H378">
        <v>0</v>
      </c>
      <c r="J378">
        <v>50.772016567771352</v>
      </c>
      <c r="K378">
        <v>128</v>
      </c>
      <c r="L378">
        <f t="shared" si="32"/>
        <v>262.54403313554269</v>
      </c>
      <c r="M378">
        <f t="shared" si="29"/>
        <v>142.54403313554269</v>
      </c>
      <c r="N378">
        <f t="shared" si="30"/>
        <v>222.54403313554269</v>
      </c>
      <c r="P378">
        <v>73.772983734467516</v>
      </c>
      <c r="Q378">
        <v>0</v>
      </c>
      <c r="R378">
        <v>176.22701626553248</v>
      </c>
    </row>
    <row r="379" spans="2:18" x14ac:dyDescent="0.25">
      <c r="B379">
        <v>105.5</v>
      </c>
      <c r="C379" t="str">
        <f t="shared" si="33"/>
        <v/>
      </c>
      <c r="D379">
        <v>81.455055721913254</v>
      </c>
      <c r="E379">
        <v>0</v>
      </c>
      <c r="F379">
        <v>168.54494427808675</v>
      </c>
      <c r="G379">
        <v>0</v>
      </c>
      <c r="H379">
        <v>0</v>
      </c>
      <c r="M379" t="str">
        <f t="shared" si="29"/>
        <v/>
      </c>
      <c r="N379" t="str">
        <f t="shared" si="30"/>
        <v/>
      </c>
      <c r="P379">
        <v>73.772983734467516</v>
      </c>
      <c r="Q379">
        <v>0</v>
      </c>
      <c r="R379">
        <v>176.22701626553248</v>
      </c>
    </row>
    <row r="380" spans="2:18" x14ac:dyDescent="0.25">
      <c r="B380">
        <v>106</v>
      </c>
      <c r="C380" t="str">
        <f t="shared" si="33"/>
        <v/>
      </c>
      <c r="D380">
        <v>81.455055721913254</v>
      </c>
      <c r="E380">
        <v>0</v>
      </c>
      <c r="F380">
        <v>168.54494427808675</v>
      </c>
      <c r="G380">
        <v>0</v>
      </c>
      <c r="H380">
        <v>0</v>
      </c>
      <c r="I380" s="50" t="s">
        <v>503</v>
      </c>
      <c r="J380">
        <v>30.978200002980714</v>
      </c>
      <c r="K380">
        <v>73.772983734467516</v>
      </c>
      <c r="L380">
        <f>(J380-Diagramm_Tmin)/Diagramm_dT+1</f>
        <v>222.95640000596143</v>
      </c>
      <c r="M380">
        <f t="shared" si="29"/>
        <v>102.95640000596143</v>
      </c>
      <c r="N380">
        <f t="shared" si="30"/>
        <v>182.95640000596143</v>
      </c>
      <c r="P380">
        <v>73.772983734467516</v>
      </c>
      <c r="Q380">
        <v>0</v>
      </c>
      <c r="R380">
        <v>176.22701626553248</v>
      </c>
    </row>
    <row r="381" spans="2:18" x14ac:dyDescent="0.25">
      <c r="B381">
        <v>106.5</v>
      </c>
      <c r="C381" t="str">
        <f t="shared" si="33"/>
        <v/>
      </c>
      <c r="D381">
        <v>81.455055721913254</v>
      </c>
      <c r="E381">
        <v>0</v>
      </c>
      <c r="F381">
        <v>168.54494427808675</v>
      </c>
      <c r="G381">
        <v>0</v>
      </c>
      <c r="H381">
        <v>0</v>
      </c>
      <c r="M381" t="str">
        <f t="shared" si="29"/>
        <v/>
      </c>
      <c r="N381" t="str">
        <f t="shared" si="30"/>
        <v/>
      </c>
      <c r="P381">
        <v>73.772983734467516</v>
      </c>
      <c r="Q381">
        <v>0</v>
      </c>
      <c r="R381">
        <v>176.22701626553248</v>
      </c>
    </row>
    <row r="382" spans="2:18" x14ac:dyDescent="0.25">
      <c r="B382">
        <v>107</v>
      </c>
      <c r="C382" t="str">
        <f t="shared" si="33"/>
        <v/>
      </c>
      <c r="D382">
        <v>81.455055721913254</v>
      </c>
      <c r="E382">
        <v>0</v>
      </c>
      <c r="F382">
        <v>168.54494427808675</v>
      </c>
      <c r="G382">
        <v>0</v>
      </c>
      <c r="H382">
        <v>0</v>
      </c>
      <c r="I382" s="50" t="s">
        <v>628</v>
      </c>
      <c r="J382">
        <v>15</v>
      </c>
      <c r="K382">
        <v>30</v>
      </c>
      <c r="L382">
        <f t="shared" ref="L382:L387" si="34">(J382-Diagramm_Tmin)/Diagramm_dT+1</f>
        <v>191</v>
      </c>
      <c r="M382">
        <f t="shared" si="29"/>
        <v>71</v>
      </c>
      <c r="N382">
        <f t="shared" si="30"/>
        <v>151</v>
      </c>
      <c r="P382">
        <v>73.772983734467516</v>
      </c>
      <c r="Q382">
        <v>0</v>
      </c>
      <c r="R382">
        <v>176.22701626553248</v>
      </c>
    </row>
    <row r="383" spans="2:18" x14ac:dyDescent="0.25">
      <c r="B383">
        <v>107.5</v>
      </c>
      <c r="C383" t="str">
        <f t="shared" si="33"/>
        <v/>
      </c>
      <c r="D383">
        <v>81.455055721913254</v>
      </c>
      <c r="E383">
        <v>0</v>
      </c>
      <c r="F383">
        <v>168.54494427808675</v>
      </c>
      <c r="G383">
        <v>0</v>
      </c>
      <c r="H383">
        <v>0</v>
      </c>
      <c r="J383">
        <v>55.720478101902017</v>
      </c>
      <c r="K383">
        <v>48.989794855663561</v>
      </c>
      <c r="L383">
        <f t="shared" si="34"/>
        <v>272.44095620380403</v>
      </c>
      <c r="M383">
        <f t="shared" si="29"/>
        <v>152.44095620380403</v>
      </c>
      <c r="N383">
        <f t="shared" si="30"/>
        <v>232.44095620380403</v>
      </c>
      <c r="P383">
        <v>73.772983734467516</v>
      </c>
      <c r="Q383">
        <v>0</v>
      </c>
      <c r="R383">
        <v>176.22701626553248</v>
      </c>
    </row>
    <row r="384" spans="2:18" x14ac:dyDescent="0.25">
      <c r="B384">
        <v>108</v>
      </c>
      <c r="C384" t="str">
        <f t="shared" si="33"/>
        <v/>
      </c>
      <c r="D384">
        <v>81.455055721913254</v>
      </c>
      <c r="E384">
        <v>0</v>
      </c>
      <c r="F384">
        <v>168.54494427808675</v>
      </c>
      <c r="G384">
        <v>0</v>
      </c>
      <c r="H384">
        <v>0</v>
      </c>
      <c r="J384">
        <v>20</v>
      </c>
      <c r="K384">
        <v>48.989794855663561</v>
      </c>
      <c r="L384">
        <f t="shared" si="34"/>
        <v>201</v>
      </c>
      <c r="M384">
        <f t="shared" si="29"/>
        <v>81</v>
      </c>
      <c r="N384">
        <f t="shared" si="30"/>
        <v>161</v>
      </c>
      <c r="P384">
        <v>73.772983734467516</v>
      </c>
      <c r="Q384">
        <v>0</v>
      </c>
      <c r="R384">
        <v>176.22701626553248</v>
      </c>
    </row>
    <row r="385" spans="2:18" x14ac:dyDescent="0.25">
      <c r="B385">
        <v>108.5</v>
      </c>
      <c r="C385" t="str">
        <f t="shared" si="33"/>
        <v/>
      </c>
      <c r="D385">
        <v>81.455055721913254</v>
      </c>
      <c r="E385">
        <v>0</v>
      </c>
      <c r="F385">
        <v>168.54494427808675</v>
      </c>
      <c r="G385">
        <v>0</v>
      </c>
      <c r="H385">
        <v>0</v>
      </c>
      <c r="J385">
        <v>60.654988664981488</v>
      </c>
      <c r="K385">
        <v>80</v>
      </c>
      <c r="L385">
        <f t="shared" si="34"/>
        <v>282.30997732996298</v>
      </c>
      <c r="M385">
        <f t="shared" si="29"/>
        <v>162.30997732996298</v>
      </c>
      <c r="N385">
        <f t="shared" si="30"/>
        <v>242.30997732996298</v>
      </c>
      <c r="P385">
        <v>73.772983734467516</v>
      </c>
      <c r="Q385">
        <v>0</v>
      </c>
      <c r="R385">
        <v>176.22701626553248</v>
      </c>
    </row>
    <row r="386" spans="2:18" x14ac:dyDescent="0.25">
      <c r="B386">
        <v>109</v>
      </c>
      <c r="C386" t="str">
        <f t="shared" si="33"/>
        <v/>
      </c>
      <c r="D386">
        <v>81.455055721913254</v>
      </c>
      <c r="E386">
        <v>0</v>
      </c>
      <c r="F386">
        <v>168.54494427808675</v>
      </c>
      <c r="G386">
        <v>0</v>
      </c>
      <c r="H386">
        <v>0</v>
      </c>
      <c r="J386">
        <v>20</v>
      </c>
      <c r="K386">
        <v>80</v>
      </c>
      <c r="L386">
        <f t="shared" si="34"/>
        <v>201</v>
      </c>
      <c r="M386">
        <f t="shared" si="29"/>
        <v>81</v>
      </c>
      <c r="N386">
        <f t="shared" si="30"/>
        <v>161</v>
      </c>
      <c r="P386">
        <v>73.772983734467516</v>
      </c>
      <c r="Q386">
        <v>0</v>
      </c>
      <c r="R386">
        <v>176.22701626553248</v>
      </c>
    </row>
    <row r="387" spans="2:18" x14ac:dyDescent="0.25">
      <c r="B387">
        <v>109.5</v>
      </c>
      <c r="C387" t="str">
        <f t="shared" si="33"/>
        <v/>
      </c>
      <c r="D387">
        <v>81.455055721913254</v>
      </c>
      <c r="E387">
        <v>0</v>
      </c>
      <c r="F387">
        <v>168.54494427808675</v>
      </c>
      <c r="G387">
        <v>0</v>
      </c>
      <c r="H387">
        <v>0</v>
      </c>
      <c r="J387">
        <v>26.99320826760146</v>
      </c>
      <c r="K387">
        <v>114.93130198208927</v>
      </c>
      <c r="L387">
        <f t="shared" si="34"/>
        <v>214.98641653520292</v>
      </c>
      <c r="M387">
        <f t="shared" si="29"/>
        <v>94.98641653520292</v>
      </c>
      <c r="N387">
        <f t="shared" si="30"/>
        <v>174.98641653520292</v>
      </c>
      <c r="P387">
        <v>73.772983734467516</v>
      </c>
      <c r="Q387">
        <v>0</v>
      </c>
      <c r="R387">
        <v>176.22701626553248</v>
      </c>
    </row>
    <row r="388" spans="2:18" x14ac:dyDescent="0.25">
      <c r="B388">
        <v>110</v>
      </c>
      <c r="C388" t="str">
        <f t="shared" si="33"/>
        <v/>
      </c>
      <c r="D388">
        <v>81.455055721913254</v>
      </c>
      <c r="E388">
        <v>0</v>
      </c>
      <c r="F388">
        <v>168.54494427808675</v>
      </c>
      <c r="G388">
        <v>0</v>
      </c>
      <c r="H388">
        <v>0</v>
      </c>
      <c r="M388" t="str">
        <f t="shared" si="29"/>
        <v/>
      </c>
      <c r="N388" t="str">
        <f t="shared" si="30"/>
        <v/>
      </c>
      <c r="P388">
        <v>73.772983734467516</v>
      </c>
      <c r="Q388">
        <v>0</v>
      </c>
      <c r="R388">
        <v>176.22701626553248</v>
      </c>
    </row>
    <row r="389" spans="2:18" x14ac:dyDescent="0.25">
      <c r="I389" s="50" t="s">
        <v>629</v>
      </c>
      <c r="J389">
        <v>15</v>
      </c>
      <c r="K389">
        <v>30</v>
      </c>
      <c r="L389">
        <f>(J389-Diagramm_Tmin)/Diagramm_dT+1</f>
        <v>191</v>
      </c>
      <c r="M389">
        <f t="shared" si="29"/>
        <v>71</v>
      </c>
      <c r="N389">
        <f t="shared" si="30"/>
        <v>151</v>
      </c>
    </row>
    <row r="390" spans="2:18" x14ac:dyDescent="0.25">
      <c r="J390">
        <v>-40</v>
      </c>
      <c r="K390">
        <v>30</v>
      </c>
      <c r="L390">
        <f>(J390-Diagramm_Tmin)/Diagramm_dT+1</f>
        <v>81</v>
      </c>
      <c r="M390" t="e">
        <f t="shared" si="29"/>
        <v>#N/A</v>
      </c>
      <c r="N390">
        <f t="shared" si="30"/>
        <v>41</v>
      </c>
    </row>
    <row r="391" spans="2:18" x14ac:dyDescent="0.25">
      <c r="M391" t="str">
        <f t="shared" si="29"/>
        <v/>
      </c>
      <c r="N391" t="str">
        <f t="shared" si="30"/>
        <v/>
      </c>
    </row>
    <row r="392" spans="2:18" x14ac:dyDescent="0.25">
      <c r="I392" s="50" t="s">
        <v>630</v>
      </c>
      <c r="J392">
        <v>25</v>
      </c>
      <c r="K392">
        <v>80</v>
      </c>
      <c r="L392">
        <f>(J392-Diagramm_Tmin)/Diagramm_dT+1</f>
        <v>211</v>
      </c>
      <c r="M392">
        <f t="shared" ref="M392:M402" si="35">IF(J392="","",IF(J392&lt;Zoom_Tmin,NA(),(J392-Zoom_Tmin)/Diagramm_dT+1))</f>
        <v>91</v>
      </c>
      <c r="N392">
        <f t="shared" ref="N392:N402" si="36">IF(J392="","",IF(J392&lt;Zoom2_Tmin,NA(),(J392-Zoom2_Tmin)/Diagramm_dT+1))</f>
        <v>171</v>
      </c>
    </row>
    <row r="393" spans="2:18" x14ac:dyDescent="0.25">
      <c r="M393" t="str">
        <f t="shared" si="35"/>
        <v/>
      </c>
      <c r="N393" t="str">
        <f t="shared" si="36"/>
        <v/>
      </c>
    </row>
    <row r="394" spans="2:18" x14ac:dyDescent="0.25">
      <c r="I394" s="50" t="s">
        <v>504</v>
      </c>
      <c r="J394">
        <v>0</v>
      </c>
      <c r="K394">
        <v>105</v>
      </c>
      <c r="L394">
        <f>(J394-Diagramm_Tmin)/Diagramm_dT+1</f>
        <v>161</v>
      </c>
      <c r="M394">
        <f t="shared" si="35"/>
        <v>41</v>
      </c>
      <c r="N394">
        <f t="shared" si="36"/>
        <v>121</v>
      </c>
    </row>
    <row r="395" spans="2:18" x14ac:dyDescent="0.25">
      <c r="J395">
        <v>45</v>
      </c>
      <c r="K395">
        <v>120</v>
      </c>
      <c r="L395">
        <f>(J395-Diagramm_Tmin)/Diagramm_dT+1</f>
        <v>251</v>
      </c>
      <c r="M395">
        <f t="shared" si="35"/>
        <v>131</v>
      </c>
      <c r="N395">
        <f t="shared" si="36"/>
        <v>211</v>
      </c>
    </row>
    <row r="396" spans="2:18" x14ac:dyDescent="0.25">
      <c r="J396">
        <v>45</v>
      </c>
      <c r="K396">
        <v>25</v>
      </c>
      <c r="L396">
        <f>(J396-Diagramm_Tmin)/Diagramm_dT+1</f>
        <v>251</v>
      </c>
      <c r="M396">
        <f t="shared" si="35"/>
        <v>131</v>
      </c>
      <c r="N396">
        <f t="shared" si="36"/>
        <v>211</v>
      </c>
    </row>
    <row r="397" spans="2:18" x14ac:dyDescent="0.25">
      <c r="J397">
        <v>-12</v>
      </c>
      <c r="K397">
        <v>42</v>
      </c>
      <c r="L397">
        <f>(J397-Diagramm_Tmin)/Diagramm_dT+1</f>
        <v>137</v>
      </c>
      <c r="M397">
        <f t="shared" si="35"/>
        <v>17</v>
      </c>
      <c r="N397">
        <f t="shared" si="36"/>
        <v>97</v>
      </c>
    </row>
    <row r="398" spans="2:18" x14ac:dyDescent="0.25">
      <c r="M398" t="str">
        <f t="shared" si="35"/>
        <v/>
      </c>
      <c r="N398" t="str">
        <f t="shared" si="36"/>
        <v/>
      </c>
    </row>
    <row r="399" spans="2:18" x14ac:dyDescent="0.25">
      <c r="I399" s="50" t="s">
        <v>505</v>
      </c>
      <c r="J399">
        <v>0</v>
      </c>
      <c r="K399">
        <v>105</v>
      </c>
      <c r="L399">
        <f>(J399-Diagramm_Tmin)/Diagramm_dT+1</f>
        <v>161</v>
      </c>
      <c r="M399">
        <f t="shared" si="35"/>
        <v>41</v>
      </c>
      <c r="N399">
        <f t="shared" si="36"/>
        <v>121</v>
      </c>
    </row>
    <row r="400" spans="2:18" x14ac:dyDescent="0.25">
      <c r="J400">
        <v>85</v>
      </c>
      <c r="K400">
        <v>120</v>
      </c>
      <c r="L400">
        <f>(J400-Diagramm_Tmin)/Diagramm_dT+1</f>
        <v>331</v>
      </c>
      <c r="M400">
        <f t="shared" si="35"/>
        <v>211</v>
      </c>
      <c r="N400">
        <f t="shared" si="36"/>
        <v>291</v>
      </c>
    </row>
    <row r="401" spans="10:14" x14ac:dyDescent="0.25">
      <c r="J401">
        <v>75</v>
      </c>
      <c r="K401">
        <v>15</v>
      </c>
      <c r="L401">
        <f>(J401-Diagramm_Tmin)/Diagramm_dT+1</f>
        <v>311</v>
      </c>
      <c r="M401">
        <f t="shared" si="35"/>
        <v>191</v>
      </c>
      <c r="N401">
        <f t="shared" si="36"/>
        <v>271</v>
      </c>
    </row>
    <row r="402" spans="10:14" x14ac:dyDescent="0.25">
      <c r="J402">
        <v>-12</v>
      </c>
      <c r="K402">
        <v>42</v>
      </c>
      <c r="L402">
        <f>(J402-Diagramm_Tmin)/Diagramm_dT+1</f>
        <v>137</v>
      </c>
      <c r="M402">
        <f t="shared" si="35"/>
        <v>17</v>
      </c>
      <c r="N402">
        <f t="shared" si="36"/>
        <v>97</v>
      </c>
    </row>
  </sheetData>
  <mergeCells count="1">
    <mergeCell ref="D4:G5"/>
  </mergeCells>
  <hyperlinks>
    <hyperlink ref="B3" location="'Übersicht'!A1" display="← zur Übersicht" xr:uid="{00000000-0004-0000-0700-000000000000}"/>
  </hyperlinks>
  <pageMargins left="0.4" right="0.4" top="0.5" bottom="0.5" header="0.3" footer="0.3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9</vt:i4>
      </vt:variant>
      <vt:variant>
        <vt:lpstr>Benannte Bereiche</vt:lpstr>
      </vt:variant>
      <vt:variant>
        <vt:i4>80</vt:i4>
      </vt:variant>
    </vt:vector>
  </HeadingPairs>
  <TitlesOfParts>
    <vt:vector size="89" baseType="lpstr">
      <vt:lpstr>Übersicht</vt:lpstr>
      <vt:lpstr>Gemisch &amp; Grenzen</vt:lpstr>
      <vt:lpstr>Kaverne &amp; Gassäule</vt:lpstr>
      <vt:lpstr>Medienvergleich</vt:lpstr>
      <vt:lpstr>Einspeicherung S1</vt:lpstr>
      <vt:lpstr>Einspeicherung S2</vt:lpstr>
      <vt:lpstr>Phasendiagramm</vt:lpstr>
      <vt:lpstr>Quellen</vt:lpstr>
      <vt:lpstr>Diagrammdaten</vt:lpstr>
      <vt:lpstr>Diagramm_dT</vt:lpstr>
      <vt:lpstr>Diagramm_Tmin</vt:lpstr>
      <vt:lpstr>eta</vt:lpstr>
      <vt:lpstr>eta_V1</vt:lpstr>
      <vt:lpstr>eta_V2</vt:lpstr>
      <vt:lpstr>grad_V1</vt:lpstr>
      <vt:lpstr>Kopf_grenz</vt:lpstr>
      <vt:lpstr>Kopf_leer</vt:lpstr>
      <vt:lpstr>Kopf_voll</vt:lpstr>
      <vt:lpstr>MV_Kopf_CH4</vt:lpstr>
      <vt:lpstr>MV_Kopf_CO2</vt:lpstr>
      <vt:lpstr>MV_Kopf_H2</vt:lpstr>
      <vt:lpstr>p_blase_TK</vt:lpstr>
      <vt:lpstr>p_cricondenbar</vt:lpstr>
      <vt:lpstr>p_grenz</vt:lpstr>
      <vt:lpstr>p_lith_V1</vt:lpstr>
      <vt:lpstr>p_S1</vt:lpstr>
      <vt:lpstr>p_S2</vt:lpstr>
      <vt:lpstr>p_tau_TK</vt:lpstr>
      <vt:lpstr>p_uek</vt:lpstr>
      <vt:lpstr>p_zw</vt:lpstr>
      <vt:lpstr>pmax_V1</vt:lpstr>
      <vt:lpstr>pmin_V1</vt:lpstr>
      <vt:lpstr>rho_min</vt:lpstr>
      <vt:lpstr>rho_n</vt:lpstr>
      <vt:lpstr>rhoSalz_V1</vt:lpstr>
      <vt:lpstr>Stand_ok</vt:lpstr>
      <vt:lpstr>Szen1_eta</vt:lpstr>
      <vt:lpstr>Szen1_h1</vt:lpstr>
      <vt:lpstr>Szen1_h2</vt:lpstr>
      <vt:lpstr>Szen1_h2s</vt:lpstr>
      <vt:lpstr>Szen1_mmax</vt:lpstr>
      <vt:lpstr>Szen1_mmin</vt:lpstr>
      <vt:lpstr>Szen1_p1</vt:lpstr>
      <vt:lpstr>Szen1_p2</vt:lpstr>
      <vt:lpstr>Szen1_Pmax</vt:lpstr>
      <vt:lpstr>Szen1_Pmin</vt:lpstr>
      <vt:lpstr>Szen1_s1</vt:lpstr>
      <vt:lpstr>Szen1_T1</vt:lpstr>
      <vt:lpstr>Szen1_T2</vt:lpstr>
      <vt:lpstr>Szen1_w</vt:lpstr>
      <vt:lpstr>Szen2_h1</vt:lpstr>
      <vt:lpstr>Szen2_h1a</vt:lpstr>
      <vt:lpstr>Szen2_h1s</vt:lpstr>
      <vt:lpstr>Szen2_h2a</vt:lpstr>
      <vt:lpstr>Szen2_h2s</vt:lpstr>
      <vt:lpstr>Szen2_hK</vt:lpstr>
      <vt:lpstr>Szen2_hPa</vt:lpstr>
      <vt:lpstr>Szen2_hPs</vt:lpstr>
      <vt:lpstr>Szen2_hZK</vt:lpstr>
      <vt:lpstr>Szen2_Pmax</vt:lpstr>
      <vt:lpstr>Szen2_Pmin</vt:lpstr>
      <vt:lpstr>Szen2_q_ges</vt:lpstr>
      <vt:lpstr>Szen2_qK</vt:lpstr>
      <vt:lpstr>Szen2_Qmax</vt:lpstr>
      <vt:lpstr>Szen2_qZK</vt:lpstr>
      <vt:lpstr>Szen2_rhoP</vt:lpstr>
      <vt:lpstr>Szen2_T1a</vt:lpstr>
      <vt:lpstr>Szen2_T2a</vt:lpstr>
      <vt:lpstr>Szen2_TPa</vt:lpstr>
      <vt:lpstr>Szen2_w_ges</vt:lpstr>
      <vt:lpstr>Szen2_w1</vt:lpstr>
      <vt:lpstr>Szen2_w2</vt:lpstr>
      <vt:lpstr>Szen2_wP</vt:lpstr>
      <vt:lpstr>Szen2_Z2</vt:lpstr>
      <vt:lpstr>T_K</vt:lpstr>
      <vt:lpstr>T_Kav_V1</vt:lpstr>
      <vt:lpstr>T_maxV</vt:lpstr>
      <vt:lpstr>T_S1</vt:lpstr>
      <vt:lpstr>T_S2</vt:lpstr>
      <vt:lpstr>Tober_V1</vt:lpstr>
      <vt:lpstr>U_PG</vt:lpstr>
      <vt:lpstr>V_max</vt:lpstr>
      <vt:lpstr>V_min</vt:lpstr>
      <vt:lpstr>Vgl_A_w</vt:lpstr>
      <vt:lpstr>Vgl_C_w</vt:lpstr>
      <vt:lpstr>Z_min</vt:lpstr>
      <vt:lpstr>z_V1</vt:lpstr>
      <vt:lpstr>Zoom_Tmin</vt:lpstr>
      <vt:lpstr>Zoom2_Tmin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CO2-Zwischenspeicherung – Rechenübersicht Einspeicherung</dc:title>
  <dc:creator>Sarah Maxara</dc:creator>
  <dc:description>Stoffdaten CoolProp 8.0.0</dc:description>
  <cp:lastModifiedBy>Sarah Maxara (smaxara)</cp:lastModifiedBy>
  <dcterms:created xsi:type="dcterms:W3CDTF">2026-09-28T06:28:12Z</dcterms:created>
  <dcterms:modified xsi:type="dcterms:W3CDTF">2026-10-01T11:58:39Z</dcterms:modified>
</cp:coreProperties>
</file>