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  <Override PartName="/xl/drawings/drawing_orig1.xml" ContentType="application/vnd.openxmlformats-officedocument.drawing+xml"/>
  <Override PartName="/xl/drawings/drawing_orig2.xml" ContentType="application/vnd.openxmlformats-officedocument.drawing+xml"/>
  <Override PartName="/xl/charts/chart_orig2_chart2.xml" ContentType="application/vnd.openxmlformats-officedocument.drawingml.chart+xml"/>
  <Override PartName="/xl/charts/chart_orig2_chart1.xml" ContentType="application/vnd.openxmlformats-officedocument.drawingml.chart+xml"/>
  <Override PartName="/xl/drawings/drawing_orig3.xml" ContentType="application/vnd.openxmlformats-officedocument.drawing+xml"/>
  <Override PartName="/xl/charts/chart_orig3_chart5.xml" ContentType="application/vnd.openxmlformats-officedocument.drawingml.chart+xml"/>
  <Override PartName="/xl/charts/chart_orig3_chart4.xml" ContentType="application/vnd.openxmlformats-officedocument.drawingml.chart+xml"/>
  <Override PartName="/xl/charts/chart_orig3_chart3.xml" ContentType="application/vnd.openxmlformats-officedocument.drawingml.chart+xml"/>
  <Override PartName="/xl/drawings/drawing_orig4.xml" ContentType="application/vnd.openxmlformats-officedocument.drawing+xml"/>
  <Override PartName="/xl/charts/chart_orig4_chart8.xml" ContentType="application/vnd.openxmlformats-officedocument.drawingml.chart+xml"/>
  <Override PartName="/xl/charts/chart_orig4_chart7.xml" ContentType="application/vnd.openxmlformats-officedocument.drawingml.chart+xml"/>
  <Override PartName="/xl/charts/chart_orig4_chart6.xml" ContentType="application/vnd.openxmlformats-officedocument.drawingml.chart+xml"/>
  <Override PartName="/xl/drawings/drawing_orig5.xml" ContentType="application/vnd.openxmlformats-officedocument.drawing+xml"/>
  <Override PartName="/xl/charts/chart_orig5_chart9.xml" ContentType="application/vnd.openxmlformats-officedocument.drawingml.chart+xml"/>
  <Override PartName="/xl/drawings/drawing_orig6.xml" ContentType="application/vnd.openxmlformats-officedocument.drawing+xml"/>
  <Override PartName="/xl/charts/chart_orig6_chart12.xml" ContentType="application/vnd.openxmlformats-officedocument.drawingml.chart+xml"/>
  <Override PartName="/xl/charts/chart_orig6_chart11.xml" ContentType="application/vnd.openxmlformats-officedocument.drawingml.chart+xml"/>
  <Override PartName="/xl/charts/chart_orig6_chart10.xml" ContentType="application/vnd.openxmlformats-officedocument.drawingml.chart+xml"/>
  <Override PartName="/xl/drawings/drawing_orig7.xml" ContentType="application/vnd.openxmlformats-officedocument.drawing+xml"/>
  <Override PartName="/xl/charts/chart_orig7_chart14.xml" ContentType="application/vnd.openxmlformats-officedocument.drawingml.chart+xml"/>
  <Override PartName="/xl/charts/chart_orig7_chart13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Gemisch &amp; Grenzen" sheetId="2" state="visible" r:id="rId2"/>
    <sheet xmlns:r="http://schemas.openxmlformats.org/officeDocument/2006/relationships" name="Kaverne &amp; Gassäule" sheetId="3" state="visible" r:id="rId3"/>
    <sheet xmlns:r="http://schemas.openxmlformats.org/officeDocument/2006/relationships" name="Medienvergleich" sheetId="4" state="visible" r:id="rId4"/>
    <sheet xmlns:r="http://schemas.openxmlformats.org/officeDocument/2006/relationships" name="Einspeicherung S1" sheetId="5" state="visible" r:id="rId5"/>
    <sheet xmlns:r="http://schemas.openxmlformats.org/officeDocument/2006/relationships" name="Einspeicherung S2" sheetId="6" state="visible" r:id="rId6"/>
    <sheet xmlns:r="http://schemas.openxmlformats.org/officeDocument/2006/relationships" name="Kühlung" sheetId="7" state="visible" r:id="rId7"/>
    <sheet xmlns:r="http://schemas.openxmlformats.org/officeDocument/2006/relationships" name="Massenströme" sheetId="8" state="visible" r:id="rId8"/>
    <sheet xmlns:r="http://schemas.openxmlformats.org/officeDocument/2006/relationships" name="Phasendiagramm" sheetId="9" state="visible" r:id="rId9"/>
    <sheet xmlns:r="http://schemas.openxmlformats.org/officeDocument/2006/relationships" name="Annahmen &amp; Begründung" sheetId="10" state="visible" r:id="rId10"/>
    <sheet xmlns:r="http://schemas.openxmlformats.org/officeDocument/2006/relationships" name="Quellen" sheetId="11" state="visible" r:id="rId11"/>
    <sheet xmlns:r="http://schemas.openxmlformats.org/officeDocument/2006/relationships" name="Diagrammdaten" sheetId="12" state="visible" r:id="rId12"/>
  </sheets>
  <definedNames>
    <definedName name="Diagramm_dT">Diagrammdaten!$C$5</definedName>
    <definedName name="Diagramm_Tmin">Diagrammdaten!$C$4</definedName>
    <definedName name="eta">Übersicht!$F$67</definedName>
    <definedName name="eta_V1">Übersicht!$F$65</definedName>
    <definedName name="eta_V2">Übersicht!$F$66</definedName>
    <definedName name="grad_V1">Übersicht!$F$55</definedName>
    <definedName name="Kopf_grenz">'Kaverne &amp; Gassäule'!$D$19</definedName>
    <definedName name="Kopf_leer">'Kaverne &amp; Gassäule'!$D$20</definedName>
    <definedName name="Kopf_voll">'Kaverne &amp; Gassäule'!$D$18</definedName>
    <definedName name="MV_Kopf_CH4">Medienvergleich!$E$11</definedName>
    <definedName name="MV_Kopf_CO2">Medienvergleich!$C$11</definedName>
    <definedName name="MV_Kopf_H2">Medienvergleich!$F$11</definedName>
    <definedName name="p_blase_TK">'Gemisch &amp; Grenzen'!$H$15</definedName>
    <definedName name="p_cricondenbar">'Gemisch &amp; Grenzen'!$H$11</definedName>
    <definedName name="p_grenz">'Kaverne &amp; Gassäule'!$C$19</definedName>
    <definedName name="p_lith_V1">Übersicht!$F$73</definedName>
    <definedName name="p_S1">Übersicht!$F$43</definedName>
    <definedName name="p_S2">Übersicht!$F$46</definedName>
    <definedName name="p_tau_TK">'Gemisch &amp; Grenzen'!$H$16</definedName>
    <definedName name="p_uek">Übersicht!$F$50</definedName>
    <definedName name="p_zw">Übersicht!$F$51</definedName>
    <definedName name="pmax_V1">Übersicht!$F$56</definedName>
    <definedName name="pmin_V1">Übersicht!$F$57</definedName>
    <definedName name="rho_min">Übersicht!$F$69</definedName>
    <definedName name="rho_n">'Einspeicherung S1'!$E$19</definedName>
    <definedName name="rhoSalz_V1">Übersicht!$F$58</definedName>
    <definedName name="Stand_ok">Übersicht!$Q$39</definedName>
    <definedName name="Szen1_eta">'Einspeicherung S1'!$E$14</definedName>
    <definedName name="Szen1_h1">'Einspeicherung S1'!$E$10</definedName>
    <definedName name="Szen1_h2">'Einspeicherung S1'!$E$15</definedName>
    <definedName name="Szen1_h2s">'Einspeicherung S1'!$E$13</definedName>
    <definedName name="Szen1_mmax">'Einspeicherung S1'!$E$21</definedName>
    <definedName name="Szen1_mmin">'Einspeicherung S1'!$E$20</definedName>
    <definedName name="Szen1_p1">'Einspeicherung S1'!$E$8</definedName>
    <definedName name="Szen1_p2">'Einspeicherung S1'!$E$12</definedName>
    <definedName name="Szen1_Pmax">'Einspeicherung S1'!$E$23</definedName>
    <definedName name="Szen1_Pmin">'Einspeicherung S1'!$E$22</definedName>
    <definedName name="Szen1_s1">'Einspeicherung S1'!$E$11</definedName>
    <definedName name="Szen1_T1">'Einspeicherung S1'!$E$9</definedName>
    <definedName name="Szen1_T2">'Einspeicherung S1'!$E$16</definedName>
    <definedName name="Szen1_w">'Einspeicherung S1'!$E$18</definedName>
    <definedName name="T_Kav_V1">Übersicht!$F$72</definedName>
    <definedName name="T_maxV">Übersicht!$F$49</definedName>
    <definedName name="T_S1">Übersicht!$F$44</definedName>
    <definedName name="T_S2">Übersicht!$F$47</definedName>
    <definedName name="Tober_V1">Übersicht!$F$54</definedName>
    <definedName name="U_PG">'Gemisch &amp; Grenzen'!$H$14</definedName>
    <definedName name="V_max">Übersicht!$F$64</definedName>
    <definedName name="V_min">Übersicht!$F$63</definedName>
    <definedName name="Z_min">Übersicht!$F$68</definedName>
    <definedName name="z_V1">Übersicht!$F$53</definedName>
    <definedName name="Zoom_Tmin">Diagrammdaten!$C$6</definedName>
    <definedName name="Zoom2_Tmin">Diagrammdaten!$F$6</definedName>
    <definedName name="T_ZK">Übersicht!$F$48</definedName>
    <definedName name="T_KW">Übersicht!$F$60</definedName>
    <definedName name="T_K">Übersicht!$F$61</definedName>
    <definedName name="Kopf_betr_S1">'Kaverne &amp; Gassäule'!$D$91</definedName>
    <definedName name="Kopf_betr_S2">'Kaverne &amp; Gassäule'!$D$93</definedName>
    <definedName name="Szen2_h1">'Einspeicherung S2'!$E$11</definedName>
    <definedName name="Szen2_h1s">'Einspeicherung S2'!$E$14</definedName>
    <definedName name="Szen2_h1a">'Einspeicherung S2'!$E$15</definedName>
    <definedName name="Szen2_T1a">'Einspeicherung S2'!$E$16</definedName>
    <definedName name="Szen2_w1">'Einspeicherung S2'!$E$18</definedName>
    <definedName name="Szen2_hZK">'Einspeicherung S2'!$E$21</definedName>
    <definedName name="Szen2_qZK">'Einspeicherung S2'!$E$22</definedName>
    <definedName name="Szen2_Z2">'Einspeicherung S2'!$E$23</definedName>
    <definedName name="Szen2_h2s">'Einspeicherung S2'!$E$28</definedName>
    <definedName name="Szen2_h2a">'Einspeicherung S2'!$E$29</definedName>
    <definedName name="Szen2_T2a">'Einspeicherung S2'!$E$30</definedName>
    <definedName name="Szen2_w2">'Einspeicherung S2'!$E$32</definedName>
    <definedName name="Szen2_hK">'Einspeicherung S2'!$E$35</definedName>
    <definedName name="Szen2_rhoP">'Einspeicherung S2'!$E$36</definedName>
    <definedName name="Szen2_qK">'Einspeicherung S2'!$E$38</definedName>
    <definedName name="Szen2_hPs">'Einspeicherung S2'!$E$42</definedName>
    <definedName name="Szen2_hPa">'Einspeicherung S2'!$E$43</definedName>
    <definedName name="Szen2_TPa">'Einspeicherung S2'!$E$44</definedName>
    <definedName name="Szen2_wP">'Einspeicherung S2'!$E$45</definedName>
    <definedName name="Szen2_w_ges">'Einspeicherung S2'!$E$47</definedName>
    <definedName name="Szen2_q_ges">'Einspeicherung S2'!$E$48</definedName>
    <definedName name="Szen2_Pmin">'Einspeicherung S2'!$E$49</definedName>
    <definedName name="Szen2_Pmax">'Einspeicherung S2'!$E$50</definedName>
    <definedName name="Szen2_Qmax">'Einspeicherung S2'!$E$51</definedName>
    <definedName name="Vgl_A_w">'Einspeicherung S2'!$F$67</definedName>
    <definedName name="Vgl_C_w">'Einspeicherung S2'!$F$68</definedName>
    <definedName name="T_cricondentherm">'Gemisch &amp; Grenzen'!$G$12</definedName>
    <definedName name="Z_lit">'Kühlung'!$E$62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;;;"/>
    <numFmt numFmtId="166" formatCode="0.0000"/>
    <numFmt numFmtId="167" formatCode="0.000"/>
    <numFmt numFmtId="168" formatCode="\+0.00;\-0.00"/>
    <numFmt numFmtId="169" formatCode="0.0#"/>
    <numFmt numFmtId="170" formatCode="0.0##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rgb="FF00304F"/>
      <sz val="20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color rgb="FF00304F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rgb="FF40404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0476D9"/>
      <sz val="10"/>
      <u val="single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FFFF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00304F"/>
      <sz val="10"/>
      <scheme val="minor"/>
    </font>
    <font>
      <name val="Calibri"/>
      <family val="2"/>
      <b val="1"/>
      <color rgb="FF9C0006"/>
      <sz val="10"/>
      <scheme val="minor"/>
    </font>
    <font>
      <name val="Calibri"/>
      <family val="2"/>
      <b val="1"/>
      <color rgb="FF007335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476D9"/>
      <sz val="10"/>
      <scheme val="minor"/>
    </font>
    <font>
      <name val="Calibri"/>
      <family val="2"/>
      <b val="1"/>
      <color rgb="FFEE7203"/>
      <sz val="10"/>
      <scheme val="minor"/>
    </font>
    <font>
      <name val="Calibri"/>
      <family val="2"/>
      <b val="1"/>
      <color rgb="FFCA220E"/>
      <sz val="10"/>
      <scheme val="minor"/>
    </font>
    <font>
      <name val="Calibri"/>
      <family val="2"/>
      <i val="1"/>
      <color theme="1"/>
      <sz val="8"/>
      <scheme val="minor"/>
    </font>
    <font>
      <name val="Calibri"/>
      <sz val="10"/>
    </font>
    <font>
      <name val="Calibri"/>
      <b val="1"/>
      <color rgb="00404040"/>
      <sz val="10"/>
    </font>
    <font>
      <name val="Calibri"/>
      <b val="1"/>
      <color rgb="00007335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304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7F0"/>
        <bgColor indexed="64"/>
      </patternFill>
    </fill>
    <fill>
      <patternFill patternType="lightUp">
        <fgColor rgb="FFBFBFBF"/>
        <bgColor rgb="FFFFFFFF"/>
      </patternFill>
    </fill>
    <fill>
      <patternFill patternType="solid">
        <fgColor rgb="FFFFF7EE"/>
        <bgColor indexed="64"/>
      </patternFill>
    </fill>
    <fill>
      <patternFill patternType="solid">
        <fgColor rgb="FFFFE5E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304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E7203"/>
      </left>
      <right style="thin">
        <color rgb="FFEE7203"/>
      </right>
      <top style="thin">
        <color rgb="FFEE7203"/>
      </top>
      <bottom style="thin">
        <color rgb="FFEE7203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EE7203"/>
      </left>
      <right style="thin">
        <color rgb="FFEE7203"/>
      </right>
      <top style="thin">
        <color rgb="FFEE7203"/>
      </top>
      <bottom/>
      <diagonal/>
    </border>
    <border>
      <left style="thin">
        <color rgb="FFEE7203"/>
      </left>
      <right/>
      <top style="thin">
        <color rgb="FFEE7203"/>
      </top>
      <bottom style="thin">
        <color rgb="FFEE7203"/>
      </bottom>
      <diagonal/>
    </border>
    <border>
      <left/>
      <right/>
      <top style="thin">
        <color rgb="FFEE7203"/>
      </top>
      <bottom style="thin">
        <color rgb="FFEE7203"/>
      </bottom>
      <diagonal/>
    </border>
    <border>
      <left/>
      <right style="thin">
        <color rgb="FFEE7203"/>
      </right>
      <top style="thin">
        <color rgb="FFEE7203"/>
      </top>
      <bottom style="thin">
        <color rgb="FFEE720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EE7203"/>
      </top>
      <bottom/>
      <diagonal/>
    </border>
    <border>
      <left/>
      <right style="thin">
        <color rgb="FFEE7203"/>
      </right>
      <top style="thin">
        <color rgb="FFEE7203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0" fillId="0" borderId="0"/>
    <xf numFmtId="0" fontId="19" fillId="0" borderId="0"/>
  </cellStyleXfs>
  <cellXfs count="1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5" fillId="2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9" fillId="6" borderId="0" pivotButton="0" quotePrefix="0" xfId="0"/>
    <xf numFmtId="0" fontId="10" fillId="0" borderId="0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165" fontId="14" fillId="0" borderId="0" applyAlignment="1" pivotButton="0" quotePrefix="0" xfId="0">
      <alignment vertical="center"/>
    </xf>
    <xf numFmtId="0" fontId="15" fillId="8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3" fontId="5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6" fillId="3" borderId="2" applyAlignment="1" pivotButton="0" quotePrefix="0" xfId="0">
      <alignment horizontal="center" vertical="center"/>
    </xf>
    <xf numFmtId="0" fontId="4" fillId="10" borderId="2" applyAlignment="1" pivotButton="0" quotePrefix="0" xfId="0">
      <alignment vertical="center"/>
    </xf>
    <xf numFmtId="49" fontId="7" fillId="4" borderId="2" applyAlignment="1" pivotButton="0" quotePrefix="0" xfId="0">
      <alignment horizontal="center" vertical="center"/>
    </xf>
    <xf numFmtId="9" fontId="7" fillId="4" borderId="2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3" fontId="8" fillId="5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66" fontId="6" fillId="3" borderId="2" applyAlignment="1" pivotButton="0" quotePrefix="0" xfId="0">
      <alignment horizontal="center" vertical="center"/>
    </xf>
    <xf numFmtId="49" fontId="6" fillId="3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1" fillId="0" borderId="0" applyAlignment="1" pivotButton="0" quotePrefix="0" xfId="1">
      <alignment vertical="center"/>
    </xf>
    <xf numFmtId="0" fontId="15" fillId="8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5" fillId="8" borderId="7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 wrapText="1"/>
    </xf>
    <xf numFmtId="164" fontId="4" fillId="4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2" fontId="4" fillId="4" borderId="5" applyAlignment="1" pivotButton="0" quotePrefix="0" xfId="0">
      <alignment horizontal="center" vertical="center"/>
    </xf>
    <xf numFmtId="2" fontId="6" fillId="3" borderId="6" applyAlignment="1" pivotButton="0" quotePrefix="0" xfId="0">
      <alignment horizontal="center" vertical="center"/>
    </xf>
    <xf numFmtId="2" fontId="6" fillId="3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center" vertical="center"/>
    </xf>
    <xf numFmtId="2" fontId="13" fillId="5" borderId="5" applyAlignment="1" pivotButton="0" quotePrefix="0" xfId="0">
      <alignment horizontal="center" vertical="center"/>
    </xf>
    <xf numFmtId="167" fontId="6" fillId="3" borderId="5" applyAlignment="1" pivotButton="0" quotePrefix="0" xfId="0">
      <alignment horizontal="center" vertical="center"/>
    </xf>
    <xf numFmtId="1" fontId="6" fillId="3" borderId="5" applyAlignment="1" pivotButton="0" quotePrefix="0" xfId="0">
      <alignment horizontal="center" vertical="center"/>
    </xf>
    <xf numFmtId="2" fontId="6" fillId="3" borderId="7" applyAlignment="1" pivotButton="0" quotePrefix="0" xfId="0">
      <alignment horizontal="center" vertical="center"/>
    </xf>
    <xf numFmtId="0" fontId="20" fillId="0" borderId="0" pivotButton="0" quotePrefix="0" xfId="0"/>
    <xf numFmtId="0" fontId="12" fillId="0" borderId="0" pivotButton="0" quotePrefix="0" xfId="0"/>
    <xf numFmtId="0" fontId="4" fillId="0" borderId="0" applyAlignment="1" pivotButton="0" quotePrefix="0" xfId="0">
      <alignment vertical="center" wrapText="1"/>
    </xf>
    <xf numFmtId="164" fontId="4" fillId="10" borderId="2" applyAlignment="1" pivotButton="0" quotePrefix="0" xfId="0">
      <alignment vertical="center"/>
    </xf>
    <xf numFmtId="0" fontId="24" fillId="0" borderId="0" pivotButton="0" quotePrefix="0" xfId="0"/>
    <xf numFmtId="0" fontId="18" fillId="0" borderId="7" applyAlignment="1" pivotButton="0" quotePrefix="0" xfId="0">
      <alignment vertical="center" wrapText="1"/>
    </xf>
    <xf numFmtId="0" fontId="22" fillId="0" borderId="7" applyAlignment="1" pivotButton="0" quotePrefix="0" xfId="0">
      <alignment vertical="center" wrapText="1"/>
    </xf>
    <xf numFmtId="0" fontId="23" fillId="0" borderId="7" applyAlignment="1" pivotButton="0" quotePrefix="0" xfId="0">
      <alignment vertical="center" wrapText="1"/>
    </xf>
    <xf numFmtId="0" fontId="23" fillId="0" borderId="2" applyAlignment="1" pivotButton="0" quotePrefix="0" xfId="0">
      <alignment vertical="center" wrapText="1"/>
    </xf>
    <xf numFmtId="1" fontId="5" fillId="2" borderId="2" applyAlignment="1" pivotButton="0" quotePrefix="0" xfId="0">
      <alignment horizontal="center" vertical="center"/>
    </xf>
    <xf numFmtId="1" fontId="8" fillId="5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5" applyAlignment="1" pivotButton="0" quotePrefix="1" xfId="0">
      <alignment vertical="center" wrapText="1"/>
    </xf>
    <xf numFmtId="164" fontId="4" fillId="4" borderId="6" applyAlignment="1" pivotButton="0" quotePrefix="0" xfId="0">
      <alignment horizontal="center" vertical="center"/>
    </xf>
    <xf numFmtId="2" fontId="4" fillId="4" borderId="6" applyAlignment="1" pivotButton="0" quotePrefix="0" xfId="0">
      <alignment horizontal="center" vertical="center"/>
    </xf>
    <xf numFmtId="49" fontId="4" fillId="0" borderId="5" applyAlignment="1" pivotButton="0" quotePrefix="0" xfId="0">
      <alignment horizontal="left" vertical="center" wrapText="1"/>
    </xf>
    <xf numFmtId="3" fontId="13" fillId="5" borderId="5" applyAlignment="1" pivotButton="0" quotePrefix="0" xfId="0">
      <alignment horizontal="center" vertical="center"/>
    </xf>
    <xf numFmtId="3" fontId="4" fillId="4" borderId="6" applyAlignment="1" pivotButton="0" quotePrefix="0" xfId="0">
      <alignment horizontal="center" vertical="center"/>
    </xf>
    <xf numFmtId="2" fontId="4" fillId="4" borderId="7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1" fillId="7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15" fillId="8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center" wrapText="1"/>
    </xf>
    <xf numFmtId="0" fontId="16" fillId="9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13" fillId="11" borderId="9" applyAlignment="1" pivotButton="0" quotePrefix="0" xfId="0">
      <alignment vertical="top" wrapText="1"/>
    </xf>
    <xf numFmtId="0" fontId="4" fillId="11" borderId="10" applyAlignment="1" pivotButton="0" quotePrefix="0" xfId="0">
      <alignment vertical="top" wrapText="1"/>
    </xf>
    <xf numFmtId="0" fontId="4" fillId="11" borderId="11" applyAlignment="1" pivotButton="0" quotePrefix="0" xfId="0">
      <alignment vertical="top" wrapText="1"/>
    </xf>
    <xf numFmtId="0" fontId="17" fillId="12" borderId="4" applyAlignment="1" pivotButton="0" quotePrefix="0" xfId="0">
      <alignment vertical="center" wrapText="1"/>
    </xf>
    <xf numFmtId="0" fontId="4" fillId="11" borderId="3" applyAlignment="1" pivotButton="0" quotePrefix="0" xfId="0">
      <alignment vertical="top" wrapText="1"/>
    </xf>
    <xf numFmtId="168" fontId="4" fillId="0" borderId="2" applyAlignment="1" pivotButton="0" quotePrefix="0" xfId="0">
      <alignment vertical="center" wrapText="1"/>
    </xf>
    <xf numFmtId="0" fontId="16" fillId="9" borderId="7" applyAlignment="1" pivotButton="0" quotePrefix="0" xfId="0">
      <alignment vertical="center"/>
    </xf>
    <xf numFmtId="0" fontId="13" fillId="11" borderId="8" applyAlignment="1" pivotButton="0" quotePrefix="0" xfId="0">
      <alignment vertical="top" wrapText="1"/>
    </xf>
    <xf numFmtId="0" fontId="4" fillId="11" borderId="8" applyAlignment="1" pivotButton="0" quotePrefix="0" xfId="0">
      <alignment vertical="top" wrapText="1"/>
    </xf>
    <xf numFmtId="0" fontId="13" fillId="11" borderId="3" applyAlignment="1" pivotButton="0" quotePrefix="0" xfId="0">
      <alignment vertical="top" wrapText="1"/>
    </xf>
    <xf numFmtId="0" fontId="0" fillId="0" borderId="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25" fillId="11" borderId="3" applyAlignment="1" pivotButton="0" quotePrefix="0" xfId="0">
      <alignment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12" pivotButton="0" quotePrefix="0" xfId="0"/>
    <xf numFmtId="164" fontId="13" fillId="5" borderId="5" applyAlignment="1" pivotButton="0" quotePrefix="0" xfId="0">
      <alignment horizontal="center" vertical="center"/>
    </xf>
    <xf numFmtId="0" fontId="0" fillId="0" borderId="13" pivotButton="0" quotePrefix="0" xfId="0"/>
    <xf numFmtId="3" fontId="4" fillId="4" borderId="5" applyAlignment="1" pivotButton="0" quotePrefix="0" xfId="0">
      <alignment horizontal="center" vertical="center"/>
    </xf>
    <xf numFmtId="1" fontId="26" fillId="3" borderId="5" applyAlignment="1" pivotButton="0" quotePrefix="0" xfId="0">
      <alignment horizontal="center" vertical="center"/>
    </xf>
    <xf numFmtId="2" fontId="26" fillId="3" borderId="5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 wrapText="1"/>
    </xf>
    <xf numFmtId="164" fontId="26" fillId="3" borderId="5" applyAlignment="1" pivotButton="0" quotePrefix="0" xfId="0">
      <alignment horizontal="center" vertical="center"/>
    </xf>
    <xf numFmtId="167" fontId="26" fillId="3" borderId="5" applyAlignment="1" pivotButton="0" quotePrefix="0" xfId="0">
      <alignment horizontal="center" vertical="center"/>
    </xf>
    <xf numFmtId="166" fontId="4" fillId="4" borderId="5" applyAlignment="1" pivotButton="0" quotePrefix="0" xfId="0">
      <alignment horizontal="center" vertical="center"/>
    </xf>
    <xf numFmtId="1" fontId="4" fillId="4" borderId="5" applyAlignment="1" pivotButton="0" quotePrefix="0" xfId="0">
      <alignment horizontal="center" vertical="center"/>
    </xf>
    <xf numFmtId="0" fontId="27" fillId="0" borderId="5" applyAlignment="1" pivotButton="0" quotePrefix="0" xfId="0">
      <alignment vertical="center" wrapText="1"/>
    </xf>
    <xf numFmtId="169" fontId="4" fillId="4" borderId="5" applyAlignment="1" pivotButton="0" quotePrefix="0" xfId="0">
      <alignment horizontal="center" vertical="center"/>
    </xf>
    <xf numFmtId="0" fontId="28" fillId="0" borderId="5" applyAlignment="1" pivotButton="0" quotePrefix="0" xfId="0">
      <alignment vertical="center" wrapText="1"/>
    </xf>
    <xf numFmtId="0" fontId="29" fillId="0" borderId="5" applyAlignment="1" pivotButton="0" quotePrefix="0" xfId="0">
      <alignment vertical="center" wrapText="1"/>
    </xf>
    <xf numFmtId="170" fontId="6" fillId="3" borderId="5" applyAlignment="1" pivotButton="0" quotePrefix="0" xfId="0">
      <alignment horizontal="center" vertical="center"/>
    </xf>
    <xf numFmtId="2" fontId="6" fillId="3" borderId="5" applyAlignment="1" pivotButton="0" quotePrefix="0" xfId="0">
      <alignment horizontal="center" vertical="center" wrapText="1"/>
    </xf>
  </cellXfs>
  <cellStyles count="2">
    <cellStyle name="Standard" xfId="0" builtinId="0"/>
    <cellStyle name="Link" xfId="1" builtinId="8"/>
  </cellStyles>
  <dxfs count="26"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b val="1"/>
        <color rgb="FF007335"/>
      </font>
    </dxf>
    <dxf>
      <font>
        <b val="1"/>
        <color rgb="FF9C0006"/>
      </font>
      <fill>
        <patternFill>
          <bgColor rgb="FFFFE5E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007335"/>
      </font>
    </dxf>
    <dxf>
      <font>
        <b val="1"/>
        <color rgb="FF9C0006"/>
      </font>
      <fill>
        <patternFill>
          <bgColor rgb="FFFFE5E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Dichte bei 91 bar: der Kühler vor der Pumpe liegt links der pseudokritischen Linie</a:t>
            </a:r>
          </a:p>
        </rich>
      </tx>
      <overlay val="0"/>
    </title>
    <plotArea>
      <scatterChart>
        <ser>
          <idx val="0"/>
          <order val="0"/>
          <tx>
            <v>reines CO₂</v>
          </tx>
          <spPr>
            <a:ln xmlns:a="http://schemas.openxmlformats.org/drawingml/2006/main" w="28575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'Kühlung'!$B$8:$B$48</f>
            </numRef>
          </xVal>
          <yVal>
            <numRef>
              <f>'Kühlung'!$C$8:$C$48</f>
            </numRef>
          </yVal>
          <smooth val="0"/>
        </ser>
        <ser>
          <idx val="1"/>
          <order val="1"/>
          <tx>
            <v>Worst-Case-Gemisch</v>
          </tx>
          <spPr>
            <a:ln xmlns:a="http://schemas.openxmlformats.org/drawingml/2006/main" w="28575">
              <a:solidFill>
                <a:srgbClr val="CA22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'Kühlung'!$B$8:$B$48</f>
            </numRef>
          </xVal>
          <yVal>
            <numRef>
              <f>'Kühlung'!$E$8:$E$48</f>
            </numRef>
          </yVal>
          <smooth val="0"/>
        </ser>
        <axId val="10"/>
        <axId val="20"/>
      </scatterChart>
      <valAx>
        <axId val="10"/>
        <scaling>
          <orientation val="minMax"/>
          <max val="50"/>
          <min val="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 [°C]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Dichte [kg/m³]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Realgasfaktor am Eintritt Stufe 2 (55 bar) über der Zwischenkühler-Temperatur</a:t>
            </a:r>
          </a:p>
        </rich>
      </tx>
      <overlay val="0"/>
    </title>
    <plotArea>
      <scatterChart>
        <ser>
          <idx val="0"/>
          <order val="0"/>
          <tx>
            <v>reines CO₂</v>
          </tx>
          <spPr>
            <a:ln xmlns:a="http://schemas.openxmlformats.org/drawingml/2006/main" w="28575">
              <a:solidFill>
                <a:srgbClr val="0030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304F"/>
              </a:solidFill>
              <a:ln xmlns:a="http://schemas.openxmlformats.org/drawingml/2006/main">
                <a:solidFill>
                  <a:srgbClr val="00304F"/>
                </a:solidFill>
                <a:prstDash val="solid"/>
              </a:ln>
            </spPr>
          </marker>
          <xVal>
            <numRef>
              <f>'Kühlung'!$B$68:$B$73</f>
            </numRef>
          </xVal>
          <yVal>
            <numRef>
              <f>'Kühlung'!$C$68:$C$73</f>
            </numRef>
          </yVal>
          <smooth val="0"/>
        </ser>
        <ser>
          <idx val="1"/>
          <order val="1"/>
          <tx>
            <v>Worst-Case-Gemisch</v>
          </tx>
          <spPr>
            <a:ln xmlns:a="http://schemas.openxmlformats.org/drawingml/2006/main" w="28575">
              <a:solidFill>
                <a:srgbClr val="CA220E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A220E"/>
              </a:solidFill>
              <a:ln xmlns:a="http://schemas.openxmlformats.org/drawingml/2006/main">
                <a:solidFill>
                  <a:srgbClr val="CA220E"/>
                </a:solidFill>
                <a:prstDash val="solid"/>
              </a:ln>
            </spPr>
          </marker>
          <xVal>
            <numRef>
              <f>'Kühlung'!$B$68:$B$73</f>
            </numRef>
          </xVal>
          <yVal>
            <numRef>
              <f>'Kühlung'!$H$68:$H$73</f>
            </numRef>
          </yVal>
          <smooth val="0"/>
        </ser>
        <ser>
          <idx val="2"/>
          <order val="2"/>
          <tx>
            <v>Z_min 0,65 (Siemens Energy)</v>
          </tx>
          <spPr>
            <a:ln xmlns:a="http://schemas.openxmlformats.org/drawingml/2006/main" w="1905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'Kühlung'!$P$77:$P$78</f>
            </numRef>
          </xVal>
          <yVal>
            <numRef>
              <f>'Kühlung'!$Q$77:$Q$78</f>
            </numRef>
          </yVal>
          <smooth val="0"/>
        </ser>
        <ser>
          <idx val="3"/>
          <order val="3"/>
          <tx>
            <v>Z 0,7 (Q-017 S. 44)</v>
          </tx>
          <spPr>
            <a:ln xmlns:a="http://schemas.openxmlformats.org/drawingml/2006/main" w="19050">
              <a:solidFill>
                <a:srgbClr val="EE720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'Kühlung'!$P$79:$P$80</f>
            </numRef>
          </xVal>
          <yVal>
            <numRef>
              <f>'Kühlung'!$Q$79:$Q$80</f>
            </numRef>
          </yVal>
          <smooth val="0"/>
        </ser>
        <axId val="10"/>
        <axId val="20"/>
      </scatterChart>
      <valAx>
        <axId val="10"/>
        <scaling>
          <orientation val="minMax"/>
          <max val="45"/>
          <min val="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nach Zwischenkühler [°C]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8"/>
          <min val="0.5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[–]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Gleicher Massenstrom, sehr unterschiedliche Volumenströme (100.000 Nm³/h)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'Massenströme'!C48</f>
            </strRef>
          </tx>
          <spPr>
            <a:solidFill xmlns:a="http://schemas.openxmlformats.org/drawingml/2006/main">
              <a:srgbClr val="CA220E"/>
            </a:solidFill>
            <a:ln xmlns:a="http://schemas.openxmlformats.org/drawingml/2006/main">
              <a:solidFill>
                <a:srgbClr val="CA220E"/>
              </a:solidFill>
              <a:prstDash val="solid"/>
            </a:ln>
          </spPr>
          <cat>
            <numRef>
              <f>'Massenströme'!$B$49:$B$58</f>
            </numRef>
          </cat>
          <val>
            <numRef>
              <f>'Massenströme'!$C$49:$C$58</f>
            </numRef>
          </val>
        </ser>
        <ser>
          <idx val="1"/>
          <order val="1"/>
          <tx>
            <strRef>
              <f>'Massenströme'!D48</f>
            </strRef>
          </tx>
          <spPr>
            <a:solidFill xmlns:a="http://schemas.openxmlformats.org/drawingml/2006/main">
              <a:srgbClr val="00304F"/>
            </a:solidFill>
            <a:ln xmlns:a="http://schemas.openxmlformats.org/drawingml/2006/main">
              <a:solidFill>
                <a:srgbClr val="00304F"/>
              </a:solidFill>
              <a:prstDash val="solid"/>
            </a:ln>
          </spPr>
          <cat>
            <numRef>
              <f>'Massenströme'!$B$49:$B$58</f>
            </numRef>
          </cat>
          <val>
            <numRef>
              <f>'Massenströme'!$D$49:$D$58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tatsächlicher Volumenstrom [m³/h] (logarithmisch)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_orig2_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Reines CO₂: eine Sättigungslinie – der Phasenwechsel liegt auf einer Linie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Diagrammdaten!$P$7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Diagrammdaten!$P$8:$P$388</c:f>
              <c:numCache>
                <c:formatCode>General</c:formatCode>
                <c:ptCount val="381"/>
                <c:pt idx="0">
                  <c:v>0.89241567971802027</c:v>
                </c:pt>
                <c:pt idx="1">
                  <c:v>0.93029797403040304</c:v>
                </c:pt>
                <c:pt idx="2">
                  <c:v>0.96958837381022944</c:v>
                </c:pt>
                <c:pt idx="3">
                  <c:v>1.010331934508877</c:v>
                </c:pt>
                <c:pt idx="4">
                  <c:v>1.0525749397826214</c:v>
                </c:pt>
                <c:pt idx="5">
                  <c:v>1.0963649308553405</c:v>
                </c:pt>
                <c:pt idx="6">
                  <c:v>1.1417507366031867</c:v>
                </c:pt>
                <c:pt idx="7">
                  <c:v>1.1887825043863187</c:v>
                </c:pt>
                <c:pt idx="8">
                  <c:v>1.2375117316542428</c:v>
                </c:pt>
                <c:pt idx="9">
                  <c:v>1.2879912983528754</c:v>
                </c:pt>
                <c:pt idx="10">
                  <c:v>1.340275500163288</c:v>
                </c:pt>
                <c:pt idx="11">
                  <c:v>1.3944200826039743</c:v>
                </c:pt>
                <c:pt idx="12">
                  <c:v>1.4504822760307026</c:v>
                </c:pt>
                <c:pt idx="13">
                  <c:v>1.5085208315704552</c:v>
                </c:pt>
                <c:pt idx="14">
                  <c:v>1.5685960580286391</c:v>
                </c:pt>
                <c:pt idx="15">
                  <c:v>1.6307698598119242</c:v>
                </c:pt>
                <c:pt idx="16">
                  <c:v>1.6951057759124981</c:v>
                </c:pt>
                <c:pt idx="17">
                  <c:v>1.7616690200035732</c:v>
                </c:pt>
                <c:pt idx="18">
                  <c:v>1.8305265217005857</c:v>
                </c:pt>
                <c:pt idx="19">
                  <c:v>1.901746969047835</c:v>
                </c:pt>
                <c:pt idx="20">
                  <c:v>1.9754008522965969</c:v>
                </c:pt>
                <c:pt idx="21">
                  <c:v>2.0515605090479743</c:v>
                </c:pt>
                <c:pt idx="22">
                  <c:v>2.1303001708424727</c:v>
                </c:pt>
                <c:pt idx="23">
                  <c:v>2.2116960112886028</c:v>
                </c:pt>
                <c:pt idx="24">
                  <c:v>2.2958261958352479</c:v>
                </c:pt>
                <c:pt idx="25">
                  <c:v>2.3827709333077967</c:v>
                </c:pt>
                <c:pt idx="26">
                  <c:v>2.4726125293466135</c:v>
                </c:pt>
                <c:pt idx="27">
                  <c:v>2.5654354419096896</c:v>
                </c:pt>
                <c:pt idx="28">
                  <c:v>2.6613263390304978</c:v>
                </c:pt>
                <c:pt idx="29">
                  <c:v>2.7603741590594004</c:v>
                </c:pt>
                <c:pt idx="30">
                  <c:v>2.862670173664994</c:v>
                </c:pt>
                <c:pt idx="31">
                  <c:v>2.9683080539352531</c:v>
                </c:pt>
                <c:pt idx="32">
                  <c:v>3.0773839400026244</c:v>
                </c:pt>
                <c:pt idx="33">
                  <c:v>3.1899965147323135</c:v>
                </c:pt>
                <c:pt idx="34">
                  <c:v>3.3062470821726935</c:v>
                </c:pt>
                <c:pt idx="35">
                  <c:v>3.4262396516937059</c:v>
                </c:pt>
                <c:pt idx="36">
                  <c:v>3.5500810290707134</c:v>
                </c:pt>
                <c:pt idx="37">
                  <c:v>3.6778809162695403</c:v>
                </c:pt>
                <c:pt idx="38">
                  <c:v>3.8097520224647976</c:v>
                </c:pt>
                <c:pt idx="39">
                  <c:v>3.9458101900827693</c:v>
                </c:pt>
                <c:pt idx="40">
                  <c:v>4.0861745418042217</c:v>
                </c:pt>
                <c:pt idx="41">
                  <c:v>4.2309676583365281</c:v>
                </c:pt>
                <c:pt idx="42">
                  <c:v>4.3803158042993156</c:v>
                </c:pt>
                <c:pt idx="43">
                  <c:v>4.5343492356916677</c:v>
                </c:pt>
                <c:pt idx="44">
                  <c:v>4.6932026616762457</c:v>
                </c:pt>
                <c:pt idx="45">
                  <c:v>4.8570160489607197</c:v>
                </c:pt>
                <c:pt idx="46">
                  <c:v>5.0259364249698981</c:v>
                </c:pt>
                <c:pt idx="47">
                  <c:v>5.1927198057659556</c:v>
                </c:pt>
                <c:pt idx="48">
                  <c:v>5.3064848802506397</c:v>
                </c:pt>
                <c:pt idx="49">
                  <c:v>5.4221234030281806</c:v>
                </c:pt>
                <c:pt idx="50">
                  <c:v>5.539654879524182</c:v>
                </c:pt>
                <c:pt idx="51">
                  <c:v>5.6590988759954195</c:v>
                </c:pt>
                <c:pt idx="52">
                  <c:v>5.7804750190074019</c:v>
                </c:pt>
                <c:pt idx="53">
                  <c:v>5.9038029949308406</c:v>
                </c:pt>
                <c:pt idx="54">
                  <c:v>6.0291025494573338</c:v>
                </c:pt>
                <c:pt idx="55">
                  <c:v>6.1563934871346557</c:v>
                </c:pt>
                <c:pt idx="56">
                  <c:v>6.2856956709220215</c:v>
                </c:pt>
                <c:pt idx="57">
                  <c:v>6.4170290217656518</c:v>
                </c:pt>
                <c:pt idx="58">
                  <c:v>6.5504135181950858</c:v>
                </c:pt>
                <c:pt idx="59">
                  <c:v>6.6858691959405734</c:v>
                </c:pt>
                <c:pt idx="60">
                  <c:v>6.8234161475719795</c:v>
                </c:pt>
                <c:pt idx="61">
                  <c:v>6.9630745221595642</c:v>
                </c:pt>
                <c:pt idx="62">
                  <c:v>7.1048645249570672</c:v>
                </c:pt>
                <c:pt idx="63">
                  <c:v>7.2488064171074891</c:v>
                </c:pt>
                <c:pt idx="64">
                  <c:v>7.3949205153719406</c:v>
                </c:pt>
                <c:pt idx="65">
                  <c:v>7.5432271918819795</c:v>
                </c:pt>
                <c:pt idx="66">
                  <c:v>7.6937468739157939</c:v>
                </c:pt>
                <c:pt idx="67">
                  <c:v>7.8465000436985717</c:v>
                </c:pt>
                <c:pt idx="68">
                  <c:v>8.0015072382274344</c:v>
                </c:pt>
                <c:pt idx="69">
                  <c:v>8.1587890491211841</c:v>
                </c:pt>
                <c:pt idx="70">
                  <c:v>8.3183661224951848</c:v>
                </c:pt>
                <c:pt idx="71">
                  <c:v>8.4802591588616014</c:v>
                </c:pt>
                <c:pt idx="72">
                  <c:v>8.6444889130551719</c:v>
                </c:pt>
                <c:pt idx="73">
                  <c:v>8.8110761941846807</c:v>
                </c:pt>
                <c:pt idx="74">
                  <c:v>8.9800418656102678</c:v>
                </c:pt>
                <c:pt idx="75">
                  <c:v>9.1514068449465498</c:v>
                </c:pt>
                <c:pt idx="76">
                  <c:v>9.3251921040916734</c:v>
                </c:pt>
                <c:pt idx="77">
                  <c:v>9.5014186692821738</c:v>
                </c:pt>
                <c:pt idx="78">
                  <c:v>9.680107621173665</c:v>
                </c:pt>
                <c:pt idx="79">
                  <c:v>9.8612800949471033</c:v>
                </c:pt>
                <c:pt idx="80">
                  <c:v>10.044957280440851</c:v>
                </c:pt>
                <c:pt idx="81">
                  <c:v>10.231160422307985</c:v>
                </c:pt>
                <c:pt idx="82">
                  <c:v>10.419910820198993</c:v>
                </c:pt>
                <c:pt idx="83">
                  <c:v>10.611229828969988</c:v>
                </c:pt>
                <c:pt idx="84">
                  <c:v>10.805138858915866</c:v>
                </c:pt>
                <c:pt idx="85">
                  <c:v>11.001659376028829</c:v>
                </c:pt>
                <c:pt idx="86">
                  <c:v>11.200812902282449</c:v>
                </c:pt>
                <c:pt idx="87">
                  <c:v>11.402621015941182</c:v>
                </c:pt>
                <c:pt idx="88">
                  <c:v>11.60710535189593</c:v>
                </c:pt>
                <c:pt idx="89">
                  <c:v>11.814287602026154</c:v>
                </c:pt>
                <c:pt idx="90">
                  <c:v>12.024189515588898</c:v>
                </c:pt>
                <c:pt idx="91">
                  <c:v>12.236832899636186</c:v>
                </c:pt>
                <c:pt idx="92">
                  <c:v>12.452239619461134</c:v>
                </c:pt>
                <c:pt idx="93">
                  <c:v>12.670431599074488</c:v>
                </c:pt>
                <c:pt idx="94">
                  <c:v>12.891430821713051</c:v>
                </c:pt>
                <c:pt idx="95">
                  <c:v>13.115259330381436</c:v>
                </c:pt>
                <c:pt idx="96">
                  <c:v>13.341939228429226</c:v>
                </c:pt>
                <c:pt idx="97">
                  <c:v>13.57149268016556</c:v>
                </c:pt>
                <c:pt idx="98">
                  <c:v>13.803941911513528</c:v>
                </c:pt>
                <c:pt idx="99">
                  <c:v>14.039309210706827</c:v>
                </c:pt>
                <c:pt idx="100">
                  <c:v>14.277616929031305</c:v>
                </c:pt>
                <c:pt idx="101">
                  <c:v>14.518887481614144</c:v>
                </c:pt>
                <c:pt idx="102">
                  <c:v>14.763143348263691</c:v>
                </c:pt>
                <c:pt idx="103">
                  <c:v>15.01040707436286</c:v>
                </c:pt>
                <c:pt idx="104">
                  <c:v>15.260701271819112</c:v>
                </c:pt>
                <c:pt idx="105">
                  <c:v>15.514048620074346</c:v>
                </c:pt>
                <c:pt idx="106">
                  <c:v>15.770471867177426</c:v>
                </c:pt>
                <c:pt idx="107">
                  <c:v>16.029993830922614</c:v>
                </c:pt>
                <c:pt idx="108">
                  <c:v>16.292637400056993</c:v>
                </c:pt>
                <c:pt idx="109">
                  <c:v>16.558425535559685</c:v>
                </c:pt>
                <c:pt idx="110">
                  <c:v>16.827381271995694</c:v>
                </c:pt>
                <c:pt idx="111">
                  <c:v>17.099527718947119</c:v>
                </c:pt>
                <c:pt idx="112">
                  <c:v>17.374888062524249</c:v>
                </c:pt>
                <c:pt idx="113">
                  <c:v>17.65348556695907</c:v>
                </c:pt>
                <c:pt idx="114">
                  <c:v>17.935343576283362</c:v>
                </c:pt>
                <c:pt idx="115">
                  <c:v>18.220485516093508</c:v>
                </c:pt>
                <c:pt idx="116">
                  <c:v>18.508934895403964</c:v>
                </c:pt>
                <c:pt idx="117">
                  <c:v>18.800715308591172</c:v>
                </c:pt>
                <c:pt idx="118">
                  <c:v>19.095850437429569</c:v>
                </c:pt>
                <c:pt idx="119">
                  <c:v>19.394364053221242</c:v>
                </c:pt>
                <c:pt idx="120">
                  <c:v>19.696280019020698</c:v>
                </c:pt>
                <c:pt idx="121">
                  <c:v>20.001622291955982</c:v>
                </c:pt>
                <c:pt idx="122">
                  <c:v>20.310414925647429</c:v>
                </c:pt>
                <c:pt idx="123">
                  <c:v>20.622682072725492</c:v>
                </c:pt>
                <c:pt idx="124">
                  <c:v>20.938447987448733</c:v>
                </c:pt>
                <c:pt idx="125">
                  <c:v>21.257737028423293</c:v>
                </c:pt>
                <c:pt idx="126">
                  <c:v>21.580573661425333</c:v>
                </c:pt>
                <c:pt idx="127">
                  <c:v>21.906982462327871</c:v>
                </c:pt>
                <c:pt idx="128">
                  <c:v>22.236988120133816</c:v>
                </c:pt>
                <c:pt idx="129">
                  <c:v>22.570615440116931</c:v>
                </c:pt>
                <c:pt idx="130">
                  <c:v>22.90788934707302</c:v>
                </c:pt>
                <c:pt idx="131">
                  <c:v>23.248834888683721</c:v>
                </c:pt>
                <c:pt idx="132">
                  <c:v>23.593477238995661</c:v>
                </c:pt>
                <c:pt idx="133">
                  <c:v>23.941841702018358</c:v>
                </c:pt>
                <c:pt idx="134">
                  <c:v>24.293953715444392</c:v>
                </c:pt>
                <c:pt idx="135">
                  <c:v>24.649838854496167</c:v>
                </c:pt>
                <c:pt idx="136">
                  <c:v>25.00952283590393</c:v>
                </c:pt>
                <c:pt idx="137">
                  <c:v>25.373031522020629</c:v>
                </c:pt>
                <c:pt idx="138">
                  <c:v>25.740390925079538</c:v>
                </c:pt>
                <c:pt idx="139">
                  <c:v>26.111627211601697</c:v>
                </c:pt>
                <c:pt idx="140">
                  <c:v>26.486766706960875</c:v>
                </c:pt>
                <c:pt idx="141">
                  <c:v>26.865835900114593</c:v>
                </c:pt>
                <c:pt idx="142">
                  <c:v>27.248861448510997</c:v>
                </c:pt>
                <c:pt idx="143">
                  <c:v>27.635870183182206</c:v>
                </c:pt>
                <c:pt idx="144">
                  <c:v>28.026889114035942</c:v>
                </c:pt>
                <c:pt idx="145">
                  <c:v>28.421945435358584</c:v>
                </c:pt>
                <c:pt idx="146">
                  <c:v>28.821066531543856</c:v>
                </c:pt>
                <c:pt idx="147">
                  <c:v>29.224279983062953</c:v>
                </c:pt>
                <c:pt idx="148">
                  <c:v>29.631613572693674</c:v>
                </c:pt>
                <c:pt idx="149">
                  <c:v>30.043095292026621</c:v>
                </c:pt>
                <c:pt idx="150">
                  <c:v>30.458753348268996</c:v>
                </c:pt>
                <c:pt idx="151">
                  <c:v>30.878616171368314</c:v>
                </c:pt>
                <c:pt idx="152">
                  <c:v>31.302712421479345</c:v>
                </c:pt>
                <c:pt idx="153">
                  <c:v>31.731070996799659</c:v>
                </c:pt>
                <c:pt idx="154">
                  <c:v>32.163721041800734</c:v>
                </c:pt>
                <c:pt idx="155">
                  <c:v>32.600691955883526</c:v>
                </c:pt>
                <c:pt idx="156">
                  <c:v>33.042013402488855</c:v>
                </c:pt>
                <c:pt idx="157">
                  <c:v>33.487715318694562</c:v>
                </c:pt>
                <c:pt idx="158">
                  <c:v>33.937827925332847</c:v>
                </c:pt>
                <c:pt idx="159">
                  <c:v>34.39238173766244</c:v>
                </c:pt>
                <c:pt idx="160">
                  <c:v>34.851407576631608</c:v>
                </c:pt>
                <c:pt idx="161">
                  <c:v>35.314936580768631</c:v>
                </c:pt>
                <c:pt idx="162">
                  <c:v>35.783000218737484</c:v>
                </c:pt>
                <c:pt idx="163">
                  <c:v>36.255630302596593</c:v>
                </c:pt>
                <c:pt idx="164">
                  <c:v>36.732859001798673</c:v>
                </c:pt>
                <c:pt idx="165">
                  <c:v>37.214718857969494</c:v>
                </c:pt>
                <c:pt idx="166">
                  <c:v>37.701242800504772</c:v>
                </c:pt>
                <c:pt idx="167">
                  <c:v>38.192464163019899</c:v>
                </c:pt>
                <c:pt idx="168">
                  <c:v>38.688416700693111</c:v>
                </c:pt>
                <c:pt idx="169">
                  <c:v>39.189134608534893</c:v>
                </c:pt>
                <c:pt idx="170">
                  <c:v>39.694652540623991</c:v>
                </c:pt>
                <c:pt idx="171">
                  <c:v>40.205005630345198</c:v>
                </c:pt>
                <c:pt idx="172">
                  <c:v>40.720229511669196</c:v>
                </c:pt>
                <c:pt idx="173">
                  <c:v>41.240360341517039</c:v>
                </c:pt>
                <c:pt idx="174">
                  <c:v>41.765434823257834</c:v>
                </c:pt>
                <c:pt idx="175">
                  <c:v>42.295490231395377</c:v>
                </c:pt>
                <c:pt idx="176">
                  <c:v>42.830564437512301</c:v>
                </c:pt>
                <c:pt idx="177">
                  <c:v>43.370695937558452</c:v>
                </c:pt>
                <c:pt idx="178">
                  <c:v>43.915923880589062</c:v>
                </c:pt>
                <c:pt idx="179">
                  <c:v>44.466288099091834</c:v>
                </c:pt>
                <c:pt idx="180">
                  <c:v>45.021829141077745</c:v>
                </c:pt>
                <c:pt idx="181">
                  <c:v>45.58258830415997</c:v>
                </c:pt>
                <c:pt idx="182">
                  <c:v>46.148607671903456</c:v>
                </c:pt>
                <c:pt idx="183">
                  <c:v>46.719930152803094</c:v>
                </c:pt>
                <c:pt idx="184">
                  <c:v>47.296599522332883</c:v>
                </c:pt>
                <c:pt idx="185">
                  <c:v>47.878660468614633</c:v>
                </c:pt>
                <c:pt idx="186">
                  <c:v>48.466158642374708</c:v>
                </c:pt>
                <c:pt idx="187">
                  <c:v>49.059140711995113</c:v>
                </c:pt>
                <c:pt idx="188">
                  <c:v>49.657654424620681</c:v>
                </c:pt>
                <c:pt idx="189">
                  <c:v>50.261748674457117</c:v>
                </c:pt>
                <c:pt idx="190">
                  <c:v>50.871473579579622</c:v>
                </c:pt>
                <c:pt idx="191">
                  <c:v>51.486880568765706</c:v>
                </c:pt>
                <c:pt idx="192">
                  <c:v>52.108022480067454</c:v>
                </c:pt>
                <c:pt idx="193">
                  <c:v>52.734953673028897</c:v>
                </c:pt>
                <c:pt idx="194">
                  <c:v>53.367730156634174</c:v>
                </c:pt>
                <c:pt idx="195">
                  <c:v>54.006409735221233</c:v>
                </c:pt>
                <c:pt idx="196">
                  <c:v>54.651052174703032</c:v>
                </c:pt>
                <c:pt idx="197">
                  <c:v>55.301719391487829</c:v>
                </c:pt>
                <c:pt idx="198">
                  <c:v>55.958475666473511</c:v>
                </c:pt>
                <c:pt idx="199">
                  <c:v>56.621387886405877</c:v>
                </c:pt>
                <c:pt idx="200">
                  <c:v>57.290525814751483</c:v>
                </c:pt>
                <c:pt idx="201">
                  <c:v>57.965962394091143</c:v>
                </c:pt>
                <c:pt idx="202">
                  <c:v>58.64777408198038</c:v>
                </c:pt>
                <c:pt idx="203">
                  <c:v>59.336041222435689</c:v>
                </c:pt>
                <c:pt idx="204">
                  <c:v>60.030848455969853</c:v>
                </c:pt>
                <c:pt idx="205">
                  <c:v>60.732285172919006</c:v>
                </c:pt>
                <c:pt idx="206">
                  <c:v>61.44044601842505</c:v>
                </c:pt>
                <c:pt idx="207">
                  <c:v>62.155431464028673</c:v>
                </c:pt>
                <c:pt idx="208">
                  <c:v>62.877348472157799</c:v>
                </c:pt>
                <c:pt idx="209">
                  <c:v>63.606311298432871</c:v>
                </c:pt>
                <c:pt idx="210">
                  <c:v>64.342442506404197</c:v>
                </c:pt>
                <c:pt idx="211">
                  <c:v>65.085874315255694</c:v>
                </c:pt>
                <c:pt idx="212">
                  <c:v>65.836750470125125</c:v>
                </c:pt>
                <c:pt idx="213">
                  <c:v>66.595228926019871</c:v>
                </c:pt>
                <c:pt idx="214">
                  <c:v>67.361485781846483</c:v>
                </c:pt>
                <c:pt idx="215">
                  <c:v>68.135721110480731</c:v>
                </c:pt>
                <c:pt idx="216">
                  <c:v>68.918167651264497</c:v>
                </c:pt>
                <c:pt idx="217">
                  <c:v>69.709103911971511</c:v>
                </c:pt>
                <c:pt idx="218">
                  <c:v>70.508874587106746</c:v>
                </c:pt>
                <c:pt idx="219">
                  <c:v>71.317925280192156</c:v>
                </c:pt>
                <c:pt idx="220">
                  <c:v>72.136873827311533</c:v>
                </c:pt>
                <c:pt idx="221">
                  <c:v>72.966718261209081</c:v>
                </c:pt>
                <c:pt idx="222">
                  <c:v>73.772983734467516</c:v>
                </c:pt>
                <c:pt idx="223">
                  <c:v>73.772983734467516</c:v>
                </c:pt>
                <c:pt idx="224">
                  <c:v>73.772983734467516</c:v>
                </c:pt>
                <c:pt idx="225">
                  <c:v>73.772983734467516</c:v>
                </c:pt>
                <c:pt idx="226">
                  <c:v>73.772983734467516</c:v>
                </c:pt>
                <c:pt idx="227">
                  <c:v>73.772983734467516</c:v>
                </c:pt>
                <c:pt idx="228">
                  <c:v>73.772983734467516</c:v>
                </c:pt>
                <c:pt idx="229">
                  <c:v>73.772983734467516</c:v>
                </c:pt>
                <c:pt idx="230">
                  <c:v>73.772983734467516</c:v>
                </c:pt>
                <c:pt idx="231">
                  <c:v>73.772983734467516</c:v>
                </c:pt>
                <c:pt idx="232">
                  <c:v>73.772983734467516</c:v>
                </c:pt>
                <c:pt idx="233">
                  <c:v>73.772983734467516</c:v>
                </c:pt>
                <c:pt idx="234">
                  <c:v>73.772983734467516</c:v>
                </c:pt>
                <c:pt idx="235">
                  <c:v>73.772983734467516</c:v>
                </c:pt>
                <c:pt idx="236">
                  <c:v>73.772983734467516</c:v>
                </c:pt>
                <c:pt idx="237">
                  <c:v>73.772983734467516</c:v>
                </c:pt>
                <c:pt idx="238">
                  <c:v>73.772983734467516</c:v>
                </c:pt>
                <c:pt idx="239">
                  <c:v>73.772983734467516</c:v>
                </c:pt>
                <c:pt idx="240">
                  <c:v>73.772983734467516</c:v>
                </c:pt>
                <c:pt idx="241">
                  <c:v>73.772983734467516</c:v>
                </c:pt>
                <c:pt idx="242">
                  <c:v>73.772983734467516</c:v>
                </c:pt>
                <c:pt idx="243">
                  <c:v>73.772983734467516</c:v>
                </c:pt>
                <c:pt idx="244">
                  <c:v>73.772983734467516</c:v>
                </c:pt>
                <c:pt idx="245">
                  <c:v>73.772983734467516</c:v>
                </c:pt>
                <c:pt idx="246">
                  <c:v>73.772983734467516</c:v>
                </c:pt>
                <c:pt idx="247">
                  <c:v>73.772983734467516</c:v>
                </c:pt>
                <c:pt idx="248">
                  <c:v>73.772983734467516</c:v>
                </c:pt>
                <c:pt idx="249">
                  <c:v>73.772983734467516</c:v>
                </c:pt>
                <c:pt idx="250">
                  <c:v>73.772983734467516</c:v>
                </c:pt>
                <c:pt idx="251">
                  <c:v>73.772983734467516</c:v>
                </c:pt>
                <c:pt idx="252">
                  <c:v>73.772983734467516</c:v>
                </c:pt>
                <c:pt idx="253">
                  <c:v>73.772983734467516</c:v>
                </c:pt>
                <c:pt idx="254">
                  <c:v>73.772983734467516</c:v>
                </c:pt>
                <c:pt idx="255">
                  <c:v>73.772983734467516</c:v>
                </c:pt>
                <c:pt idx="256">
                  <c:v>73.772983734467516</c:v>
                </c:pt>
                <c:pt idx="257">
                  <c:v>73.772983734467516</c:v>
                </c:pt>
                <c:pt idx="258">
                  <c:v>73.772983734467516</c:v>
                </c:pt>
                <c:pt idx="259">
                  <c:v>73.772983734467516</c:v>
                </c:pt>
                <c:pt idx="260">
                  <c:v>73.772983734467516</c:v>
                </c:pt>
                <c:pt idx="261">
                  <c:v>73.772983734467516</c:v>
                </c:pt>
                <c:pt idx="262">
                  <c:v>73.772983734467516</c:v>
                </c:pt>
                <c:pt idx="263">
                  <c:v>73.772983734467516</c:v>
                </c:pt>
                <c:pt idx="264">
                  <c:v>73.772983734467516</c:v>
                </c:pt>
                <c:pt idx="265">
                  <c:v>73.772983734467516</c:v>
                </c:pt>
                <c:pt idx="266">
                  <c:v>73.772983734467516</c:v>
                </c:pt>
                <c:pt idx="267">
                  <c:v>73.772983734467516</c:v>
                </c:pt>
                <c:pt idx="268">
                  <c:v>73.772983734467516</c:v>
                </c:pt>
                <c:pt idx="269">
                  <c:v>73.772983734467516</c:v>
                </c:pt>
                <c:pt idx="270">
                  <c:v>73.772983734467516</c:v>
                </c:pt>
                <c:pt idx="271">
                  <c:v>73.772983734467516</c:v>
                </c:pt>
                <c:pt idx="272">
                  <c:v>73.772983734467516</c:v>
                </c:pt>
                <c:pt idx="273">
                  <c:v>73.772983734467516</c:v>
                </c:pt>
                <c:pt idx="274">
                  <c:v>73.772983734467516</c:v>
                </c:pt>
                <c:pt idx="275">
                  <c:v>73.772983734467516</c:v>
                </c:pt>
                <c:pt idx="276">
                  <c:v>73.772983734467516</c:v>
                </c:pt>
                <c:pt idx="277">
                  <c:v>73.772983734467516</c:v>
                </c:pt>
                <c:pt idx="278">
                  <c:v>73.772983734467516</c:v>
                </c:pt>
                <c:pt idx="279">
                  <c:v>73.772983734467516</c:v>
                </c:pt>
                <c:pt idx="280">
                  <c:v>73.772983734467516</c:v>
                </c:pt>
                <c:pt idx="281">
                  <c:v>73.772983734467516</c:v>
                </c:pt>
                <c:pt idx="282">
                  <c:v>73.772983734467516</c:v>
                </c:pt>
                <c:pt idx="283">
                  <c:v>73.772983734467516</c:v>
                </c:pt>
                <c:pt idx="284">
                  <c:v>73.772983734467516</c:v>
                </c:pt>
                <c:pt idx="285">
                  <c:v>73.772983734467516</c:v>
                </c:pt>
                <c:pt idx="286">
                  <c:v>73.772983734467516</c:v>
                </c:pt>
                <c:pt idx="287">
                  <c:v>73.772983734467516</c:v>
                </c:pt>
                <c:pt idx="288">
                  <c:v>73.772983734467516</c:v>
                </c:pt>
                <c:pt idx="289">
                  <c:v>73.772983734467516</c:v>
                </c:pt>
                <c:pt idx="290">
                  <c:v>73.772983734467516</c:v>
                </c:pt>
                <c:pt idx="291">
                  <c:v>73.772983734467516</c:v>
                </c:pt>
                <c:pt idx="292">
                  <c:v>73.772983734467516</c:v>
                </c:pt>
                <c:pt idx="293">
                  <c:v>73.772983734467516</c:v>
                </c:pt>
                <c:pt idx="294">
                  <c:v>73.772983734467516</c:v>
                </c:pt>
                <c:pt idx="295">
                  <c:v>73.772983734467516</c:v>
                </c:pt>
                <c:pt idx="296">
                  <c:v>73.772983734467516</c:v>
                </c:pt>
                <c:pt idx="297">
                  <c:v>73.772983734467516</c:v>
                </c:pt>
                <c:pt idx="298">
                  <c:v>73.772983734467516</c:v>
                </c:pt>
                <c:pt idx="299">
                  <c:v>73.772983734467516</c:v>
                </c:pt>
                <c:pt idx="300">
                  <c:v>73.772983734467516</c:v>
                </c:pt>
                <c:pt idx="301">
                  <c:v>73.772983734467516</c:v>
                </c:pt>
                <c:pt idx="302">
                  <c:v>73.772983734467516</c:v>
                </c:pt>
                <c:pt idx="303">
                  <c:v>73.772983734467516</c:v>
                </c:pt>
                <c:pt idx="304">
                  <c:v>73.772983734467516</c:v>
                </c:pt>
                <c:pt idx="305">
                  <c:v>73.772983734467516</c:v>
                </c:pt>
                <c:pt idx="306">
                  <c:v>73.772983734467516</c:v>
                </c:pt>
                <c:pt idx="307">
                  <c:v>73.772983734467516</c:v>
                </c:pt>
                <c:pt idx="308">
                  <c:v>73.772983734467516</c:v>
                </c:pt>
                <c:pt idx="309">
                  <c:v>73.772983734467516</c:v>
                </c:pt>
                <c:pt idx="310">
                  <c:v>73.772983734467516</c:v>
                </c:pt>
                <c:pt idx="311">
                  <c:v>73.772983734467516</c:v>
                </c:pt>
                <c:pt idx="312">
                  <c:v>73.772983734467516</c:v>
                </c:pt>
                <c:pt idx="313">
                  <c:v>73.772983734467516</c:v>
                </c:pt>
                <c:pt idx="314">
                  <c:v>73.772983734467516</c:v>
                </c:pt>
                <c:pt idx="315">
                  <c:v>73.772983734467516</c:v>
                </c:pt>
                <c:pt idx="316">
                  <c:v>73.772983734467516</c:v>
                </c:pt>
                <c:pt idx="317">
                  <c:v>73.772983734467516</c:v>
                </c:pt>
                <c:pt idx="318">
                  <c:v>73.772983734467516</c:v>
                </c:pt>
                <c:pt idx="319">
                  <c:v>73.772983734467516</c:v>
                </c:pt>
                <c:pt idx="320">
                  <c:v>73.772983734467516</c:v>
                </c:pt>
                <c:pt idx="321">
                  <c:v>73.772983734467516</c:v>
                </c:pt>
                <c:pt idx="322">
                  <c:v>73.772983734467516</c:v>
                </c:pt>
                <c:pt idx="323">
                  <c:v>73.772983734467516</c:v>
                </c:pt>
                <c:pt idx="324">
                  <c:v>73.772983734467516</c:v>
                </c:pt>
                <c:pt idx="325">
                  <c:v>73.772983734467516</c:v>
                </c:pt>
                <c:pt idx="326">
                  <c:v>73.772983734467516</c:v>
                </c:pt>
                <c:pt idx="327">
                  <c:v>73.772983734467516</c:v>
                </c:pt>
                <c:pt idx="328">
                  <c:v>73.772983734467516</c:v>
                </c:pt>
                <c:pt idx="329">
                  <c:v>73.772983734467516</c:v>
                </c:pt>
                <c:pt idx="330">
                  <c:v>73.772983734467516</c:v>
                </c:pt>
                <c:pt idx="331">
                  <c:v>73.772983734467516</c:v>
                </c:pt>
                <c:pt idx="332">
                  <c:v>73.772983734467516</c:v>
                </c:pt>
                <c:pt idx="333">
                  <c:v>73.772983734467516</c:v>
                </c:pt>
                <c:pt idx="334">
                  <c:v>73.772983734467516</c:v>
                </c:pt>
                <c:pt idx="335">
                  <c:v>73.772983734467516</c:v>
                </c:pt>
                <c:pt idx="336">
                  <c:v>73.772983734467516</c:v>
                </c:pt>
                <c:pt idx="337">
                  <c:v>73.772983734467516</c:v>
                </c:pt>
                <c:pt idx="338">
                  <c:v>73.772983734467516</c:v>
                </c:pt>
                <c:pt idx="339">
                  <c:v>73.772983734467516</c:v>
                </c:pt>
                <c:pt idx="340">
                  <c:v>73.772983734467516</c:v>
                </c:pt>
                <c:pt idx="341">
                  <c:v>73.772983734467516</c:v>
                </c:pt>
                <c:pt idx="342">
                  <c:v>73.772983734467516</c:v>
                </c:pt>
                <c:pt idx="343">
                  <c:v>73.772983734467516</c:v>
                </c:pt>
                <c:pt idx="344">
                  <c:v>73.772983734467516</c:v>
                </c:pt>
                <c:pt idx="345">
                  <c:v>73.772983734467516</c:v>
                </c:pt>
                <c:pt idx="346">
                  <c:v>73.772983734467516</c:v>
                </c:pt>
                <c:pt idx="347">
                  <c:v>73.772983734467516</c:v>
                </c:pt>
                <c:pt idx="348">
                  <c:v>73.772983734467516</c:v>
                </c:pt>
                <c:pt idx="349">
                  <c:v>73.772983734467516</c:v>
                </c:pt>
                <c:pt idx="350">
                  <c:v>73.772983734467516</c:v>
                </c:pt>
                <c:pt idx="351">
                  <c:v>73.772983734467516</c:v>
                </c:pt>
                <c:pt idx="352">
                  <c:v>73.772983734467516</c:v>
                </c:pt>
                <c:pt idx="353">
                  <c:v>73.772983734467516</c:v>
                </c:pt>
                <c:pt idx="354">
                  <c:v>73.772983734467516</c:v>
                </c:pt>
                <c:pt idx="355">
                  <c:v>73.772983734467516</c:v>
                </c:pt>
                <c:pt idx="356">
                  <c:v>73.772983734467516</c:v>
                </c:pt>
                <c:pt idx="357">
                  <c:v>73.772983734467516</c:v>
                </c:pt>
                <c:pt idx="358">
                  <c:v>73.772983734467516</c:v>
                </c:pt>
                <c:pt idx="359">
                  <c:v>73.772983734467516</c:v>
                </c:pt>
                <c:pt idx="360">
                  <c:v>73.772983734467516</c:v>
                </c:pt>
                <c:pt idx="361">
                  <c:v>73.772983734467516</c:v>
                </c:pt>
                <c:pt idx="362">
                  <c:v>73.772983734467516</c:v>
                </c:pt>
                <c:pt idx="363">
                  <c:v>73.772983734467516</c:v>
                </c:pt>
                <c:pt idx="364">
                  <c:v>73.772983734467516</c:v>
                </c:pt>
                <c:pt idx="365">
                  <c:v>73.772983734467516</c:v>
                </c:pt>
                <c:pt idx="366">
                  <c:v>73.772983734467516</c:v>
                </c:pt>
                <c:pt idx="367">
                  <c:v>73.772983734467516</c:v>
                </c:pt>
                <c:pt idx="368">
                  <c:v>73.772983734467516</c:v>
                </c:pt>
                <c:pt idx="369">
                  <c:v>73.772983734467516</c:v>
                </c:pt>
                <c:pt idx="370">
                  <c:v>73.772983734467516</c:v>
                </c:pt>
                <c:pt idx="371">
                  <c:v>73.772983734467516</c:v>
                </c:pt>
                <c:pt idx="372">
                  <c:v>73.772983734467516</c:v>
                </c:pt>
                <c:pt idx="373">
                  <c:v>73.772983734467516</c:v>
                </c:pt>
                <c:pt idx="374">
                  <c:v>73.772983734467516</c:v>
                </c:pt>
                <c:pt idx="375">
                  <c:v>73.772983734467516</c:v>
                </c:pt>
                <c:pt idx="376">
                  <c:v>73.772983734467516</c:v>
                </c:pt>
                <c:pt idx="377">
                  <c:v>73.772983734467516</c:v>
                </c:pt>
                <c:pt idx="378">
                  <c:v>73.772983734467516</c:v>
                </c:pt>
                <c:pt idx="379">
                  <c:v>73.772983734467516</c:v>
                </c:pt>
                <c:pt idx="380">
                  <c:v>73.772983734467516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B-4878-9126-9B164879F278}"/>
            </c:ext>
          </c:extLst>
        </c:ser>
        <c:ser>
          <c:idx val="2"/>
          <c:order val="1"/>
          <c:tx>
            <c:strRef>
              <c:f>Diagrammdaten!$Q$7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Diagrammdaten!$Q$8:$Q$388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2.7000757855221309</c:v>
                </c:pt>
                <c:pt idx="48">
                  <c:v>26.038871578846255</c:v>
                </c:pt>
                <c:pt idx="49">
                  <c:v>49.489267287089461</c:v>
                </c:pt>
                <c:pt idx="50">
                  <c:v>73.051243404821633</c:v>
                </c:pt>
                <c:pt idx="51">
                  <c:v>96.724780365788234</c:v>
                </c:pt>
                <c:pt idx="52">
                  <c:v>120.50985854342602</c:v>
                </c:pt>
                <c:pt idx="53">
                  <c:v>144.40645825135979</c:v>
                </c:pt>
                <c:pt idx="54">
                  <c:v>168.41455974390246</c:v>
                </c:pt>
                <c:pt idx="55">
                  <c:v>192.53414321650163</c:v>
                </c:pt>
                <c:pt idx="56">
                  <c:v>216.76518880620046</c:v>
                </c:pt>
                <c:pt idx="57">
                  <c:v>241.10767659205504</c:v>
                </c:pt>
                <c:pt idx="58">
                  <c:v>243.44958648180491</c:v>
                </c:pt>
                <c:pt idx="59">
                  <c:v>243.31413080405943</c:v>
                </c:pt>
                <c:pt idx="60">
                  <c:v>243.17658385242802</c:v>
                </c:pt>
                <c:pt idx="61">
                  <c:v>243.03692547784044</c:v>
                </c:pt>
                <c:pt idx="62">
                  <c:v>242.89513547504293</c:v>
                </c:pt>
                <c:pt idx="63">
                  <c:v>242.75119358289251</c:v>
                </c:pt>
                <c:pt idx="64">
                  <c:v>242.60507948462805</c:v>
                </c:pt>
                <c:pt idx="65">
                  <c:v>242.45677280811802</c:v>
                </c:pt>
                <c:pt idx="66">
                  <c:v>242.30625312608421</c:v>
                </c:pt>
                <c:pt idx="67">
                  <c:v>242.15349995630143</c:v>
                </c:pt>
                <c:pt idx="68">
                  <c:v>241.99849276177255</c:v>
                </c:pt>
                <c:pt idx="69">
                  <c:v>241.8412109508788</c:v>
                </c:pt>
                <c:pt idx="70">
                  <c:v>241.68163387750482</c:v>
                </c:pt>
                <c:pt idx="71">
                  <c:v>241.5197408411384</c:v>
                </c:pt>
                <c:pt idx="72">
                  <c:v>241.35551108694483</c:v>
                </c:pt>
                <c:pt idx="73">
                  <c:v>241.18892380581531</c:v>
                </c:pt>
                <c:pt idx="74">
                  <c:v>241.01995813438973</c:v>
                </c:pt>
                <c:pt idx="75">
                  <c:v>240.84859315505344</c:v>
                </c:pt>
                <c:pt idx="76">
                  <c:v>240.67480789590832</c:v>
                </c:pt>
                <c:pt idx="77">
                  <c:v>240.49858133071783</c:v>
                </c:pt>
                <c:pt idx="78">
                  <c:v>240.31989237882632</c:v>
                </c:pt>
                <c:pt idx="79">
                  <c:v>240.13871990505291</c:v>
                </c:pt>
                <c:pt idx="80">
                  <c:v>239.95504271955915</c:v>
                </c:pt>
                <c:pt idx="81">
                  <c:v>239.76883957769201</c:v>
                </c:pt>
                <c:pt idx="82">
                  <c:v>239.58008917980101</c:v>
                </c:pt>
                <c:pt idx="83">
                  <c:v>239.38877017103002</c:v>
                </c:pt>
                <c:pt idx="84">
                  <c:v>239.19486114108415</c:v>
                </c:pt>
                <c:pt idx="85">
                  <c:v>238.99834062397116</c:v>
                </c:pt>
                <c:pt idx="86">
                  <c:v>238.79918709771755</c:v>
                </c:pt>
                <c:pt idx="87">
                  <c:v>238.59737898405882</c:v>
                </c:pt>
                <c:pt idx="88">
                  <c:v>238.39289464810406</c:v>
                </c:pt>
                <c:pt idx="89">
                  <c:v>238.18571239797384</c:v>
                </c:pt>
                <c:pt idx="90">
                  <c:v>237.97581048441111</c:v>
                </c:pt>
                <c:pt idx="91">
                  <c:v>237.7631671003638</c:v>
                </c:pt>
                <c:pt idx="92">
                  <c:v>237.54776038053888</c:v>
                </c:pt>
                <c:pt idx="93">
                  <c:v>237.32956840092552</c:v>
                </c:pt>
                <c:pt idx="94">
                  <c:v>237.10856917828696</c:v>
                </c:pt>
                <c:pt idx="95">
                  <c:v>236.88474066961857</c:v>
                </c:pt>
                <c:pt idx="96">
                  <c:v>236.65806077157077</c:v>
                </c:pt>
                <c:pt idx="97">
                  <c:v>236.42850731983444</c:v>
                </c:pt>
                <c:pt idx="98">
                  <c:v>236.19605808848647</c:v>
                </c:pt>
                <c:pt idx="99">
                  <c:v>235.96069078929318</c:v>
                </c:pt>
                <c:pt idx="100">
                  <c:v>235.7223830709687</c:v>
                </c:pt>
                <c:pt idx="101">
                  <c:v>235.48111251838586</c:v>
                </c:pt>
                <c:pt idx="102">
                  <c:v>235.2368566517363</c:v>
                </c:pt>
                <c:pt idx="103">
                  <c:v>234.98959292563714</c:v>
                </c:pt>
                <c:pt idx="104">
                  <c:v>234.7392987281809</c:v>
                </c:pt>
                <c:pt idx="105">
                  <c:v>234.48595137992567</c:v>
                </c:pt>
                <c:pt idx="106">
                  <c:v>234.22952813282257</c:v>
                </c:pt>
                <c:pt idx="107">
                  <c:v>233.97000616907738</c:v>
                </c:pt>
                <c:pt idx="108">
                  <c:v>233.707362599943</c:v>
                </c:pt>
                <c:pt idx="109">
                  <c:v>233.44157446444032</c:v>
                </c:pt>
                <c:pt idx="110">
                  <c:v>233.1726187280043</c:v>
                </c:pt>
                <c:pt idx="111">
                  <c:v>232.90047228105288</c:v>
                </c:pt>
                <c:pt idx="112">
                  <c:v>232.62511193747576</c:v>
                </c:pt>
                <c:pt idx="113">
                  <c:v>232.34651443304094</c:v>
                </c:pt>
                <c:pt idx="114">
                  <c:v>232.06465642371663</c:v>
                </c:pt>
                <c:pt idx="115">
                  <c:v>231.7795144839065</c:v>
                </c:pt>
                <c:pt idx="116">
                  <c:v>231.49106510459603</c:v>
                </c:pt>
                <c:pt idx="117">
                  <c:v>231.19928469140882</c:v>
                </c:pt>
                <c:pt idx="118">
                  <c:v>230.90414956257044</c:v>
                </c:pt>
                <c:pt idx="119">
                  <c:v>230.60563594677876</c:v>
                </c:pt>
                <c:pt idx="120">
                  <c:v>230.30371998097931</c:v>
                </c:pt>
                <c:pt idx="121">
                  <c:v>229.99837770804402</c:v>
                </c:pt>
                <c:pt idx="122">
                  <c:v>229.68958507435258</c:v>
                </c:pt>
                <c:pt idx="123">
                  <c:v>229.3773179272745</c:v>
                </c:pt>
                <c:pt idx="124">
                  <c:v>229.06155201255126</c:v>
                </c:pt>
                <c:pt idx="125">
                  <c:v>228.74226297157671</c:v>
                </c:pt>
                <c:pt idx="126">
                  <c:v>228.41942633857468</c:v>
                </c:pt>
                <c:pt idx="127">
                  <c:v>228.09301753767213</c:v>
                </c:pt>
                <c:pt idx="128">
                  <c:v>227.76301187986618</c:v>
                </c:pt>
                <c:pt idx="129">
                  <c:v>227.42938455988306</c:v>
                </c:pt>
                <c:pt idx="130">
                  <c:v>227.09211065292698</c:v>
                </c:pt>
                <c:pt idx="131">
                  <c:v>226.75116511131628</c:v>
                </c:pt>
                <c:pt idx="132">
                  <c:v>226.40652276100434</c:v>
                </c:pt>
                <c:pt idx="133">
                  <c:v>226.05815829798163</c:v>
                </c:pt>
                <c:pt idx="134">
                  <c:v>225.70604628455561</c:v>
                </c:pt>
                <c:pt idx="135">
                  <c:v>225.35016114550382</c:v>
                </c:pt>
                <c:pt idx="136">
                  <c:v>224.99047716409606</c:v>
                </c:pt>
                <c:pt idx="137">
                  <c:v>224.62696847797937</c:v>
                </c:pt>
                <c:pt idx="138">
                  <c:v>224.25960907492046</c:v>
                </c:pt>
                <c:pt idx="139">
                  <c:v>223.8883727883983</c:v>
                </c:pt>
                <c:pt idx="140">
                  <c:v>223.51323329303912</c:v>
                </c:pt>
                <c:pt idx="141">
                  <c:v>223.1341640998854</c:v>
                </c:pt>
                <c:pt idx="142">
                  <c:v>222.75113855148899</c:v>
                </c:pt>
                <c:pt idx="143">
                  <c:v>222.36412981681781</c:v>
                </c:pt>
                <c:pt idx="144">
                  <c:v>221.97311088596405</c:v>
                </c:pt>
                <c:pt idx="145">
                  <c:v>221.57805456464141</c:v>
                </c:pt>
                <c:pt idx="146">
                  <c:v>221.17893346845614</c:v>
                </c:pt>
                <c:pt idx="147">
                  <c:v>220.77572001693704</c:v>
                </c:pt>
                <c:pt idx="148">
                  <c:v>220.36838642730632</c:v>
                </c:pt>
                <c:pt idx="149">
                  <c:v>219.95690470797337</c:v>
                </c:pt>
                <c:pt idx="150">
                  <c:v>219.541246651731</c:v>
                </c:pt>
                <c:pt idx="151">
                  <c:v>219.12138382863168</c:v>
                </c:pt>
                <c:pt idx="152">
                  <c:v>218.69728757852064</c:v>
                </c:pt>
                <c:pt idx="153">
                  <c:v>218.26892900320036</c:v>
                </c:pt>
                <c:pt idx="154">
                  <c:v>217.83627895819927</c:v>
                </c:pt>
                <c:pt idx="155">
                  <c:v>217.39930804411648</c:v>
                </c:pt>
                <c:pt idx="156">
                  <c:v>216.95798659751114</c:v>
                </c:pt>
                <c:pt idx="157">
                  <c:v>216.51228468130543</c:v>
                </c:pt>
                <c:pt idx="158">
                  <c:v>216.06217207466716</c:v>
                </c:pt>
                <c:pt idx="159">
                  <c:v>215.60761826233755</c:v>
                </c:pt>
                <c:pt idx="160">
                  <c:v>215.1485924233684</c:v>
                </c:pt>
                <c:pt idx="161">
                  <c:v>214.68506341923137</c:v>
                </c:pt>
                <c:pt idx="162">
                  <c:v>214.21699978126253</c:v>
                </c:pt>
                <c:pt idx="163">
                  <c:v>213.74436969740341</c:v>
                </c:pt>
                <c:pt idx="164">
                  <c:v>213.26714099820134</c:v>
                </c:pt>
                <c:pt idx="165">
                  <c:v>212.7852811420305</c:v>
                </c:pt>
                <c:pt idx="166">
                  <c:v>212.29875719949524</c:v>
                </c:pt>
                <c:pt idx="167">
                  <c:v>211.80753583698009</c:v>
                </c:pt>
                <c:pt idx="168">
                  <c:v>211.3115832993069</c:v>
                </c:pt>
                <c:pt idx="169">
                  <c:v>210.81086539146511</c:v>
                </c:pt>
                <c:pt idx="170">
                  <c:v>210.30534745937601</c:v>
                </c:pt>
                <c:pt idx="171">
                  <c:v>209.7949943696548</c:v>
                </c:pt>
                <c:pt idx="172">
                  <c:v>209.2797704883308</c:v>
                </c:pt>
                <c:pt idx="173">
                  <c:v>208.75963965848297</c:v>
                </c:pt>
                <c:pt idx="174">
                  <c:v>208.23456517674217</c:v>
                </c:pt>
                <c:pt idx="175">
                  <c:v>207.70450976860462</c:v>
                </c:pt>
                <c:pt idx="176">
                  <c:v>207.16943556248771</c:v>
                </c:pt>
                <c:pt idx="177">
                  <c:v>206.62930406244155</c:v>
                </c:pt>
                <c:pt idx="178">
                  <c:v>206.08407611941095</c:v>
                </c:pt>
                <c:pt idx="179">
                  <c:v>205.53371190090817</c:v>
                </c:pt>
                <c:pt idx="180">
                  <c:v>204.97817085892225</c:v>
                </c:pt>
                <c:pt idx="181">
                  <c:v>204.41741169584003</c:v>
                </c:pt>
                <c:pt idx="182">
                  <c:v>203.85139232809655</c:v>
                </c:pt>
                <c:pt idx="183">
                  <c:v>203.2800698471969</c:v>
                </c:pt>
                <c:pt idx="184">
                  <c:v>202.70340047766712</c:v>
                </c:pt>
                <c:pt idx="185">
                  <c:v>202.12133953138536</c:v>
                </c:pt>
                <c:pt idx="186">
                  <c:v>201.53384135762531</c:v>
                </c:pt>
                <c:pt idx="187">
                  <c:v>200.9408592880049</c:v>
                </c:pt>
                <c:pt idx="188">
                  <c:v>200.34234557537931</c:v>
                </c:pt>
                <c:pt idx="189">
                  <c:v>199.73825132554288</c:v>
                </c:pt>
                <c:pt idx="190">
                  <c:v>199.12852642042037</c:v>
                </c:pt>
                <c:pt idx="191">
                  <c:v>198.51311943123429</c:v>
                </c:pt>
                <c:pt idx="192">
                  <c:v>197.89197751993254</c:v>
                </c:pt>
                <c:pt idx="193">
                  <c:v>197.26504632697112</c:v>
                </c:pt>
                <c:pt idx="194">
                  <c:v>196.63226984336583</c:v>
                </c:pt>
                <c:pt idx="195">
                  <c:v>195.99359026477876</c:v>
                </c:pt>
                <c:pt idx="196">
                  <c:v>195.34894782529696</c:v>
                </c:pt>
                <c:pt idx="197">
                  <c:v>194.69828060851216</c:v>
                </c:pt>
                <c:pt idx="198">
                  <c:v>194.0415243335265</c:v>
                </c:pt>
                <c:pt idx="199">
                  <c:v>193.37861211359413</c:v>
                </c:pt>
                <c:pt idx="200">
                  <c:v>192.70947418524852</c:v>
                </c:pt>
                <c:pt idx="201">
                  <c:v>192.03403760590885</c:v>
                </c:pt>
                <c:pt idx="202">
                  <c:v>191.35222591801963</c:v>
                </c:pt>
                <c:pt idx="203">
                  <c:v>190.66395877756432</c:v>
                </c:pt>
                <c:pt idx="204">
                  <c:v>189.96915154403015</c:v>
                </c:pt>
                <c:pt idx="205">
                  <c:v>189.26771482708099</c:v>
                </c:pt>
                <c:pt idx="206">
                  <c:v>188.55955398157494</c:v>
                </c:pt>
                <c:pt idx="207">
                  <c:v>187.84456853597132</c:v>
                </c:pt>
                <c:pt idx="208">
                  <c:v>187.12265152784221</c:v>
                </c:pt>
                <c:pt idx="209">
                  <c:v>186.39368870156713</c:v>
                </c:pt>
                <c:pt idx="210">
                  <c:v>185.65755749359579</c:v>
                </c:pt>
                <c:pt idx="211">
                  <c:v>184.91412568474431</c:v>
                </c:pt>
                <c:pt idx="212">
                  <c:v>184.16324952987486</c:v>
                </c:pt>
                <c:pt idx="213">
                  <c:v>183.40477107398013</c:v>
                </c:pt>
                <c:pt idx="214">
                  <c:v>182.63851421815352</c:v>
                </c:pt>
                <c:pt idx="215">
                  <c:v>181.86427888951926</c:v>
                </c:pt>
                <c:pt idx="216">
                  <c:v>181.0818323487355</c:v>
                </c:pt>
                <c:pt idx="217">
                  <c:v>180.29089608802849</c:v>
                </c:pt>
                <c:pt idx="218">
                  <c:v>179.49112541289327</c:v>
                </c:pt>
                <c:pt idx="219">
                  <c:v>178.68207471980784</c:v>
                </c:pt>
                <c:pt idx="220">
                  <c:v>177.86312617268845</c:v>
                </c:pt>
                <c:pt idx="221">
                  <c:v>177.03328173879092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B-4878-9126-9B164879F278}"/>
            </c:ext>
          </c:extLst>
        </c:ser>
        <c:ser>
          <c:idx val="3"/>
          <c:order val="2"/>
          <c:tx>
            <c:strRef>
              <c:f>Diagrammdaten!$R$7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Diagrammdaten!$R$8:$R$388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176.22701626553248</c:v>
                </c:pt>
                <c:pt idx="223">
                  <c:v>176.22701626553248</c:v>
                </c:pt>
                <c:pt idx="224">
                  <c:v>176.22701626553248</c:v>
                </c:pt>
                <c:pt idx="225">
                  <c:v>176.22701626553248</c:v>
                </c:pt>
                <c:pt idx="226">
                  <c:v>176.22701626553248</c:v>
                </c:pt>
                <c:pt idx="227">
                  <c:v>176.22701626553248</c:v>
                </c:pt>
                <c:pt idx="228">
                  <c:v>176.22701626553248</c:v>
                </c:pt>
                <c:pt idx="229">
                  <c:v>176.22701626553248</c:v>
                </c:pt>
                <c:pt idx="230">
                  <c:v>176.22701626553248</c:v>
                </c:pt>
                <c:pt idx="231">
                  <c:v>176.22701626553248</c:v>
                </c:pt>
                <c:pt idx="232">
                  <c:v>176.22701626553248</c:v>
                </c:pt>
                <c:pt idx="233">
                  <c:v>176.22701626553248</c:v>
                </c:pt>
                <c:pt idx="234">
                  <c:v>176.22701626553248</c:v>
                </c:pt>
                <c:pt idx="235">
                  <c:v>176.22701626553248</c:v>
                </c:pt>
                <c:pt idx="236">
                  <c:v>176.22701626553248</c:v>
                </c:pt>
                <c:pt idx="237">
                  <c:v>176.22701626553248</c:v>
                </c:pt>
                <c:pt idx="238">
                  <c:v>176.22701626553248</c:v>
                </c:pt>
                <c:pt idx="239">
                  <c:v>176.22701626553248</c:v>
                </c:pt>
                <c:pt idx="240">
                  <c:v>176.22701626553248</c:v>
                </c:pt>
                <c:pt idx="241">
                  <c:v>176.22701626553248</c:v>
                </c:pt>
                <c:pt idx="242">
                  <c:v>176.22701626553248</c:v>
                </c:pt>
                <c:pt idx="243">
                  <c:v>176.22701626553248</c:v>
                </c:pt>
                <c:pt idx="244">
                  <c:v>176.22701626553248</c:v>
                </c:pt>
                <c:pt idx="245">
                  <c:v>176.22701626553248</c:v>
                </c:pt>
                <c:pt idx="246">
                  <c:v>176.22701626553248</c:v>
                </c:pt>
                <c:pt idx="247">
                  <c:v>176.22701626553248</c:v>
                </c:pt>
                <c:pt idx="248">
                  <c:v>176.22701626553248</c:v>
                </c:pt>
                <c:pt idx="249">
                  <c:v>176.22701626553248</c:v>
                </c:pt>
                <c:pt idx="250">
                  <c:v>176.22701626553248</c:v>
                </c:pt>
                <c:pt idx="251">
                  <c:v>176.22701626553248</c:v>
                </c:pt>
                <c:pt idx="252">
                  <c:v>176.22701626553248</c:v>
                </c:pt>
                <c:pt idx="253">
                  <c:v>176.22701626553248</c:v>
                </c:pt>
                <c:pt idx="254">
                  <c:v>176.22701626553248</c:v>
                </c:pt>
                <c:pt idx="255">
                  <c:v>176.22701626553248</c:v>
                </c:pt>
                <c:pt idx="256">
                  <c:v>176.22701626553248</c:v>
                </c:pt>
                <c:pt idx="257">
                  <c:v>176.22701626553248</c:v>
                </c:pt>
                <c:pt idx="258">
                  <c:v>176.22701626553248</c:v>
                </c:pt>
                <c:pt idx="259">
                  <c:v>176.22701626553248</c:v>
                </c:pt>
                <c:pt idx="260">
                  <c:v>176.22701626553248</c:v>
                </c:pt>
                <c:pt idx="261">
                  <c:v>176.22701626553248</c:v>
                </c:pt>
                <c:pt idx="262">
                  <c:v>176.22701626553248</c:v>
                </c:pt>
                <c:pt idx="263">
                  <c:v>176.22701626553248</c:v>
                </c:pt>
                <c:pt idx="264">
                  <c:v>176.22701626553248</c:v>
                </c:pt>
                <c:pt idx="265">
                  <c:v>176.22701626553248</c:v>
                </c:pt>
                <c:pt idx="266">
                  <c:v>176.22701626553248</c:v>
                </c:pt>
                <c:pt idx="267">
                  <c:v>176.22701626553248</c:v>
                </c:pt>
                <c:pt idx="268">
                  <c:v>176.22701626553248</c:v>
                </c:pt>
                <c:pt idx="269">
                  <c:v>176.22701626553248</c:v>
                </c:pt>
                <c:pt idx="270">
                  <c:v>176.22701626553248</c:v>
                </c:pt>
                <c:pt idx="271">
                  <c:v>176.22701626553248</c:v>
                </c:pt>
                <c:pt idx="272">
                  <c:v>176.22701626553248</c:v>
                </c:pt>
                <c:pt idx="273">
                  <c:v>176.22701626553248</c:v>
                </c:pt>
                <c:pt idx="274">
                  <c:v>176.22701626553248</c:v>
                </c:pt>
                <c:pt idx="275">
                  <c:v>176.22701626553248</c:v>
                </c:pt>
                <c:pt idx="276">
                  <c:v>176.22701626553248</c:v>
                </c:pt>
                <c:pt idx="277">
                  <c:v>176.22701626553248</c:v>
                </c:pt>
                <c:pt idx="278">
                  <c:v>176.22701626553248</c:v>
                </c:pt>
                <c:pt idx="279">
                  <c:v>176.22701626553248</c:v>
                </c:pt>
                <c:pt idx="280">
                  <c:v>176.22701626553248</c:v>
                </c:pt>
                <c:pt idx="281">
                  <c:v>176.22701626553248</c:v>
                </c:pt>
                <c:pt idx="282">
                  <c:v>176.22701626553248</c:v>
                </c:pt>
                <c:pt idx="283">
                  <c:v>176.22701626553248</c:v>
                </c:pt>
                <c:pt idx="284">
                  <c:v>176.22701626553248</c:v>
                </c:pt>
                <c:pt idx="285">
                  <c:v>176.22701626553248</c:v>
                </c:pt>
                <c:pt idx="286">
                  <c:v>176.22701626553248</c:v>
                </c:pt>
                <c:pt idx="287">
                  <c:v>176.22701626553248</c:v>
                </c:pt>
                <c:pt idx="288">
                  <c:v>176.22701626553248</c:v>
                </c:pt>
                <c:pt idx="289">
                  <c:v>176.22701626553248</c:v>
                </c:pt>
                <c:pt idx="290">
                  <c:v>176.22701626553248</c:v>
                </c:pt>
                <c:pt idx="291">
                  <c:v>176.22701626553248</c:v>
                </c:pt>
                <c:pt idx="292">
                  <c:v>176.22701626553248</c:v>
                </c:pt>
                <c:pt idx="293">
                  <c:v>176.22701626553248</c:v>
                </c:pt>
                <c:pt idx="294">
                  <c:v>176.22701626553248</c:v>
                </c:pt>
                <c:pt idx="295">
                  <c:v>176.22701626553248</c:v>
                </c:pt>
                <c:pt idx="296">
                  <c:v>176.22701626553248</c:v>
                </c:pt>
                <c:pt idx="297">
                  <c:v>176.22701626553248</c:v>
                </c:pt>
                <c:pt idx="298">
                  <c:v>176.22701626553248</c:v>
                </c:pt>
                <c:pt idx="299">
                  <c:v>176.22701626553248</c:v>
                </c:pt>
                <c:pt idx="300">
                  <c:v>176.22701626553248</c:v>
                </c:pt>
                <c:pt idx="301">
                  <c:v>176.22701626553248</c:v>
                </c:pt>
                <c:pt idx="302">
                  <c:v>176.22701626553248</c:v>
                </c:pt>
                <c:pt idx="303">
                  <c:v>176.22701626553248</c:v>
                </c:pt>
                <c:pt idx="304">
                  <c:v>176.22701626553248</c:v>
                </c:pt>
                <c:pt idx="305">
                  <c:v>176.22701626553248</c:v>
                </c:pt>
                <c:pt idx="306">
                  <c:v>176.22701626553248</c:v>
                </c:pt>
                <c:pt idx="307">
                  <c:v>176.22701626553248</c:v>
                </c:pt>
                <c:pt idx="308">
                  <c:v>176.22701626553248</c:v>
                </c:pt>
                <c:pt idx="309">
                  <c:v>176.22701626553248</c:v>
                </c:pt>
                <c:pt idx="310">
                  <c:v>176.22701626553248</c:v>
                </c:pt>
                <c:pt idx="311">
                  <c:v>176.22701626553248</c:v>
                </c:pt>
                <c:pt idx="312">
                  <c:v>176.22701626553248</c:v>
                </c:pt>
                <c:pt idx="313">
                  <c:v>176.22701626553248</c:v>
                </c:pt>
                <c:pt idx="314">
                  <c:v>176.22701626553248</c:v>
                </c:pt>
                <c:pt idx="315">
                  <c:v>176.22701626553248</c:v>
                </c:pt>
                <c:pt idx="316">
                  <c:v>176.22701626553248</c:v>
                </c:pt>
                <c:pt idx="317">
                  <c:v>176.22701626553248</c:v>
                </c:pt>
                <c:pt idx="318">
                  <c:v>176.22701626553248</c:v>
                </c:pt>
                <c:pt idx="319">
                  <c:v>176.22701626553248</c:v>
                </c:pt>
                <c:pt idx="320">
                  <c:v>176.22701626553248</c:v>
                </c:pt>
                <c:pt idx="321">
                  <c:v>176.22701626553248</c:v>
                </c:pt>
                <c:pt idx="322">
                  <c:v>176.22701626553248</c:v>
                </c:pt>
                <c:pt idx="323">
                  <c:v>176.22701626553248</c:v>
                </c:pt>
                <c:pt idx="324">
                  <c:v>176.22701626553248</c:v>
                </c:pt>
                <c:pt idx="325">
                  <c:v>176.22701626553248</c:v>
                </c:pt>
                <c:pt idx="326">
                  <c:v>176.22701626553248</c:v>
                </c:pt>
                <c:pt idx="327">
                  <c:v>176.22701626553248</c:v>
                </c:pt>
                <c:pt idx="328">
                  <c:v>176.22701626553248</c:v>
                </c:pt>
                <c:pt idx="329">
                  <c:v>176.22701626553248</c:v>
                </c:pt>
                <c:pt idx="330">
                  <c:v>176.22701626553248</c:v>
                </c:pt>
                <c:pt idx="331">
                  <c:v>176.22701626553248</c:v>
                </c:pt>
                <c:pt idx="332">
                  <c:v>176.22701626553248</c:v>
                </c:pt>
                <c:pt idx="333">
                  <c:v>176.22701626553248</c:v>
                </c:pt>
                <c:pt idx="334">
                  <c:v>176.22701626553248</c:v>
                </c:pt>
                <c:pt idx="335">
                  <c:v>176.22701626553248</c:v>
                </c:pt>
                <c:pt idx="336">
                  <c:v>176.22701626553248</c:v>
                </c:pt>
                <c:pt idx="337">
                  <c:v>176.22701626553248</c:v>
                </c:pt>
                <c:pt idx="338">
                  <c:v>176.22701626553248</c:v>
                </c:pt>
                <c:pt idx="339">
                  <c:v>176.22701626553248</c:v>
                </c:pt>
                <c:pt idx="340">
                  <c:v>176.22701626553248</c:v>
                </c:pt>
                <c:pt idx="341">
                  <c:v>176.22701626553248</c:v>
                </c:pt>
                <c:pt idx="342">
                  <c:v>176.22701626553248</c:v>
                </c:pt>
                <c:pt idx="343">
                  <c:v>176.22701626553248</c:v>
                </c:pt>
                <c:pt idx="344">
                  <c:v>176.22701626553248</c:v>
                </c:pt>
                <c:pt idx="345">
                  <c:v>176.22701626553248</c:v>
                </c:pt>
                <c:pt idx="346">
                  <c:v>176.22701626553248</c:v>
                </c:pt>
                <c:pt idx="347">
                  <c:v>176.22701626553248</c:v>
                </c:pt>
                <c:pt idx="348">
                  <c:v>176.22701626553248</c:v>
                </c:pt>
                <c:pt idx="349">
                  <c:v>176.22701626553248</c:v>
                </c:pt>
                <c:pt idx="350">
                  <c:v>176.22701626553248</c:v>
                </c:pt>
                <c:pt idx="351">
                  <c:v>176.22701626553248</c:v>
                </c:pt>
                <c:pt idx="352">
                  <c:v>176.22701626553248</c:v>
                </c:pt>
                <c:pt idx="353">
                  <c:v>176.22701626553248</c:v>
                </c:pt>
                <c:pt idx="354">
                  <c:v>176.22701626553248</c:v>
                </c:pt>
                <c:pt idx="355">
                  <c:v>176.22701626553248</c:v>
                </c:pt>
                <c:pt idx="356">
                  <c:v>176.22701626553248</c:v>
                </c:pt>
                <c:pt idx="357">
                  <c:v>176.22701626553248</c:v>
                </c:pt>
                <c:pt idx="358">
                  <c:v>176.22701626553248</c:v>
                </c:pt>
                <c:pt idx="359">
                  <c:v>176.22701626553248</c:v>
                </c:pt>
                <c:pt idx="360">
                  <c:v>176.22701626553248</c:v>
                </c:pt>
                <c:pt idx="361">
                  <c:v>176.22701626553248</c:v>
                </c:pt>
                <c:pt idx="362">
                  <c:v>176.22701626553248</c:v>
                </c:pt>
                <c:pt idx="363">
                  <c:v>176.22701626553248</c:v>
                </c:pt>
                <c:pt idx="364">
                  <c:v>176.22701626553248</c:v>
                </c:pt>
                <c:pt idx="365">
                  <c:v>176.22701626553248</c:v>
                </c:pt>
                <c:pt idx="366">
                  <c:v>176.22701626553248</c:v>
                </c:pt>
                <c:pt idx="367">
                  <c:v>176.22701626553248</c:v>
                </c:pt>
                <c:pt idx="368">
                  <c:v>176.22701626553248</c:v>
                </c:pt>
                <c:pt idx="369">
                  <c:v>176.22701626553248</c:v>
                </c:pt>
                <c:pt idx="370">
                  <c:v>176.22701626553248</c:v>
                </c:pt>
                <c:pt idx="371">
                  <c:v>176.22701626553248</c:v>
                </c:pt>
                <c:pt idx="372">
                  <c:v>176.22701626553248</c:v>
                </c:pt>
                <c:pt idx="373">
                  <c:v>176.22701626553248</c:v>
                </c:pt>
                <c:pt idx="374">
                  <c:v>176.22701626553248</c:v>
                </c:pt>
                <c:pt idx="375">
                  <c:v>176.22701626553248</c:v>
                </c:pt>
                <c:pt idx="376">
                  <c:v>176.22701626553248</c:v>
                </c:pt>
                <c:pt idx="377">
                  <c:v>176.22701626553248</c:v>
                </c:pt>
                <c:pt idx="378">
                  <c:v>176.22701626553248</c:v>
                </c:pt>
                <c:pt idx="379">
                  <c:v>176.22701626553248</c:v>
                </c:pt>
                <c:pt idx="380">
                  <c:v>176.22701626553248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B-4878-9126-9B164879F278}"/>
            </c:ext>
          </c:extLst>
        </c:ser>
        <c:ser>
          <c:idx val="4"/>
          <c:order val="3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Diagrammdaten!$G$8:$G$388</c:f>
              <c:numCache>
                <c:formatCode>General</c:formatCode>
                <c:ptCount val="381"/>
                <c:pt idx="0">
                  <c:v>249.10758432028197</c:v>
                </c:pt>
                <c:pt idx="1">
                  <c:v>249.0697020259696</c:v>
                </c:pt>
                <c:pt idx="2">
                  <c:v>249.03041162618976</c:v>
                </c:pt>
                <c:pt idx="3">
                  <c:v>248.98966806549112</c:v>
                </c:pt>
                <c:pt idx="4">
                  <c:v>248.94742506021737</c:v>
                </c:pt>
                <c:pt idx="5">
                  <c:v>248.90363506914466</c:v>
                </c:pt>
                <c:pt idx="6">
                  <c:v>248.8582492633968</c:v>
                </c:pt>
                <c:pt idx="7">
                  <c:v>248.81121749561368</c:v>
                </c:pt>
                <c:pt idx="8">
                  <c:v>248.76248826834575</c:v>
                </c:pt>
                <c:pt idx="9">
                  <c:v>248.71200870164714</c:v>
                </c:pt>
                <c:pt idx="10">
                  <c:v>248.6597244998367</c:v>
                </c:pt>
                <c:pt idx="11">
                  <c:v>248.60557991739603</c:v>
                </c:pt>
                <c:pt idx="12">
                  <c:v>248.5495177239693</c:v>
                </c:pt>
                <c:pt idx="13">
                  <c:v>248.49147916842955</c:v>
                </c:pt>
                <c:pt idx="14">
                  <c:v>248.43140394197135</c:v>
                </c:pt>
                <c:pt idx="15">
                  <c:v>248.36923014018808</c:v>
                </c:pt>
                <c:pt idx="16">
                  <c:v>248.30489422408749</c:v>
                </c:pt>
                <c:pt idx="17">
                  <c:v>248.23833097999642</c:v>
                </c:pt>
                <c:pt idx="18">
                  <c:v>248.16947347829941</c:v>
                </c:pt>
                <c:pt idx="19">
                  <c:v>248.09825303095215</c:v>
                </c:pt>
                <c:pt idx="20">
                  <c:v>248.02459914770341</c:v>
                </c:pt>
                <c:pt idx="21">
                  <c:v>247.94843949095201</c:v>
                </c:pt>
                <c:pt idx="22">
                  <c:v>247.86969982915753</c:v>
                </c:pt>
                <c:pt idx="23">
                  <c:v>247.78830398871139</c:v>
                </c:pt>
                <c:pt idx="24">
                  <c:v>247.70417380416475</c:v>
                </c:pt>
                <c:pt idx="25">
                  <c:v>247.6172290666922</c:v>
                </c:pt>
                <c:pt idx="26">
                  <c:v>247.52738747065339</c:v>
                </c:pt>
                <c:pt idx="27">
                  <c:v>247.4345645580903</c:v>
                </c:pt>
                <c:pt idx="28">
                  <c:v>247.3386736609695</c:v>
                </c:pt>
                <c:pt idx="29">
                  <c:v>247.23962584094059</c:v>
                </c:pt>
                <c:pt idx="30">
                  <c:v>247.13732982633502</c:v>
                </c:pt>
                <c:pt idx="31">
                  <c:v>247.03169194606474</c:v>
                </c:pt>
                <c:pt idx="32">
                  <c:v>246.92261605999738</c:v>
                </c:pt>
                <c:pt idx="33">
                  <c:v>246.81000348526769</c:v>
                </c:pt>
                <c:pt idx="34">
                  <c:v>246.69375291782731</c:v>
                </c:pt>
                <c:pt idx="35">
                  <c:v>246.57376034830631</c:v>
                </c:pt>
                <c:pt idx="36">
                  <c:v>246.44991897092928</c:v>
                </c:pt>
                <c:pt idx="37">
                  <c:v>246.32211908373046</c:v>
                </c:pt>
                <c:pt idx="38">
                  <c:v>246.19024797753519</c:v>
                </c:pt>
                <c:pt idx="39">
                  <c:v>246.05418980991723</c:v>
                </c:pt>
                <c:pt idx="40">
                  <c:v>245.91382545819579</c:v>
                </c:pt>
                <c:pt idx="41">
                  <c:v>245.76903234166346</c:v>
                </c:pt>
                <c:pt idx="42">
                  <c:v>245.61968419570067</c:v>
                </c:pt>
                <c:pt idx="43">
                  <c:v>245.46565076430832</c:v>
                </c:pt>
                <c:pt idx="44">
                  <c:v>245.30679733832375</c:v>
                </c:pt>
                <c:pt idx="45">
                  <c:v>245.14298395103927</c:v>
                </c:pt>
                <c:pt idx="46">
                  <c:v>244.9740635750301</c:v>
                </c:pt>
                <c:pt idx="47">
                  <c:v>242.10720440871191</c:v>
                </c:pt>
                <c:pt idx="48">
                  <c:v>218.65464354090309</c:v>
                </c:pt>
                <c:pt idx="49">
                  <c:v>195.08860930988234</c:v>
                </c:pt>
                <c:pt idx="50">
                  <c:v>171.40910171565417</c:v>
                </c:pt>
                <c:pt idx="51">
                  <c:v>147.61612075821634</c:v>
                </c:pt>
                <c:pt idx="52">
                  <c:v>123.70966643756657</c:v>
                </c:pt>
                <c:pt idx="53">
                  <c:v>99.689738753709378</c:v>
                </c:pt>
                <c:pt idx="54">
                  <c:v>75.556337706640221</c:v>
                </c:pt>
                <c:pt idx="55">
                  <c:v>51.309463296363703</c:v>
                </c:pt>
                <c:pt idx="56">
                  <c:v>26.94911552287752</c:v>
                </c:pt>
                <c:pt idx="57">
                  <c:v>2.4752943861793142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B-4878-9126-9B164879F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6"/>
          <c:order val="4"/>
          <c:tx>
            <c:v>Sättigungslinie reines CO₂</c:v>
          </c:tx>
          <c:spPr>
            <a:ln w="31750" cap="rnd">
              <a:solidFill>
                <a:srgbClr val="CA220E"/>
              </a:solidFill>
              <a:prstDash val="solid"/>
              <a:round/>
            </a:ln>
          </c:spPr>
          <c:marker>
            <c:symbol val="none"/>
          </c:marker>
          <c:xVal>
            <c:numRef>
              <c:f>Diagrammdaten!$L$256:$L$296</c:f>
              <c:numCache>
                <c:formatCode>General</c:formatCode>
                <c:ptCount val="41"/>
                <c:pt idx="0">
                  <c:v>47.884000000000071</c:v>
                </c:pt>
                <c:pt idx="1">
                  <c:v>52.260760000149105</c:v>
                </c:pt>
                <c:pt idx="2">
                  <c:v>56.637520000298139</c:v>
                </c:pt>
                <c:pt idx="3">
                  <c:v>61.014280000447172</c:v>
                </c:pt>
                <c:pt idx="4">
                  <c:v>65.391040000596206</c:v>
                </c:pt>
                <c:pt idx="5">
                  <c:v>69.76780000074524</c:v>
                </c:pt>
                <c:pt idx="6">
                  <c:v>74.144560000894273</c:v>
                </c:pt>
                <c:pt idx="7">
                  <c:v>78.521320001043307</c:v>
                </c:pt>
                <c:pt idx="8">
                  <c:v>82.898080001192341</c:v>
                </c:pt>
                <c:pt idx="9">
                  <c:v>87.274840001341374</c:v>
                </c:pt>
                <c:pt idx="10">
                  <c:v>91.651600001490408</c:v>
                </c:pt>
                <c:pt idx="11">
                  <c:v>96.028360001639442</c:v>
                </c:pt>
                <c:pt idx="12">
                  <c:v>100.40512000178848</c:v>
                </c:pt>
                <c:pt idx="13">
                  <c:v>104.78188000193751</c:v>
                </c:pt>
                <c:pt idx="14">
                  <c:v>109.1586400020866</c:v>
                </c:pt>
                <c:pt idx="15">
                  <c:v>113.53540000223563</c:v>
                </c:pt>
                <c:pt idx="16">
                  <c:v>117.91216000238467</c:v>
                </c:pt>
                <c:pt idx="17">
                  <c:v>122.2889200025337</c:v>
                </c:pt>
                <c:pt idx="18">
                  <c:v>126.66568000268273</c:v>
                </c:pt>
                <c:pt idx="19">
                  <c:v>131.04244000283177</c:v>
                </c:pt>
                <c:pt idx="20">
                  <c:v>135.4192000029808</c:v>
                </c:pt>
                <c:pt idx="21">
                  <c:v>139.79596000312984</c:v>
                </c:pt>
                <c:pt idx="22">
                  <c:v>144.17272000327887</c:v>
                </c:pt>
                <c:pt idx="23">
                  <c:v>148.5494800034279</c:v>
                </c:pt>
                <c:pt idx="24">
                  <c:v>152.92624000357694</c:v>
                </c:pt>
                <c:pt idx="25">
                  <c:v>157.30300000372597</c:v>
                </c:pt>
                <c:pt idx="26">
                  <c:v>161.679760003875</c:v>
                </c:pt>
                <c:pt idx="27">
                  <c:v>166.05652000402404</c:v>
                </c:pt>
                <c:pt idx="28">
                  <c:v>170.43328000417307</c:v>
                </c:pt>
                <c:pt idx="29">
                  <c:v>174.8100400043221</c:v>
                </c:pt>
                <c:pt idx="30">
                  <c:v>179.18680000447114</c:v>
                </c:pt>
                <c:pt idx="31">
                  <c:v>183.56356000462017</c:v>
                </c:pt>
                <c:pt idx="32">
                  <c:v>187.94032000476921</c:v>
                </c:pt>
                <c:pt idx="33">
                  <c:v>192.31708000491824</c:v>
                </c:pt>
                <c:pt idx="34">
                  <c:v>196.69384000506727</c:v>
                </c:pt>
                <c:pt idx="35">
                  <c:v>201.07060000521631</c:v>
                </c:pt>
                <c:pt idx="36">
                  <c:v>205.44736000536534</c:v>
                </c:pt>
                <c:pt idx="37">
                  <c:v>209.82412000551437</c:v>
                </c:pt>
                <c:pt idx="38">
                  <c:v>214.20088000566341</c:v>
                </c:pt>
                <c:pt idx="39">
                  <c:v>218.57764000581244</c:v>
                </c:pt>
                <c:pt idx="40">
                  <c:v>222.95440000596147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9B-4878-9126-9B164879F278}"/>
            </c:ext>
          </c:extLst>
        </c:ser>
        <c:ser>
          <c:idx val="17"/>
          <c:order val="5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/>
                    </a:pPr>
                    <a:r>
                      <a:rPr lang="en-US"/>
                      <a:t>fest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79B-4878-9126-9B164879F278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/>
                    </a:pPr>
                    <a:r>
                      <a:rPr lang="en-US"/>
                      <a:t>flüssig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79B-4878-9126-9B164879F278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/>
                    </a:pPr>
                    <a:r>
                      <a:rPr lang="en-US"/>
                      <a:t>gasförmig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79B-4878-9126-9B164879F278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 b="1"/>
                    </a:pPr>
                    <a:r>
                      <a:rPr lang="en-US"/>
                      <a:t>überkritisch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79B-4878-9126-9B164879F2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79B-4878-9126-9B164879F27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Diagrammdaten!$L$144:$L$147</c:f>
              <c:numCache>
                <c:formatCode>General</c:formatCode>
                <c:ptCount val="4"/>
                <c:pt idx="0">
                  <c:v>19</c:v>
                </c:pt>
                <c:pt idx="1">
                  <c:v>101</c:v>
                </c:pt>
                <c:pt idx="2">
                  <c:v>305</c:v>
                </c:pt>
                <c:pt idx="3">
                  <c:v>331</c:v>
                </c:pt>
              </c:numCache>
            </c:numRef>
          </c:xVal>
          <c:yVal>
            <c:numRef>
              <c:f>Diagrammdaten!$K$144:$K$147</c:f>
              <c:numCache>
                <c:formatCode>General</c:formatCode>
                <c:ptCount val="4"/>
                <c:pt idx="0">
                  <c:v>70</c:v>
                </c:pt>
                <c:pt idx="1">
                  <c:v>105</c:v>
                </c:pt>
                <c:pt idx="2">
                  <c:v>12</c:v>
                </c:pt>
                <c:pt idx="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79B-4878-9126-9B164879F278}"/>
            </c:ext>
          </c:extLst>
        </c:ser>
        <c:ser>
          <c:idx val="9"/>
          <c:order val="6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  <c:numCache>
                <c:formatCode>General</c:formatCode>
                <c:ptCount val="25"/>
                <c:pt idx="0">
                  <c:v>1</c:v>
                </c:pt>
                <c:pt idx="1">
                  <c:v>2.9535999999999945</c:v>
                </c:pt>
                <c:pt idx="2">
                  <c:v>4.9070000000000107</c:v>
                </c:pt>
                <c:pt idx="3">
                  <c:v>6.8606000000000051</c:v>
                </c:pt>
                <c:pt idx="4">
                  <c:v>8.813999999999993</c:v>
                </c:pt>
                <c:pt idx="5">
                  <c:v>10.767599999999987</c:v>
                </c:pt>
                <c:pt idx="6">
                  <c:v>12.721000000000004</c:v>
                </c:pt>
                <c:pt idx="7">
                  <c:v>14.674599999999998</c:v>
                </c:pt>
                <c:pt idx="8">
                  <c:v>16.627999999999986</c:v>
                </c:pt>
                <c:pt idx="9">
                  <c:v>18.581600000000009</c:v>
                </c:pt>
                <c:pt idx="10">
                  <c:v>20.534999999999997</c:v>
                </c:pt>
                <c:pt idx="11">
                  <c:v>22.488599999999991</c:v>
                </c:pt>
                <c:pt idx="12">
                  <c:v>24.442000000000007</c:v>
                </c:pt>
                <c:pt idx="13">
                  <c:v>26.395600000000002</c:v>
                </c:pt>
                <c:pt idx="14">
                  <c:v>28.34899999999999</c:v>
                </c:pt>
                <c:pt idx="15">
                  <c:v>30.302600000000012</c:v>
                </c:pt>
                <c:pt idx="16">
                  <c:v>32.256</c:v>
                </c:pt>
                <c:pt idx="17">
                  <c:v>34.209599999999995</c:v>
                </c:pt>
                <c:pt idx="18">
                  <c:v>36.162999999999997</c:v>
                </c:pt>
                <c:pt idx="19">
                  <c:v>38.116600000000005</c:v>
                </c:pt>
                <c:pt idx="20">
                  <c:v>40.069999999999993</c:v>
                </c:pt>
                <c:pt idx="21">
                  <c:v>42.023600000000002</c:v>
                </c:pt>
                <c:pt idx="22">
                  <c:v>43.977000000000004</c:v>
                </c:pt>
                <c:pt idx="23">
                  <c:v>45.930599999999998</c:v>
                </c:pt>
                <c:pt idx="24">
                  <c:v>47.884</c:v>
                </c:pt>
              </c:numCache>
            </c:numRef>
          </c:xVal>
          <c:yVal>
            <c:numRef>
              <c:f>Diagrammdaten!$K$79:$K$103</c:f>
              <c:numCache>
                <c:formatCode>General</c:formatCode>
                <c:ptCount val="25"/>
                <c:pt idx="0">
                  <c:v>0.89239999999999997</c:v>
                </c:pt>
                <c:pt idx="1">
                  <c:v>0.9677</c:v>
                </c:pt>
                <c:pt idx="2">
                  <c:v>1.0486</c:v>
                </c:pt>
                <c:pt idx="3">
                  <c:v>1.1353</c:v>
                </c:pt>
                <c:pt idx="4">
                  <c:v>1.2282999999999999</c:v>
                </c:pt>
                <c:pt idx="5">
                  <c:v>1.3280000000000001</c:v>
                </c:pt>
                <c:pt idx="6">
                  <c:v>1.4346000000000001</c:v>
                </c:pt>
                <c:pt idx="7">
                  <c:v>1.5488</c:v>
                </c:pt>
                <c:pt idx="8">
                  <c:v>1.6709000000000001</c:v>
                </c:pt>
                <c:pt idx="9">
                  <c:v>1.8013999999999999</c:v>
                </c:pt>
                <c:pt idx="10">
                  <c:v>1.9408000000000001</c:v>
                </c:pt>
                <c:pt idx="11">
                  <c:v>2.0897000000000001</c:v>
                </c:pt>
                <c:pt idx="12">
                  <c:v>2.2484999999999999</c:v>
                </c:pt>
                <c:pt idx="13">
                  <c:v>2.4180000000000001</c:v>
                </c:pt>
                <c:pt idx="14">
                  <c:v>2.5985</c:v>
                </c:pt>
                <c:pt idx="15">
                  <c:v>2.7909999999999999</c:v>
                </c:pt>
                <c:pt idx="16">
                  <c:v>2.9958999999999998</c:v>
                </c:pt>
                <c:pt idx="17">
                  <c:v>3.214</c:v>
                </c:pt>
                <c:pt idx="18">
                  <c:v>3.4462000000000002</c:v>
                </c:pt>
                <c:pt idx="19">
                  <c:v>3.6930000000000001</c:v>
                </c:pt>
                <c:pt idx="20">
                  <c:v>3.9554999999999998</c:v>
                </c:pt>
                <c:pt idx="21">
                  <c:v>4.2343999999999999</c:v>
                </c:pt>
                <c:pt idx="22">
                  <c:v>4.5308000000000002</c:v>
                </c:pt>
                <c:pt idx="23">
                  <c:v>4.8455000000000004</c:v>
                </c:pt>
                <c:pt idx="24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9B-4878-9126-9B164879F278}"/>
            </c:ext>
          </c:extLst>
        </c:ser>
        <c:ser>
          <c:idx val="10"/>
          <c:order val="7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  <c:numCache>
                <c:formatCode>General</c:formatCode>
                <c:ptCount val="15"/>
                <c:pt idx="0">
                  <c:v>47.884</c:v>
                </c:pt>
                <c:pt idx="1">
                  <c:v>48.613799999999998</c:v>
                </c:pt>
                <c:pt idx="2">
                  <c:v>49.343599999999995</c:v>
                </c:pt>
                <c:pt idx="3">
                  <c:v>50.073400000000007</c:v>
                </c:pt>
                <c:pt idx="4">
                  <c:v>50.803200000000004</c:v>
                </c:pt>
                <c:pt idx="5">
                  <c:v>51.532799999999995</c:v>
                </c:pt>
                <c:pt idx="6">
                  <c:v>52.262600000000006</c:v>
                </c:pt>
                <c:pt idx="7">
                  <c:v>52.992400000000004</c:v>
                </c:pt>
                <c:pt idx="8">
                  <c:v>53.722200000000001</c:v>
                </c:pt>
                <c:pt idx="9">
                  <c:v>54.451999999999998</c:v>
                </c:pt>
                <c:pt idx="10">
                  <c:v>55.181799999999996</c:v>
                </c:pt>
                <c:pt idx="11">
                  <c:v>55.911600000000007</c:v>
                </c:pt>
                <c:pt idx="12">
                  <c:v>56.641400000000004</c:v>
                </c:pt>
                <c:pt idx="13">
                  <c:v>57.371200000000002</c:v>
                </c:pt>
                <c:pt idx="14">
                  <c:v>58.100800000000007</c:v>
                </c:pt>
              </c:numCache>
            </c:numRef>
          </c:xVal>
          <c:yVal>
            <c:numRef>
              <c:f>Diagrammdaten!$K$105:$K$119</c:f>
              <c:numCache>
                <c:formatCode>General</c:formatCode>
                <c:ptCount val="15"/>
                <c:pt idx="0">
                  <c:v>5.1795999999999998</c:v>
                </c:pt>
                <c:pt idx="1">
                  <c:v>22.274000000000001</c:v>
                </c:pt>
                <c:pt idx="2">
                  <c:v>39.428800000000003</c:v>
                </c:pt>
                <c:pt idx="3">
                  <c:v>56.643999999999998</c:v>
                </c:pt>
                <c:pt idx="4">
                  <c:v>73.919700000000006</c:v>
                </c:pt>
                <c:pt idx="5">
                  <c:v>91.255700000000004</c:v>
                </c:pt>
                <c:pt idx="6">
                  <c:v>108.6523</c:v>
                </c:pt>
                <c:pt idx="7">
                  <c:v>126.1092</c:v>
                </c:pt>
                <c:pt idx="8">
                  <c:v>143.6266</c:v>
                </c:pt>
                <c:pt idx="9">
                  <c:v>161.20439999999999</c:v>
                </c:pt>
                <c:pt idx="10">
                  <c:v>178.84270000000001</c:v>
                </c:pt>
                <c:pt idx="11">
                  <c:v>196.54130000000001</c:v>
                </c:pt>
                <c:pt idx="12">
                  <c:v>214.3005</c:v>
                </c:pt>
                <c:pt idx="13">
                  <c:v>232.12</c:v>
                </c:pt>
                <c:pt idx="1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9B-4878-9126-9B164879F278}"/>
            </c:ext>
          </c:extLst>
        </c:ser>
        <c:ser>
          <c:idx val="11"/>
          <c:order val="8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  <c:numCache>
                <c:formatCode>General</c:formatCode>
                <c:ptCount val="1"/>
                <c:pt idx="0">
                  <c:v>47.884</c:v>
                </c:pt>
              </c:numCache>
            </c:numRef>
          </c:xVal>
          <c:yVal>
            <c:numRef>
              <c:f>Diagrammdaten!$K$121</c:f>
              <c:numCache>
                <c:formatCode>General</c:formatCode>
                <c:ptCount val="1"/>
                <c:pt idx="0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9B-4878-9126-9B164879F278}"/>
            </c:ext>
          </c:extLst>
        </c:ser>
        <c:ser>
          <c:idx val="12"/>
          <c:order val="9"/>
          <c:tx>
            <c:v>Kritischer Punkt reines CO₂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Diagrammdaten!$L$380</c:f>
              <c:numCache>
                <c:formatCode>General</c:formatCode>
                <c:ptCount val="1"/>
                <c:pt idx="0">
                  <c:v>222.95640000596143</c:v>
                </c:pt>
              </c:numCache>
            </c:numRef>
          </c:xVal>
          <c:yVal>
            <c:numRef>
              <c:f>Diagrammdaten!$K$380</c:f>
              <c:numCache>
                <c:formatCode>General</c:formatCode>
                <c:ptCount val="1"/>
                <c:pt idx="0">
                  <c:v>73.772983734467516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79B-4878-9126-9B164879F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3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 val="autoZero"/>
        <c:crossBetween val="between"/>
        <c:majorUnit val="10"/>
      </c:valAx>
      <c:valAx>
        <c:axId val="60080002"/>
        <c:scaling>
          <c:orientation val="minMax"/>
          <c:max val="13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valAx>
        <c:axId val="6008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80002"/>
        <c:crosses val="autoZero"/>
        <c:crossBetween val="midCat"/>
      </c:valAx>
    </c:plotArea>
    <c:legend>
      <c:legendPos val="r"/>
      <c:legendEntry>
        <c:idx val="5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2_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Worst-Case-Gemisch: Zweiphasengebiet zwischen Tau- und Blasenlinie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Diagrammdaten!$D$8:$D$388</c:f>
              <c:numCache>
                <c:formatCode>General</c:formatCode>
                <c:ptCount val="381"/>
                <c:pt idx="0">
                  <c:v>0.89241567971802016</c:v>
                </c:pt>
                <c:pt idx="1">
                  <c:v>0.93029797403040304</c:v>
                </c:pt>
                <c:pt idx="2">
                  <c:v>0.96958837381022944</c:v>
                </c:pt>
                <c:pt idx="3">
                  <c:v>1.010331934508877</c:v>
                </c:pt>
                <c:pt idx="4">
                  <c:v>1.0525749397826214</c:v>
                </c:pt>
                <c:pt idx="5">
                  <c:v>1.0963649308553405</c:v>
                </c:pt>
                <c:pt idx="6">
                  <c:v>1.1417507366031867</c:v>
                </c:pt>
                <c:pt idx="7">
                  <c:v>1.1887825043863187</c:v>
                </c:pt>
                <c:pt idx="8">
                  <c:v>1.2375117316542428</c:v>
                </c:pt>
                <c:pt idx="9">
                  <c:v>1.2879912983528754</c:v>
                </c:pt>
                <c:pt idx="10">
                  <c:v>1.340275500163288</c:v>
                </c:pt>
                <c:pt idx="11">
                  <c:v>1.3944200826039743</c:v>
                </c:pt>
                <c:pt idx="12">
                  <c:v>1.4504822760307026</c:v>
                </c:pt>
                <c:pt idx="13">
                  <c:v>1.5085208315704552</c:v>
                </c:pt>
                <c:pt idx="14">
                  <c:v>1.5685960580286391</c:v>
                </c:pt>
                <c:pt idx="15">
                  <c:v>1.6307698598119242</c:v>
                </c:pt>
                <c:pt idx="16">
                  <c:v>1.6951057759124981</c:v>
                </c:pt>
                <c:pt idx="17">
                  <c:v>1.7616690200035732</c:v>
                </c:pt>
                <c:pt idx="18">
                  <c:v>1.8305265217005857</c:v>
                </c:pt>
                <c:pt idx="19">
                  <c:v>1.901746969047835</c:v>
                </c:pt>
                <c:pt idx="20">
                  <c:v>1.9754008522965969</c:v>
                </c:pt>
                <c:pt idx="21">
                  <c:v>2.0515605090479743</c:v>
                </c:pt>
                <c:pt idx="22">
                  <c:v>2.1303001708424727</c:v>
                </c:pt>
                <c:pt idx="23">
                  <c:v>2.2116960112886028</c:v>
                </c:pt>
                <c:pt idx="24">
                  <c:v>2.2958261958352479</c:v>
                </c:pt>
                <c:pt idx="25">
                  <c:v>2.3827709333077967</c:v>
                </c:pt>
                <c:pt idx="26">
                  <c:v>2.4726125293466135</c:v>
                </c:pt>
                <c:pt idx="27">
                  <c:v>2.5654354419096896</c:v>
                </c:pt>
                <c:pt idx="28">
                  <c:v>2.6613263390304978</c:v>
                </c:pt>
                <c:pt idx="29">
                  <c:v>2.7603741590594004</c:v>
                </c:pt>
                <c:pt idx="30">
                  <c:v>2.862670173664994</c:v>
                </c:pt>
                <c:pt idx="31">
                  <c:v>2.9683080539352531</c:v>
                </c:pt>
                <c:pt idx="32">
                  <c:v>3.0773839400026244</c:v>
                </c:pt>
                <c:pt idx="33">
                  <c:v>3.1899965147323135</c:v>
                </c:pt>
                <c:pt idx="34">
                  <c:v>3.3062470821726935</c:v>
                </c:pt>
                <c:pt idx="35">
                  <c:v>3.426239651693705</c:v>
                </c:pt>
                <c:pt idx="36">
                  <c:v>3.5500810290707134</c:v>
                </c:pt>
                <c:pt idx="37">
                  <c:v>3.6778809162695403</c:v>
                </c:pt>
                <c:pt idx="38">
                  <c:v>3.8097520224647976</c:v>
                </c:pt>
                <c:pt idx="39">
                  <c:v>3.9458101900827693</c:v>
                </c:pt>
                <c:pt idx="40">
                  <c:v>4.0861745418042217</c:v>
                </c:pt>
                <c:pt idx="41">
                  <c:v>4.2309676583365281</c:v>
                </c:pt>
                <c:pt idx="42">
                  <c:v>4.3803158042993156</c:v>
                </c:pt>
                <c:pt idx="43">
                  <c:v>4.5343492356916677</c:v>
                </c:pt>
                <c:pt idx="44">
                  <c:v>4.6932026616762457</c:v>
                </c:pt>
                <c:pt idx="45">
                  <c:v>4.8570160489607197</c:v>
                </c:pt>
                <c:pt idx="46">
                  <c:v>5.0259364249698981</c:v>
                </c:pt>
                <c:pt idx="47">
                  <c:v>5.4919860799449749</c:v>
                </c:pt>
                <c:pt idx="48">
                  <c:v>5.6127439371801966</c:v>
                </c:pt>
                <c:pt idx="49">
                  <c:v>5.7355076682387329</c:v>
                </c:pt>
                <c:pt idx="50">
                  <c:v>5.8602987779670137</c:v>
                </c:pt>
                <c:pt idx="51">
                  <c:v>5.9871388591800443</c:v>
                </c:pt>
                <c:pt idx="52">
                  <c:v>6.1160495926643224</c:v>
                </c:pt>
                <c:pt idx="53">
                  <c:v>6.2470527471981425</c:v>
                </c:pt>
                <c:pt idx="54">
                  <c:v>6.3801701795764982</c:v>
                </c:pt>
                <c:pt idx="55">
                  <c:v>6.5154238347897238</c:v>
                </c:pt>
                <c:pt idx="56">
                  <c:v>6.6528357460767671</c:v>
                </c:pt>
                <c:pt idx="57">
                  <c:v>6.7924280351432822</c:v>
                </c:pt>
                <c:pt idx="58">
                  <c:v>6.9342229123897052</c:v>
                </c:pt>
                <c:pt idx="59">
                  <c:v>7.0782426771019722</c:v>
                </c:pt>
                <c:pt idx="60">
                  <c:v>7.2245097178489024</c:v>
                </c:pt>
                <c:pt idx="61">
                  <c:v>7.3730465127103502</c:v>
                </c:pt>
                <c:pt idx="62">
                  <c:v>7.5238756297246789</c:v>
                </c:pt>
                <c:pt idx="63">
                  <c:v>7.6770197272943728</c:v>
                </c:pt>
                <c:pt idx="64">
                  <c:v>7.8324218604236382</c:v>
                </c:pt>
                <c:pt idx="65">
                  <c:v>7.9903439524663922</c:v>
                </c:pt>
                <c:pt idx="66">
                  <c:v>8.1505698531683723</c:v>
                </c:pt>
                <c:pt idx="67">
                  <c:v>8.3132022818456477</c:v>
                </c:pt>
                <c:pt idx="68">
                  <c:v>8.4782643567241394</c:v>
                </c:pt>
                <c:pt idx="69">
                  <c:v>8.6457792899035155</c:v>
                </c:pt>
                <c:pt idx="70">
                  <c:v>8.8157703881778495</c:v>
                </c:pt>
                <c:pt idx="71">
                  <c:v>8.9882610537478094</c:v>
                </c:pt>
                <c:pt idx="72">
                  <c:v>9.1632747851362311</c:v>
                </c:pt>
                <c:pt idx="73">
                  <c:v>9.3408351781147942</c:v>
                </c:pt>
                <c:pt idx="74">
                  <c:v>9.5209659265827469</c:v>
                </c:pt>
                <c:pt idx="75">
                  <c:v>9.7036908236466317</c:v>
                </c:pt>
                <c:pt idx="76">
                  <c:v>9.889033762673316</c:v>
                </c:pt>
                <c:pt idx="77">
                  <c:v>10.077018738400762</c:v>
                </c:pt>
                <c:pt idx="78">
                  <c:v>10.267669848055281</c:v>
                </c:pt>
                <c:pt idx="79">
                  <c:v>10.461011292705777</c:v>
                </c:pt>
                <c:pt idx="80">
                  <c:v>10.65706737848825</c:v>
                </c:pt>
                <c:pt idx="81">
                  <c:v>10.855862517881613</c:v>
                </c:pt>
                <c:pt idx="82">
                  <c:v>11.057421231298767</c:v>
                </c:pt>
                <c:pt idx="83">
                  <c:v>11.261768148424618</c:v>
                </c:pt>
                <c:pt idx="84">
                  <c:v>11.46892800980112</c:v>
                </c:pt>
                <c:pt idx="85">
                  <c:v>11.678925668469054</c:v>
                </c:pt>
                <c:pt idx="86">
                  <c:v>11.891786091679583</c:v>
                </c:pt>
                <c:pt idx="87">
                  <c:v>12.107534362600649</c:v>
                </c:pt>
                <c:pt idx="88">
                  <c:v>12.326195682274205</c:v>
                </c:pt>
                <c:pt idx="89">
                  <c:v>12.547795371500028</c:v>
                </c:pt>
                <c:pt idx="90">
                  <c:v>12.772358872889802</c:v>
                </c:pt>
                <c:pt idx="91">
                  <c:v>12.999911753042955</c:v>
                </c:pt>
                <c:pt idx="92">
                  <c:v>13.230479704752533</c:v>
                </c:pt>
                <c:pt idx="93">
                  <c:v>13.464088549338307</c:v>
                </c:pt>
                <c:pt idx="94">
                  <c:v>13.700764239189271</c:v>
                </c:pt>
                <c:pt idx="95">
                  <c:v>13.940532860287671</c:v>
                </c:pt>
                <c:pt idx="96">
                  <c:v>14.183351703185131</c:v>
                </c:pt>
                <c:pt idx="97">
                  <c:v>14.429453924659507</c:v>
                </c:pt>
                <c:pt idx="98">
                  <c:v>14.678659233038044</c:v>
                </c:pt>
                <c:pt idx="99">
                  <c:v>14.931063208978326</c:v>
                </c:pt>
                <c:pt idx="100">
                  <c:v>15.186692649944018</c:v>
                </c:pt>
                <c:pt idx="101">
                  <c:v>15.445574505341019</c:v>
                </c:pt>
                <c:pt idx="102">
                  <c:v>15.707735880186359</c:v>
                </c:pt>
                <c:pt idx="103">
                  <c:v>15.973204038727578</c:v>
                </c:pt>
                <c:pt idx="104">
                  <c:v>16.242006408537232</c:v>
                </c:pt>
                <c:pt idx="105">
                  <c:v>16.514170584509827</c:v>
                </c:pt>
                <c:pt idx="106">
                  <c:v>16.789724333197771</c:v>
                </c:pt>
                <c:pt idx="107">
                  <c:v>17.06869559729407</c:v>
                </c:pt>
                <c:pt idx="108">
                  <c:v>17.351112500347501</c:v>
                </c:pt>
                <c:pt idx="109">
                  <c:v>17.637003351619452</c:v>
                </c:pt>
                <c:pt idx="110">
                  <c:v>17.926396651249259</c:v>
                </c:pt>
                <c:pt idx="111">
                  <c:v>18.219321095572891</c:v>
                </c:pt>
                <c:pt idx="112">
                  <c:v>18.515805582712161</c:v>
                </c:pt>
                <c:pt idx="113">
                  <c:v>18.815879218407041</c:v>
                </c:pt>
                <c:pt idx="114">
                  <c:v>19.119571322090206</c:v>
                </c:pt>
                <c:pt idx="115">
                  <c:v>19.426911433245074</c:v>
                </c:pt>
                <c:pt idx="116">
                  <c:v>19.737929318057201</c:v>
                </c:pt>
                <c:pt idx="117">
                  <c:v>20.052654976276475</c:v>
                </c:pt>
                <c:pt idx="118">
                  <c:v>20.371118648517893</c:v>
                </c:pt>
                <c:pt idx="119">
                  <c:v>20.693350823792674</c:v>
                </c:pt>
                <c:pt idx="120">
                  <c:v>21.019382247337123</c:v>
                </c:pt>
                <c:pt idx="121">
                  <c:v>21.349243928996074</c:v>
                </c:pt>
                <c:pt idx="122">
                  <c:v>21.682967151690651</c:v>
                </c:pt>
                <c:pt idx="123">
                  <c:v>22.020583480496693</c:v>
                </c:pt>
                <c:pt idx="124">
                  <c:v>22.362124772082222</c:v>
                </c:pt>
                <c:pt idx="125">
                  <c:v>22.707623184526081</c:v>
                </c:pt>
                <c:pt idx="126">
                  <c:v>23.057111187672984</c:v>
                </c:pt>
                <c:pt idx="127">
                  <c:v>23.410621573866361</c:v>
                </c:pt>
                <c:pt idx="128">
                  <c:v>23.768187469338002</c:v>
                </c:pt>
                <c:pt idx="129">
                  <c:v>24.12984234599627</c:v>
                </c:pt>
                <c:pt idx="130">
                  <c:v>24.495620033870402</c:v>
                </c:pt>
                <c:pt idx="131">
                  <c:v>24.865534504483001</c:v>
                </c:pt>
                <c:pt idx="132">
                  <c:v>25.239681032717183</c:v>
                </c:pt>
                <c:pt idx="133">
                  <c:v>25.618033914754317</c:v>
                </c:pt>
                <c:pt idx="134">
                  <c:v>26.000648779532593</c:v>
                </c:pt>
                <c:pt idx="135">
                  <c:v>26.387561456360864</c:v>
                </c:pt>
                <c:pt idx="136">
                  <c:v>26.77880822122118</c:v>
                </c:pt>
                <c:pt idx="137">
                  <c:v>27.174425814219134</c:v>
                </c:pt>
                <c:pt idx="138">
                  <c:v>27.574451458074829</c:v>
                </c:pt>
                <c:pt idx="139">
                  <c:v>27.978922877476542</c:v>
                </c:pt>
                <c:pt idx="140">
                  <c:v>28.387878319565097</c:v>
                </c:pt>
                <c:pt idx="141">
                  <c:v>28.801356575535983</c:v>
                </c:pt>
                <c:pt idx="142">
                  <c:v>29.21966600247509</c:v>
                </c:pt>
                <c:pt idx="143">
                  <c:v>29.644089510561468</c:v>
                </c:pt>
                <c:pt idx="144">
                  <c:v>30.069598596144392</c:v>
                </c:pt>
                <c:pt idx="145">
                  <c:v>30.503380530925153</c:v>
                </c:pt>
                <c:pt idx="146">
                  <c:v>30.937988822707315</c:v>
                </c:pt>
                <c:pt idx="147">
                  <c:v>31.379452087235325</c:v>
                </c:pt>
                <c:pt idx="148">
                  <c:v>31.82572702823888</c:v>
                </c:pt>
                <c:pt idx="149">
                  <c:v>32.276857732169212</c:v>
                </c:pt>
                <c:pt idx="150">
                  <c:v>32.732889090722054</c:v>
                </c:pt>
                <c:pt idx="151">
                  <c:v>33.193866839690045</c:v>
                </c:pt>
                <c:pt idx="152">
                  <c:v>33.659837600410995</c:v>
                </c:pt>
                <c:pt idx="153">
                  <c:v>34.130848923988133</c:v>
                </c:pt>
                <c:pt idx="154">
                  <c:v>34.606949338621241</c:v>
                </c:pt>
                <c:pt idx="155">
                  <c:v>35.088188400233264</c:v>
                </c:pt>
                <c:pt idx="156">
                  <c:v>35.574616746776918</c:v>
                </c:pt>
                <c:pt idx="157">
                  <c:v>36.066286156425733</c:v>
                </c:pt>
                <c:pt idx="158">
                  <c:v>36.563249610200728</c:v>
                </c:pt>
                <c:pt idx="159">
                  <c:v>37.065561359218584</c:v>
                </c:pt>
                <c:pt idx="160">
                  <c:v>37.573276997210179</c:v>
                </c:pt>
                <c:pt idx="161">
                  <c:v>38.086453538633471</c:v>
                </c:pt>
                <c:pt idx="162">
                  <c:v>38.60514950304249</c:v>
                </c:pt>
                <c:pt idx="163">
                  <c:v>39.129425006292543</c:v>
                </c:pt>
                <c:pt idx="164">
                  <c:v>39.659341859162808</c:v>
                </c:pt>
                <c:pt idx="165">
                  <c:v>40.19496367434504</c:v>
                </c:pt>
                <c:pt idx="166">
                  <c:v>40.736355982418857</c:v>
                </c:pt>
                <c:pt idx="167">
                  <c:v>41.283586357901441</c:v>
                </c:pt>
                <c:pt idx="168">
                  <c:v>41.836420633447588</c:v>
                </c:pt>
                <c:pt idx="169">
                  <c:v>42.3958426640854</c:v>
                </c:pt>
                <c:pt idx="170">
                  <c:v>42.961015260630354</c:v>
                </c:pt>
                <c:pt idx="171">
                  <c:v>43.532319597590259</c:v>
                </c:pt>
                <c:pt idx="172">
                  <c:v>44.109835793581581</c:v>
                </c:pt>
                <c:pt idx="173">
                  <c:v>44.693647048409758</c:v>
                </c:pt>
                <c:pt idx="174">
                  <c:v>45.283839878592119</c:v>
                </c:pt>
                <c:pt idx="175">
                  <c:v>45.880504376789766</c:v>
                </c:pt>
                <c:pt idx="176">
                  <c:v>46.483734498420105</c:v>
                </c:pt>
                <c:pt idx="177">
                  <c:v>47.093628379086717</c:v>
                </c:pt>
                <c:pt idx="178">
                  <c:v>47.710288687124077</c:v>
                </c:pt>
                <c:pt idx="179">
                  <c:v>48.333823016385388</c:v>
                </c:pt>
                <c:pt idx="180">
                  <c:v>48.964344325289865</c:v>
                </c:pt>
                <c:pt idx="181">
                  <c:v>49.601909301745991</c:v>
                </c:pt>
                <c:pt idx="182">
                  <c:v>50.246829555681302</c:v>
                </c:pt>
                <c:pt idx="183">
                  <c:v>50.899050970206332</c:v>
                </c:pt>
                <c:pt idx="184">
                  <c:v>51.558775689360345</c:v>
                </c:pt>
                <c:pt idx="185">
                  <c:v>52.226152292085246</c:v>
                </c:pt>
                <c:pt idx="186">
                  <c:v>52.901338850141386</c:v>
                </c:pt>
                <c:pt idx="187">
                  <c:v>53.584503999302882</c:v>
                </c:pt>
                <c:pt idx="188">
                  <c:v>54.275828179093409</c:v>
                </c:pt>
                <c:pt idx="189">
                  <c:v>54.975505075157592</c:v>
                </c:pt>
                <c:pt idx="190">
                  <c:v>55.683743306690538</c:v>
                </c:pt>
                <c:pt idx="191">
                  <c:v>56.400768411846606</c:v>
                </c:pt>
                <c:pt idx="192">
                  <c:v>57.126825197876414</c:v>
                </c:pt>
                <c:pt idx="193">
                  <c:v>57.862180540579779</c:v>
                </c:pt>
                <c:pt idx="194">
                  <c:v>58.607126741337744</c:v>
                </c:pt>
                <c:pt idx="195">
                  <c:v>59.361985581713512</c:v>
                </c:pt>
                <c:pt idx="196">
                  <c:v>60.131197783688393</c:v>
                </c:pt>
                <c:pt idx="197">
                  <c:v>60.94092026147699</c:v>
                </c:pt>
                <c:pt idx="198">
                  <c:v>61.750642739265587</c:v>
                </c:pt>
                <c:pt idx="199">
                  <c:v>62.560365217054184</c:v>
                </c:pt>
                <c:pt idx="200">
                  <c:v>63.37008769484278</c:v>
                </c:pt>
                <c:pt idx="201">
                  <c:v>64.179810172631377</c:v>
                </c:pt>
                <c:pt idx="202">
                  <c:v>64.989532650419974</c:v>
                </c:pt>
                <c:pt idx="203">
                  <c:v>65.817354559425965</c:v>
                </c:pt>
                <c:pt idx="204">
                  <c:v>66.703568505223032</c:v>
                </c:pt>
                <c:pt idx="205">
                  <c:v>67.589782451020099</c:v>
                </c:pt>
                <c:pt idx="206">
                  <c:v>68.475996396817166</c:v>
                </c:pt>
                <c:pt idx="207">
                  <c:v>69.40522495773665</c:v>
                </c:pt>
                <c:pt idx="208">
                  <c:v>70.363800093024707</c:v>
                </c:pt>
                <c:pt idx="209">
                  <c:v>71.322375228312765</c:v>
                </c:pt>
                <c:pt idx="210">
                  <c:v>72.325229642539654</c:v>
                </c:pt>
                <c:pt idx="211">
                  <c:v>73.38015838022605</c:v>
                </c:pt>
                <c:pt idx="212">
                  <c:v>74.43508711791246</c:v>
                </c:pt>
                <c:pt idx="213">
                  <c:v>75.61815476681673</c:v>
                </c:pt>
                <c:pt idx="214">
                  <c:v>76.817922880286346</c:v>
                </c:pt>
                <c:pt idx="215">
                  <c:v>78.254414833855236</c:v>
                </c:pt>
                <c:pt idx="216">
                  <c:v>81.455055721913254</c:v>
                </c:pt>
                <c:pt idx="217">
                  <c:v>81.455055721913254</c:v>
                </c:pt>
                <c:pt idx="218">
                  <c:v>81.455055721913254</c:v>
                </c:pt>
                <c:pt idx="219">
                  <c:v>81.455055721913254</c:v>
                </c:pt>
                <c:pt idx="220">
                  <c:v>81.455055721913254</c:v>
                </c:pt>
                <c:pt idx="221">
                  <c:v>81.455055721913254</c:v>
                </c:pt>
                <c:pt idx="222">
                  <c:v>81.455055721913254</c:v>
                </c:pt>
                <c:pt idx="223">
                  <c:v>81.455055721913254</c:v>
                </c:pt>
                <c:pt idx="224">
                  <c:v>81.455055721913254</c:v>
                </c:pt>
                <c:pt idx="225">
                  <c:v>81.455055721913254</c:v>
                </c:pt>
                <c:pt idx="226">
                  <c:v>81.455055721913254</c:v>
                </c:pt>
                <c:pt idx="227">
                  <c:v>81.455055721913254</c:v>
                </c:pt>
                <c:pt idx="228">
                  <c:v>81.455055721913254</c:v>
                </c:pt>
                <c:pt idx="229">
                  <c:v>81.455055721913254</c:v>
                </c:pt>
                <c:pt idx="230">
                  <c:v>81.455055721913254</c:v>
                </c:pt>
                <c:pt idx="231">
                  <c:v>81.455055721913254</c:v>
                </c:pt>
                <c:pt idx="232">
                  <c:v>81.455055721913254</c:v>
                </c:pt>
                <c:pt idx="233">
                  <c:v>81.455055721913254</c:v>
                </c:pt>
                <c:pt idx="234">
                  <c:v>81.455055721913254</c:v>
                </c:pt>
                <c:pt idx="235">
                  <c:v>81.455055721913254</c:v>
                </c:pt>
                <c:pt idx="236">
                  <c:v>81.455055721913254</c:v>
                </c:pt>
                <c:pt idx="237">
                  <c:v>81.455055721913254</c:v>
                </c:pt>
                <c:pt idx="238">
                  <c:v>81.455055721913254</c:v>
                </c:pt>
                <c:pt idx="239">
                  <c:v>81.455055721913254</c:v>
                </c:pt>
                <c:pt idx="240">
                  <c:v>81.455055721913254</c:v>
                </c:pt>
                <c:pt idx="241">
                  <c:v>81.455055721913254</c:v>
                </c:pt>
                <c:pt idx="242">
                  <c:v>81.455055721913254</c:v>
                </c:pt>
                <c:pt idx="243">
                  <c:v>81.455055721913254</c:v>
                </c:pt>
                <c:pt idx="244">
                  <c:v>81.455055721913254</c:v>
                </c:pt>
                <c:pt idx="245">
                  <c:v>81.455055721913254</c:v>
                </c:pt>
                <c:pt idx="246">
                  <c:v>81.455055721913254</c:v>
                </c:pt>
                <c:pt idx="247">
                  <c:v>81.455055721913254</c:v>
                </c:pt>
                <c:pt idx="248">
                  <c:v>81.455055721913254</c:v>
                </c:pt>
                <c:pt idx="249">
                  <c:v>81.455055721913254</c:v>
                </c:pt>
                <c:pt idx="250">
                  <c:v>81.455055721913254</c:v>
                </c:pt>
                <c:pt idx="251">
                  <c:v>81.455055721913254</c:v>
                </c:pt>
                <c:pt idx="252">
                  <c:v>81.455055721913254</c:v>
                </c:pt>
                <c:pt idx="253">
                  <c:v>81.455055721913254</c:v>
                </c:pt>
                <c:pt idx="254">
                  <c:v>81.455055721913254</c:v>
                </c:pt>
                <c:pt idx="255">
                  <c:v>81.455055721913254</c:v>
                </c:pt>
                <c:pt idx="256">
                  <c:v>81.455055721913254</c:v>
                </c:pt>
                <c:pt idx="257">
                  <c:v>81.455055721913254</c:v>
                </c:pt>
                <c:pt idx="258">
                  <c:v>81.455055721913254</c:v>
                </c:pt>
                <c:pt idx="259">
                  <c:v>81.455055721913254</c:v>
                </c:pt>
                <c:pt idx="260">
                  <c:v>81.455055721913254</c:v>
                </c:pt>
                <c:pt idx="261">
                  <c:v>81.455055721913254</c:v>
                </c:pt>
                <c:pt idx="262">
                  <c:v>81.455055721913254</c:v>
                </c:pt>
                <c:pt idx="263">
                  <c:v>81.455055721913254</c:v>
                </c:pt>
                <c:pt idx="264">
                  <c:v>81.455055721913254</c:v>
                </c:pt>
                <c:pt idx="265">
                  <c:v>81.455055721913254</c:v>
                </c:pt>
                <c:pt idx="266">
                  <c:v>81.455055721913254</c:v>
                </c:pt>
                <c:pt idx="267">
                  <c:v>81.455055721913254</c:v>
                </c:pt>
                <c:pt idx="268">
                  <c:v>81.455055721913254</c:v>
                </c:pt>
                <c:pt idx="269">
                  <c:v>81.455055721913254</c:v>
                </c:pt>
                <c:pt idx="270">
                  <c:v>81.455055721913254</c:v>
                </c:pt>
                <c:pt idx="271">
                  <c:v>81.455055721913254</c:v>
                </c:pt>
                <c:pt idx="272">
                  <c:v>81.455055721913254</c:v>
                </c:pt>
                <c:pt idx="273">
                  <c:v>81.455055721913254</c:v>
                </c:pt>
                <c:pt idx="274">
                  <c:v>81.455055721913254</c:v>
                </c:pt>
                <c:pt idx="275">
                  <c:v>81.455055721913254</c:v>
                </c:pt>
                <c:pt idx="276">
                  <c:v>81.455055721913254</c:v>
                </c:pt>
                <c:pt idx="277">
                  <c:v>81.455055721913254</c:v>
                </c:pt>
                <c:pt idx="278">
                  <c:v>81.455055721913254</c:v>
                </c:pt>
                <c:pt idx="279">
                  <c:v>81.455055721913254</c:v>
                </c:pt>
                <c:pt idx="280">
                  <c:v>81.455055721913254</c:v>
                </c:pt>
                <c:pt idx="281">
                  <c:v>81.455055721913254</c:v>
                </c:pt>
                <c:pt idx="282">
                  <c:v>81.455055721913254</c:v>
                </c:pt>
                <c:pt idx="283">
                  <c:v>81.455055721913254</c:v>
                </c:pt>
                <c:pt idx="284">
                  <c:v>81.455055721913254</c:v>
                </c:pt>
                <c:pt idx="285">
                  <c:v>81.455055721913254</c:v>
                </c:pt>
                <c:pt idx="286">
                  <c:v>81.455055721913254</c:v>
                </c:pt>
                <c:pt idx="287">
                  <c:v>81.455055721913254</c:v>
                </c:pt>
                <c:pt idx="288">
                  <c:v>81.455055721913254</c:v>
                </c:pt>
                <c:pt idx="289">
                  <c:v>81.455055721913254</c:v>
                </c:pt>
                <c:pt idx="290">
                  <c:v>81.455055721913254</c:v>
                </c:pt>
                <c:pt idx="291">
                  <c:v>81.455055721913254</c:v>
                </c:pt>
                <c:pt idx="292">
                  <c:v>81.455055721913254</c:v>
                </c:pt>
                <c:pt idx="293">
                  <c:v>81.455055721913254</c:v>
                </c:pt>
                <c:pt idx="294">
                  <c:v>81.455055721913254</c:v>
                </c:pt>
                <c:pt idx="295">
                  <c:v>81.455055721913254</c:v>
                </c:pt>
                <c:pt idx="296">
                  <c:v>81.455055721913254</c:v>
                </c:pt>
                <c:pt idx="297">
                  <c:v>81.455055721913254</c:v>
                </c:pt>
                <c:pt idx="298">
                  <c:v>81.455055721913254</c:v>
                </c:pt>
                <c:pt idx="299">
                  <c:v>81.455055721913254</c:v>
                </c:pt>
                <c:pt idx="300">
                  <c:v>81.455055721913254</c:v>
                </c:pt>
                <c:pt idx="301">
                  <c:v>81.455055721913254</c:v>
                </c:pt>
                <c:pt idx="302">
                  <c:v>81.455055721913254</c:v>
                </c:pt>
                <c:pt idx="303">
                  <c:v>81.455055721913254</c:v>
                </c:pt>
                <c:pt idx="304">
                  <c:v>81.455055721913254</c:v>
                </c:pt>
                <c:pt idx="305">
                  <c:v>81.455055721913254</c:v>
                </c:pt>
                <c:pt idx="306">
                  <c:v>81.455055721913254</c:v>
                </c:pt>
                <c:pt idx="307">
                  <c:v>81.455055721913254</c:v>
                </c:pt>
                <c:pt idx="308">
                  <c:v>81.455055721913254</c:v>
                </c:pt>
                <c:pt idx="309">
                  <c:v>81.455055721913254</c:v>
                </c:pt>
                <c:pt idx="310">
                  <c:v>81.455055721913254</c:v>
                </c:pt>
                <c:pt idx="311">
                  <c:v>81.455055721913254</c:v>
                </c:pt>
                <c:pt idx="312">
                  <c:v>81.455055721913254</c:v>
                </c:pt>
                <c:pt idx="313">
                  <c:v>81.455055721913254</c:v>
                </c:pt>
                <c:pt idx="314">
                  <c:v>81.455055721913254</c:v>
                </c:pt>
                <c:pt idx="315">
                  <c:v>81.455055721913254</c:v>
                </c:pt>
                <c:pt idx="316">
                  <c:v>81.455055721913254</c:v>
                </c:pt>
                <c:pt idx="317">
                  <c:v>81.455055721913254</c:v>
                </c:pt>
                <c:pt idx="318">
                  <c:v>81.455055721913254</c:v>
                </c:pt>
                <c:pt idx="319">
                  <c:v>81.455055721913254</c:v>
                </c:pt>
                <c:pt idx="320">
                  <c:v>81.455055721913254</c:v>
                </c:pt>
                <c:pt idx="321">
                  <c:v>81.455055721913254</c:v>
                </c:pt>
                <c:pt idx="322">
                  <c:v>81.455055721913254</c:v>
                </c:pt>
                <c:pt idx="323">
                  <c:v>81.455055721913254</c:v>
                </c:pt>
                <c:pt idx="324">
                  <c:v>81.455055721913254</c:v>
                </c:pt>
                <c:pt idx="325">
                  <c:v>81.455055721913254</c:v>
                </c:pt>
                <c:pt idx="326">
                  <c:v>81.455055721913254</c:v>
                </c:pt>
                <c:pt idx="327">
                  <c:v>81.455055721913254</c:v>
                </c:pt>
                <c:pt idx="328">
                  <c:v>81.455055721913254</c:v>
                </c:pt>
                <c:pt idx="329">
                  <c:v>81.455055721913254</c:v>
                </c:pt>
                <c:pt idx="330">
                  <c:v>81.455055721913254</c:v>
                </c:pt>
                <c:pt idx="331">
                  <c:v>81.455055721913254</c:v>
                </c:pt>
                <c:pt idx="332">
                  <c:v>81.455055721913254</c:v>
                </c:pt>
                <c:pt idx="333">
                  <c:v>81.455055721913254</c:v>
                </c:pt>
                <c:pt idx="334">
                  <c:v>81.455055721913254</c:v>
                </c:pt>
                <c:pt idx="335">
                  <c:v>81.455055721913254</c:v>
                </c:pt>
                <c:pt idx="336">
                  <c:v>81.455055721913254</c:v>
                </c:pt>
                <c:pt idx="337">
                  <c:v>81.455055721913254</c:v>
                </c:pt>
                <c:pt idx="338">
                  <c:v>81.455055721913254</c:v>
                </c:pt>
                <c:pt idx="339">
                  <c:v>81.455055721913254</c:v>
                </c:pt>
                <c:pt idx="340">
                  <c:v>81.455055721913254</c:v>
                </c:pt>
                <c:pt idx="341">
                  <c:v>81.455055721913254</c:v>
                </c:pt>
                <c:pt idx="342">
                  <c:v>81.455055721913254</c:v>
                </c:pt>
                <c:pt idx="343">
                  <c:v>81.455055721913254</c:v>
                </c:pt>
                <c:pt idx="344">
                  <c:v>81.455055721913254</c:v>
                </c:pt>
                <c:pt idx="345">
                  <c:v>81.455055721913254</c:v>
                </c:pt>
                <c:pt idx="346">
                  <c:v>81.455055721913254</c:v>
                </c:pt>
                <c:pt idx="347">
                  <c:v>81.455055721913254</c:v>
                </c:pt>
                <c:pt idx="348">
                  <c:v>81.455055721913254</c:v>
                </c:pt>
                <c:pt idx="349">
                  <c:v>81.455055721913254</c:v>
                </c:pt>
                <c:pt idx="350">
                  <c:v>81.455055721913254</c:v>
                </c:pt>
                <c:pt idx="351">
                  <c:v>81.455055721913254</c:v>
                </c:pt>
                <c:pt idx="352">
                  <c:v>81.455055721913254</c:v>
                </c:pt>
                <c:pt idx="353">
                  <c:v>81.455055721913254</c:v>
                </c:pt>
                <c:pt idx="354">
                  <c:v>81.455055721913254</c:v>
                </c:pt>
                <c:pt idx="355">
                  <c:v>81.455055721913254</c:v>
                </c:pt>
                <c:pt idx="356">
                  <c:v>81.455055721913254</c:v>
                </c:pt>
                <c:pt idx="357">
                  <c:v>81.455055721913254</c:v>
                </c:pt>
                <c:pt idx="358">
                  <c:v>81.455055721913254</c:v>
                </c:pt>
                <c:pt idx="359">
                  <c:v>81.455055721913254</c:v>
                </c:pt>
                <c:pt idx="360">
                  <c:v>81.455055721913254</c:v>
                </c:pt>
                <c:pt idx="361">
                  <c:v>81.455055721913254</c:v>
                </c:pt>
                <c:pt idx="362">
                  <c:v>81.455055721913254</c:v>
                </c:pt>
                <c:pt idx="363">
                  <c:v>81.455055721913254</c:v>
                </c:pt>
                <c:pt idx="364">
                  <c:v>81.455055721913254</c:v>
                </c:pt>
                <c:pt idx="365">
                  <c:v>81.455055721913254</c:v>
                </c:pt>
                <c:pt idx="366">
                  <c:v>81.455055721913254</c:v>
                </c:pt>
                <c:pt idx="367">
                  <c:v>81.455055721913254</c:v>
                </c:pt>
                <c:pt idx="368">
                  <c:v>81.455055721913254</c:v>
                </c:pt>
                <c:pt idx="369">
                  <c:v>81.455055721913254</c:v>
                </c:pt>
                <c:pt idx="370">
                  <c:v>81.455055721913254</c:v>
                </c:pt>
                <c:pt idx="371">
                  <c:v>81.455055721913254</c:v>
                </c:pt>
                <c:pt idx="372">
                  <c:v>81.455055721913254</c:v>
                </c:pt>
                <c:pt idx="373">
                  <c:v>81.455055721913254</c:v>
                </c:pt>
                <c:pt idx="374">
                  <c:v>81.455055721913254</c:v>
                </c:pt>
                <c:pt idx="375">
                  <c:v>81.455055721913254</c:v>
                </c:pt>
                <c:pt idx="376">
                  <c:v>81.455055721913254</c:v>
                </c:pt>
                <c:pt idx="377">
                  <c:v>81.455055721913254</c:v>
                </c:pt>
                <c:pt idx="378">
                  <c:v>81.455055721913254</c:v>
                </c:pt>
                <c:pt idx="379">
                  <c:v>81.455055721913254</c:v>
                </c:pt>
                <c:pt idx="380">
                  <c:v>81.455055721913254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6-478A-A4B5-1BCD8C7553FE}"/>
            </c:ext>
          </c:extLst>
        </c:ser>
        <c:ser>
          <c:idx val="1"/>
          <c:order val="1"/>
          <c:tx>
            <c:strRef>
              <c:f>Diagrammdaten!$H$7</c:f>
              <c:strCache>
                <c:ptCount val="1"/>
                <c:pt idx="0">
                  <c:v>zweiphasig [bar]</c:v>
                </c:pt>
              </c:strCache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Diagrammdaten!$H$8:$H$388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45.722748286743055</c:v>
                </c:pt>
                <c:pt idx="48">
                  <c:v>45.306270291151449</c:v>
                </c:pt>
                <c:pt idx="49">
                  <c:v>44.898235173784293</c:v>
                </c:pt>
                <c:pt idx="50">
                  <c:v>44.498393260020549</c:v>
                </c:pt>
                <c:pt idx="51">
                  <c:v>44.106503675875182</c:v>
                </c:pt>
                <c:pt idx="52">
                  <c:v>43.722333963520306</c:v>
                </c:pt>
                <c:pt idx="53">
                  <c:v>43.345659478670214</c:v>
                </c:pt>
                <c:pt idx="54">
                  <c:v>42.976262222351501</c:v>
                </c:pt>
                <c:pt idx="55">
                  <c:v>42.6139365062973</c:v>
                </c:pt>
                <c:pt idx="56">
                  <c:v>42.25847791084562</c:v>
                </c:pt>
                <c:pt idx="57">
                  <c:v>41.909690947254987</c:v>
                </c:pt>
                <c:pt idx="58">
                  <c:v>41.567386607581334</c:v>
                </c:pt>
                <c:pt idx="59">
                  <c:v>41.231141055279281</c:v>
                </c:pt>
                <c:pt idx="60">
                  <c:v>40.901500569575866</c:v>
                </c:pt>
                <c:pt idx="61">
                  <c:v>40.577570899131587</c:v>
                </c:pt>
                <c:pt idx="62">
                  <c:v>40.25942743081113</c:v>
                </c:pt>
                <c:pt idx="63">
                  <c:v>39.946909766333974</c:v>
                </c:pt>
                <c:pt idx="64">
                  <c:v>39.639942244418144</c:v>
                </c:pt>
                <c:pt idx="65">
                  <c:v>39.33813526683506</c:v>
                </c:pt>
                <c:pt idx="66">
                  <c:v>39.04158204727181</c:v>
                </c:pt>
                <c:pt idx="67">
                  <c:v>38.750061483626425</c:v>
                </c:pt>
                <c:pt idx="68">
                  <c:v>38.463436452320316</c:v>
                </c:pt>
                <c:pt idx="69">
                  <c:v>38.181573944657551</c:v>
                </c:pt>
                <c:pt idx="70">
                  <c:v>37.904344904643793</c:v>
                </c:pt>
                <c:pt idx="71">
                  <c:v>37.631624073852237</c:v>
                </c:pt>
                <c:pt idx="72">
                  <c:v>37.36328984263298</c:v>
                </c:pt>
                <c:pt idx="73">
                  <c:v>37.099224107551983</c:v>
                </c:pt>
                <c:pt idx="74">
                  <c:v>36.839312134809603</c:v>
                </c:pt>
                <c:pt idx="75">
                  <c:v>36.583442429088898</c:v>
                </c:pt>
                <c:pt idx="76">
                  <c:v>36.331506607769825</c:v>
                </c:pt>
                <c:pt idx="77">
                  <c:v>36.083399280192502</c:v>
                </c:pt>
                <c:pt idx="78">
                  <c:v>35.839017931772077</c:v>
                </c:pt>
                <c:pt idx="79">
                  <c:v>35.598262812509311</c:v>
                </c:pt>
                <c:pt idx="80">
                  <c:v>35.361036830034898</c:v>
                </c:pt>
                <c:pt idx="81">
                  <c:v>35.127245446821036</c:v>
                </c:pt>
                <c:pt idx="82">
                  <c:v>34.896796581102883</c:v>
                </c:pt>
                <c:pt idx="83">
                  <c:v>34.669600511912378</c:v>
                </c:pt>
                <c:pt idx="84">
                  <c:v>34.445569787533124</c:v>
                </c:pt>
                <c:pt idx="85">
                  <c:v>34.224619137410848</c:v>
                </c:pt>
                <c:pt idx="86">
                  <c:v>34.006665387376245</c:v>
                </c:pt>
                <c:pt idx="87">
                  <c:v>33.791627378081984</c:v>
                </c:pt>
                <c:pt idx="88">
                  <c:v>33.579425886285762</c:v>
                </c:pt>
                <c:pt idx="89">
                  <c:v>33.369983549139207</c:v>
                </c:pt>
                <c:pt idx="90">
                  <c:v>33.163224791116974</c:v>
                </c:pt>
                <c:pt idx="91">
                  <c:v>32.959075753560001</c:v>
                </c:pt>
                <c:pt idx="92">
                  <c:v>32.757464226709367</c:v>
                </c:pt>
                <c:pt idx="93">
                  <c:v>32.558319584086718</c:v>
                </c:pt>
                <c:pt idx="94">
                  <c:v>32.361572719033006</c:v>
                </c:pt>
                <c:pt idx="95">
                  <c:v>32.167155983437041</c:v>
                </c:pt>
                <c:pt idx="96">
                  <c:v>31.975072060162574</c:v>
                </c:pt>
                <c:pt idx="97">
                  <c:v>31.785049246815383</c:v>
                </c:pt>
                <c:pt idx="98">
                  <c:v>31.597230717687562</c:v>
                </c:pt>
                <c:pt idx="99">
                  <c:v>31.411485152131501</c:v>
                </c:pt>
                <c:pt idx="100">
                  <c:v>31.22775134086918</c:v>
                </c:pt>
                <c:pt idx="101">
                  <c:v>31.045969203280194</c:v>
                </c:pt>
                <c:pt idx="102">
                  <c:v>30.866079737680554</c:v>
                </c:pt>
                <c:pt idx="103">
                  <c:v>30.688024973069787</c:v>
                </c:pt>
                <c:pt idx="104">
                  <c:v>30.511747837508988</c:v>
                </c:pt>
                <c:pt idx="105">
                  <c:v>30.337191814848332</c:v>
                </c:pt>
                <c:pt idx="106">
                  <c:v>30.164302996482316</c:v>
                </c:pt>
                <c:pt idx="107">
                  <c:v>29.993024995588339</c:v>
                </c:pt>
                <c:pt idx="108">
                  <c:v>29.823308954804144</c:v>
                </c:pt>
                <c:pt idx="109">
                  <c:v>29.65509689830397</c:v>
                </c:pt>
                <c:pt idx="110">
                  <c:v>29.488338763241014</c:v>
                </c:pt>
                <c:pt idx="111">
                  <c:v>29.322983206880078</c:v>
                </c:pt>
                <c:pt idx="112">
                  <c:v>29.158979519316084</c:v>
                </c:pt>
                <c:pt idx="113">
                  <c:v>28.996277459847995</c:v>
                </c:pt>
                <c:pt idx="114">
                  <c:v>28.834826720754894</c:v>
                </c:pt>
                <c:pt idx="115">
                  <c:v>28.674580252176824</c:v>
                </c:pt>
                <c:pt idx="116">
                  <c:v>28.515488540561048</c:v>
                </c:pt>
                <c:pt idx="117">
                  <c:v>28.357504110865033</c:v>
                </c:pt>
                <c:pt idx="118">
                  <c:v>28.20057764630419</c:v>
                </c:pt>
                <c:pt idx="119">
                  <c:v>28.044662753537356</c:v>
                </c:pt>
                <c:pt idx="120">
                  <c:v>27.889712345938602</c:v>
                </c:pt>
                <c:pt idx="121">
                  <c:v>27.7356797829489</c:v>
                </c:pt>
                <c:pt idx="122">
                  <c:v>27.582518633945266</c:v>
                </c:pt>
                <c:pt idx="123">
                  <c:v>27.430182685894895</c:v>
                </c:pt>
                <c:pt idx="124">
                  <c:v>27.278625924175163</c:v>
                </c:pt>
                <c:pt idx="125">
                  <c:v>27.127802485424557</c:v>
                </c:pt>
                <c:pt idx="126">
                  <c:v>26.977666626624814</c:v>
                </c:pt>
                <c:pt idx="127">
                  <c:v>26.828172689814085</c:v>
                </c:pt>
                <c:pt idx="128">
                  <c:v>26.679275067686859</c:v>
                </c:pt>
                <c:pt idx="129">
                  <c:v>26.530928169258171</c:v>
                </c:pt>
                <c:pt idx="130">
                  <c:v>26.383086385531215</c:v>
                </c:pt>
                <c:pt idx="131">
                  <c:v>26.235724284797229</c:v>
                </c:pt>
                <c:pt idx="132">
                  <c:v>26.088735429977124</c:v>
                </c:pt>
                <c:pt idx="133">
                  <c:v>25.942134640404841</c:v>
                </c:pt>
                <c:pt idx="134">
                  <c:v>25.795855660508817</c:v>
                </c:pt>
                <c:pt idx="135">
                  <c:v>25.649852272701452</c:v>
                </c:pt>
                <c:pt idx="136">
                  <c:v>25.504078031716734</c:v>
                </c:pt>
                <c:pt idx="137">
                  <c:v>25.358486228024951</c:v>
                </c:pt>
                <c:pt idx="138">
                  <c:v>25.213029850092948</c:v>
                </c:pt>
                <c:pt idx="139">
                  <c:v>25.067661545601041</c:v>
                </c:pt>
                <c:pt idx="140">
                  <c:v>24.922333581097384</c:v>
                </c:pt>
                <c:pt idx="141">
                  <c:v>24.776997799896648</c:v>
                </c:pt>
                <c:pt idx="142">
                  <c:v>24.631336578838134</c:v>
                </c:pt>
                <c:pt idx="143">
                  <c:v>24.484057818450818</c:v>
                </c:pt>
                <c:pt idx="144">
                  <c:v>24.339976664075426</c:v>
                </c:pt>
                <c:pt idx="145">
                  <c:v>24.192509398302992</c:v>
                </c:pt>
                <c:pt idx="146">
                  <c:v>24.048480736166471</c:v>
                </c:pt>
                <c:pt idx="147">
                  <c:v>23.902057137392948</c:v>
                </c:pt>
                <c:pt idx="148">
                  <c:v>23.755272683840936</c:v>
                </c:pt>
                <c:pt idx="149">
                  <c:v>23.608073967583614</c:v>
                </c:pt>
                <c:pt idx="150">
                  <c:v>23.460406625214745</c:v>
                </c:pt>
                <c:pt idx="151">
                  <c:v>23.312215250677021</c:v>
                </c:pt>
                <c:pt idx="152">
                  <c:v>23.163443299727874</c:v>
                </c:pt>
                <c:pt idx="153">
                  <c:v>23.014032985302606</c:v>
                </c:pt>
                <c:pt idx="154">
                  <c:v>22.86392516272636</c:v>
                </c:pt>
                <c:pt idx="155">
                  <c:v>22.713059204025228</c:v>
                </c:pt>
                <c:pt idx="156">
                  <c:v>22.561372860469525</c:v>
                </c:pt>
                <c:pt idx="157">
                  <c:v>22.408802112505327</c:v>
                </c:pt>
                <c:pt idx="158">
                  <c:v>22.255281006314725</c:v>
                </c:pt>
                <c:pt idx="159">
                  <c:v>22.100741476466304</c:v>
                </c:pt>
                <c:pt idx="160">
                  <c:v>21.945113153903144</c:v>
                </c:pt>
                <c:pt idx="161">
                  <c:v>21.788323159090801</c:v>
                </c:pt>
                <c:pt idx="162">
                  <c:v>21.630295879975947</c:v>
                </c:pt>
                <c:pt idx="163">
                  <c:v>21.470952734567852</c:v>
                </c:pt>
                <c:pt idx="164">
                  <c:v>21.310211918655718</c:v>
                </c:pt>
                <c:pt idx="165">
                  <c:v>21.147988138551462</c:v>
                </c:pt>
                <c:pt idx="166">
                  <c:v>20.984192329795583</c:v>
                </c:pt>
                <c:pt idx="167">
                  <c:v>20.818731362358008</c:v>
                </c:pt>
                <c:pt idx="168">
                  <c:v>20.651811656141327</c:v>
                </c:pt>
                <c:pt idx="169">
                  <c:v>20.482419247103287</c:v>
                </c:pt>
                <c:pt idx="170">
                  <c:v>20.311161067758604</c:v>
                </c:pt>
                <c:pt idx="171">
                  <c:v>20.138213473714643</c:v>
                </c:pt>
                <c:pt idx="172">
                  <c:v>19.962865316287264</c:v>
                </c:pt>
                <c:pt idx="173">
                  <c:v>19.785189851884226</c:v>
                </c:pt>
                <c:pt idx="174">
                  <c:v>19.605056274126355</c:v>
                </c:pt>
                <c:pt idx="175">
                  <c:v>19.422326947044688</c:v>
                </c:pt>
                <c:pt idx="176">
                  <c:v>19.236856999637254</c:v>
                </c:pt>
                <c:pt idx="177">
                  <c:v>19.048493893594831</c:v>
                </c:pt>
                <c:pt idx="178">
                  <c:v>18.857076953167322</c:v>
                </c:pt>
                <c:pt idx="179">
                  <c:v>18.662436841669852</c:v>
                </c:pt>
                <c:pt idx="180">
                  <c:v>18.464394963440107</c:v>
                </c:pt>
                <c:pt idx="181">
                  <c:v>18.262824890968815</c:v>
                </c:pt>
                <c:pt idx="182">
                  <c:v>18.057340887726184</c:v>
                </c:pt>
                <c:pt idx="183">
                  <c:v>17.847918159776697</c:v>
                </c:pt>
                <c:pt idx="184">
                  <c:v>17.634270313168798</c:v>
                </c:pt>
                <c:pt idx="185">
                  <c:v>17.416158411818969</c:v>
                </c:pt>
                <c:pt idx="186">
                  <c:v>17.193326871870781</c:v>
                </c:pt>
                <c:pt idx="187">
                  <c:v>16.965496087201018</c:v>
                </c:pt>
                <c:pt idx="188">
                  <c:v>16.732383826169155</c:v>
                </c:pt>
                <c:pt idx="189">
                  <c:v>16.493652415254395</c:v>
                </c:pt>
                <c:pt idx="190">
                  <c:v>16.248952980994012</c:v>
                </c:pt>
                <c:pt idx="191">
                  <c:v>15.997895168462172</c:v>
                </c:pt>
                <c:pt idx="192">
                  <c:v>15.740045012259728</c:v>
                </c:pt>
                <c:pt idx="193">
                  <c:v>15.474916485412827</c:v>
                </c:pt>
                <c:pt idx="194">
                  <c:v>15.202028549938014</c:v>
                </c:pt>
                <c:pt idx="195">
                  <c:v>14.921069231022145</c:v>
                </c:pt>
                <c:pt idx="196">
                  <c:v>14.62589851865242</c:v>
                </c:pt>
                <c:pt idx="197">
                  <c:v>14.291299425644738</c:v>
                </c:pt>
                <c:pt idx="198">
                  <c:v>13.956700332637055</c:v>
                </c:pt>
                <c:pt idx="199">
                  <c:v>13.622101239629387</c:v>
                </c:pt>
                <c:pt idx="200">
                  <c:v>13.280763404159487</c:v>
                </c:pt>
                <c:pt idx="201">
                  <c:v>12.928686063309783</c:v>
                </c:pt>
                <c:pt idx="202">
                  <c:v>12.576608722460065</c:v>
                </c:pt>
                <c:pt idx="203">
                  <c:v>12.206431950392968</c:v>
                </c:pt>
                <c:pt idx="204">
                  <c:v>11.777863141534795</c:v>
                </c:pt>
                <c:pt idx="205">
                  <c:v>11.349294332676607</c:v>
                </c:pt>
                <c:pt idx="206">
                  <c:v>10.920725523818433</c:v>
                </c:pt>
                <c:pt idx="207">
                  <c:v>10.449142099837843</c:v>
                </c:pt>
                <c:pt idx="208">
                  <c:v>9.8918304676368791</c:v>
                </c:pt>
                <c:pt idx="209">
                  <c:v>9.3330379831599544</c:v>
                </c:pt>
                <c:pt idx="210">
                  <c:v>8.7299662197441847</c:v>
                </c:pt>
                <c:pt idx="211">
                  <c:v>8.0059258842833714</c:v>
                </c:pt>
                <c:pt idx="212">
                  <c:v>7.2811354116850566</c:v>
                </c:pt>
                <c:pt idx="213">
                  <c:v>6.3423787961515785</c:v>
                </c:pt>
                <c:pt idx="214">
                  <c:v>5.334659025849902</c:v>
                </c:pt>
                <c:pt idx="215">
                  <c:v>3.8451784074934778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96-478A-A4B5-1BCD8C7553FE}"/>
            </c:ext>
          </c:extLst>
        </c:ser>
        <c:ser>
          <c:idx val="2"/>
          <c:order val="2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Diagrammdaten!$E$8:$E$388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-43.321938775399936</c:v>
                </c:pt>
                <c:pt idx="48">
                  <c:v>-19.573657769234739</c:v>
                </c:pt>
                <c:pt idx="49">
                  <c:v>4.2776478480946309</c:v>
                </c:pt>
                <c:pt idx="50">
                  <c:v>28.232206246358245</c:v>
                </c:pt>
                <c:pt idx="51">
                  <c:v>52.290236706728436</c:v>
                </c:pt>
                <c:pt idx="52">
                  <c:v>76.451950006248808</c:v>
                </c:pt>
                <c:pt idx="53">
                  <c:v>100.71754902042227</c:v>
                </c:pt>
                <c:pt idx="54">
                  <c:v>125.08722989143178</c:v>
                </c:pt>
                <c:pt idx="55">
                  <c:v>149.56117636254928</c:v>
                </c:pt>
                <c:pt idx="56">
                  <c:v>174.13957082020011</c:v>
                </c:pt>
                <c:pt idx="57">
                  <c:v>198.82258663142241</c:v>
                </c:pt>
                <c:pt idx="58">
                  <c:v>201.49839048002895</c:v>
                </c:pt>
                <c:pt idx="59">
                  <c:v>201.69061626761874</c:v>
                </c:pt>
                <c:pt idx="60">
                  <c:v>201.87398971257522</c:v>
                </c:pt>
                <c:pt idx="61">
                  <c:v>202.04938258815807</c:v>
                </c:pt>
                <c:pt idx="62">
                  <c:v>202.21669693946419</c:v>
                </c:pt>
                <c:pt idx="63">
                  <c:v>202.37607050637166</c:v>
                </c:pt>
                <c:pt idx="64">
                  <c:v>202.52763589515823</c:v>
                </c:pt>
                <c:pt idx="65">
                  <c:v>202.67152078069856</c:v>
                </c:pt>
                <c:pt idx="66">
                  <c:v>202.80784809955981</c:v>
                </c:pt>
                <c:pt idx="67">
                  <c:v>202.93673623452793</c:v>
                </c:pt>
                <c:pt idx="68">
                  <c:v>203.05829919095555</c:v>
                </c:pt>
                <c:pt idx="69">
                  <c:v>203.17264676543894</c:v>
                </c:pt>
                <c:pt idx="70">
                  <c:v>203.27988470717835</c:v>
                </c:pt>
                <c:pt idx="71">
                  <c:v>203.38011487239996</c:v>
                </c:pt>
                <c:pt idx="72">
                  <c:v>203.4734353722308</c:v>
                </c:pt>
                <c:pt idx="73">
                  <c:v>203.55994071433321</c:v>
                </c:pt>
                <c:pt idx="74">
                  <c:v>203.63972193860764</c:v>
                </c:pt>
                <c:pt idx="75">
                  <c:v>203.71286674726446</c:v>
                </c:pt>
                <c:pt idx="76">
                  <c:v>203.77945962955687</c:v>
                </c:pt>
                <c:pt idx="77">
                  <c:v>203.83958198140675</c:v>
                </c:pt>
                <c:pt idx="78">
                  <c:v>203.89331222017265</c:v>
                </c:pt>
                <c:pt idx="79">
                  <c:v>203.94072589478492</c:v>
                </c:pt>
                <c:pt idx="80">
                  <c:v>203.98189579147686</c:v>
                </c:pt>
                <c:pt idx="81">
                  <c:v>204.01689203529736</c:v>
                </c:pt>
                <c:pt idx="82">
                  <c:v>204.04578218759835</c:v>
                </c:pt>
                <c:pt idx="83">
                  <c:v>204.068631339663</c:v>
                </c:pt>
                <c:pt idx="84">
                  <c:v>204.08550220266577</c:v>
                </c:pt>
                <c:pt idx="85">
                  <c:v>204.0964551941201</c:v>
                </c:pt>
                <c:pt idx="86">
                  <c:v>204.10154852094416</c:v>
                </c:pt>
                <c:pt idx="87">
                  <c:v>204.10083825931736</c:v>
                </c:pt>
                <c:pt idx="88">
                  <c:v>204.09437843144002</c:v>
                </c:pt>
                <c:pt idx="89">
                  <c:v>204.08222107936075</c:v>
                </c:pt>
                <c:pt idx="90">
                  <c:v>204.06441633599323</c:v>
                </c:pt>
                <c:pt idx="91">
                  <c:v>204.04101249339703</c:v>
                </c:pt>
                <c:pt idx="92">
                  <c:v>204.0120560685381</c:v>
                </c:pt>
                <c:pt idx="93">
                  <c:v>203.97759186657498</c:v>
                </c:pt>
                <c:pt idx="94">
                  <c:v>203.93766304177774</c:v>
                </c:pt>
                <c:pt idx="95">
                  <c:v>203.8923111562753</c:v>
                </c:pt>
                <c:pt idx="96">
                  <c:v>203.84157623665229</c:v>
                </c:pt>
                <c:pt idx="97">
                  <c:v>203.78549682852511</c:v>
                </c:pt>
                <c:pt idx="98">
                  <c:v>203.7241100492744</c:v>
                </c:pt>
                <c:pt idx="99">
                  <c:v>203.65745163889017</c:v>
                </c:pt>
                <c:pt idx="100">
                  <c:v>203.5855560091868</c:v>
                </c:pt>
                <c:pt idx="101">
                  <c:v>203.50845629137879</c:v>
                </c:pt>
                <c:pt idx="102">
                  <c:v>203.4261843821331</c:v>
                </c:pt>
                <c:pt idx="103">
                  <c:v>203.33877098820264</c:v>
                </c:pt>
                <c:pt idx="104">
                  <c:v>203.24624575395379</c:v>
                </c:pt>
                <c:pt idx="105">
                  <c:v>203.14863760064185</c:v>
                </c:pt>
                <c:pt idx="106">
                  <c:v>203.04597267031991</c:v>
                </c:pt>
                <c:pt idx="107">
                  <c:v>202.93827940711759</c:v>
                </c:pt>
                <c:pt idx="108">
                  <c:v>202.82557854484836</c:v>
                </c:pt>
                <c:pt idx="109">
                  <c:v>202.70789975007659</c:v>
                </c:pt>
                <c:pt idx="110">
                  <c:v>202.58526458550972</c:v>
                </c:pt>
                <c:pt idx="111">
                  <c:v>202.45769569754702</c:v>
                </c:pt>
                <c:pt idx="112">
                  <c:v>202.32521489797176</c:v>
                </c:pt>
                <c:pt idx="113">
                  <c:v>202.18784332174496</c:v>
                </c:pt>
                <c:pt idx="114">
                  <c:v>202.0456019571549</c:v>
                </c:pt>
                <c:pt idx="115">
                  <c:v>201.89850831457809</c:v>
                </c:pt>
                <c:pt idx="116">
                  <c:v>201.74658214138174</c:v>
                </c:pt>
                <c:pt idx="117">
                  <c:v>201.58984091285851</c:v>
                </c:pt>
                <c:pt idx="118">
                  <c:v>201.42830370517791</c:v>
                </c:pt>
                <c:pt idx="119">
                  <c:v>201.26198642266996</c:v>
                </c:pt>
                <c:pt idx="120">
                  <c:v>201.09090540672429</c:v>
                </c:pt>
                <c:pt idx="121">
                  <c:v>200.91507628805502</c:v>
                </c:pt>
                <c:pt idx="122">
                  <c:v>200.73451421436408</c:v>
                </c:pt>
                <c:pt idx="123">
                  <c:v>200.54923383360841</c:v>
                </c:pt>
                <c:pt idx="124">
                  <c:v>200.35924930374262</c:v>
                </c:pt>
                <c:pt idx="125">
                  <c:v>200.16457433004936</c:v>
                </c:pt>
                <c:pt idx="126">
                  <c:v>199.9652221857022</c:v>
                </c:pt>
                <c:pt idx="127">
                  <c:v>199.76120573631954</c:v>
                </c:pt>
                <c:pt idx="128">
                  <c:v>199.55253746297512</c:v>
                </c:pt>
                <c:pt idx="129">
                  <c:v>199.33922948474554</c:v>
                </c:pt>
                <c:pt idx="130">
                  <c:v>199.12129358059838</c:v>
                </c:pt>
                <c:pt idx="131">
                  <c:v>198.89874121071978</c:v>
                </c:pt>
                <c:pt idx="132">
                  <c:v>198.67158353730571</c:v>
                </c:pt>
                <c:pt idx="133">
                  <c:v>198.43983144484085</c:v>
                </c:pt>
                <c:pt idx="134">
                  <c:v>198.20349555995858</c:v>
                </c:pt>
                <c:pt idx="135">
                  <c:v>197.96258627093769</c:v>
                </c:pt>
                <c:pt idx="136">
                  <c:v>197.71711374706209</c:v>
                </c:pt>
                <c:pt idx="137">
                  <c:v>197.46708795775592</c:v>
                </c:pt>
                <c:pt idx="138">
                  <c:v>197.21251869183223</c:v>
                </c:pt>
                <c:pt idx="139">
                  <c:v>196.95341557692242</c:v>
                </c:pt>
                <c:pt idx="140">
                  <c:v>196.68978809933753</c:v>
                </c:pt>
                <c:pt idx="141">
                  <c:v>196.42164562456736</c:v>
                </c:pt>
                <c:pt idx="142">
                  <c:v>196.14899741868678</c:v>
                </c:pt>
                <c:pt idx="143">
                  <c:v>195.87185267098772</c:v>
                </c:pt>
                <c:pt idx="144">
                  <c:v>195.59042473978019</c:v>
                </c:pt>
                <c:pt idx="145">
                  <c:v>195.30411007077186</c:v>
                </c:pt>
                <c:pt idx="146">
                  <c:v>195.01353044112622</c:v>
                </c:pt>
                <c:pt idx="147">
                  <c:v>194.71849077537172</c:v>
                </c:pt>
                <c:pt idx="148">
                  <c:v>194.4190002879202</c:v>
                </c:pt>
                <c:pt idx="149">
                  <c:v>194.11506830024717</c:v>
                </c:pt>
                <c:pt idx="150">
                  <c:v>193.80670428406319</c:v>
                </c:pt>
                <c:pt idx="151">
                  <c:v>193.49391790963293</c:v>
                </c:pt>
                <c:pt idx="152">
                  <c:v>193.17671909986115</c:v>
                </c:pt>
                <c:pt idx="153">
                  <c:v>192.85511809070925</c:v>
                </c:pt>
                <c:pt idx="154">
                  <c:v>192.52912549865241</c:v>
                </c:pt>
                <c:pt idx="155">
                  <c:v>192.19875239574151</c:v>
                </c:pt>
                <c:pt idx="156">
                  <c:v>191.86401039275356</c:v>
                </c:pt>
                <c:pt idx="157">
                  <c:v>191.52491173106893</c:v>
                </c:pt>
                <c:pt idx="158">
                  <c:v>191.18146938348454</c:v>
                </c:pt>
                <c:pt idx="159">
                  <c:v>190.83369716431511</c:v>
                </c:pt>
                <c:pt idx="160">
                  <c:v>190.48160984888668</c:v>
                </c:pt>
                <c:pt idx="161">
                  <c:v>190.12522330227574</c:v>
                </c:pt>
                <c:pt idx="162">
                  <c:v>189.76455461698157</c:v>
                </c:pt>
                <c:pt idx="163">
                  <c:v>189.39962225913962</c:v>
                </c:pt>
                <c:pt idx="164">
                  <c:v>189.03044622218147</c:v>
                </c:pt>
                <c:pt idx="165">
                  <c:v>188.6570481871035</c:v>
                </c:pt>
                <c:pt idx="166">
                  <c:v>188.27945168778555</c:v>
                </c:pt>
                <c:pt idx="167">
                  <c:v>187.89768227974054</c:v>
                </c:pt>
                <c:pt idx="168">
                  <c:v>187.51176771041108</c:v>
                </c:pt>
                <c:pt idx="169">
                  <c:v>187.1217380888113</c:v>
                </c:pt>
                <c:pt idx="170">
                  <c:v>186.72782367161105</c:v>
                </c:pt>
                <c:pt idx="171">
                  <c:v>186.3294669286951</c:v>
                </c:pt>
                <c:pt idx="172">
                  <c:v>185.92729889013117</c:v>
                </c:pt>
                <c:pt idx="173">
                  <c:v>185.52116309970603</c:v>
                </c:pt>
                <c:pt idx="174">
                  <c:v>185.11110384728153</c:v>
                </c:pt>
                <c:pt idx="175">
                  <c:v>184.69716867616555</c:v>
                </c:pt>
                <c:pt idx="176">
                  <c:v>184.27940850194264</c:v>
                </c:pt>
                <c:pt idx="177">
                  <c:v>183.85787772731845</c:v>
                </c:pt>
                <c:pt idx="178">
                  <c:v>183.4326343597086</c:v>
                </c:pt>
                <c:pt idx="179">
                  <c:v>183.00374014194477</c:v>
                </c:pt>
                <c:pt idx="180">
                  <c:v>182.57126071127004</c:v>
                </c:pt>
                <c:pt idx="181">
                  <c:v>182.13526580728518</c:v>
                </c:pt>
                <c:pt idx="182">
                  <c:v>181.69582955659251</c:v>
                </c:pt>
                <c:pt idx="183">
                  <c:v>181.25303087001697</c:v>
                </c:pt>
                <c:pt idx="184">
                  <c:v>180.80695399747086</c:v>
                </c:pt>
                <c:pt idx="185">
                  <c:v>180.35768929609577</c:v>
                </c:pt>
                <c:pt idx="186">
                  <c:v>179.90533427798783</c:v>
                </c:pt>
                <c:pt idx="187">
                  <c:v>179.4499999134961</c:v>
                </c:pt>
                <c:pt idx="188">
                  <c:v>178.99178799473742</c:v>
                </c:pt>
                <c:pt idx="189">
                  <c:v>178.53084250958801</c:v>
                </c:pt>
                <c:pt idx="190">
                  <c:v>178.06730371231544</c:v>
                </c:pt>
                <c:pt idx="191">
                  <c:v>177.60133641969122</c:v>
                </c:pt>
                <c:pt idx="192">
                  <c:v>177.13312978986386</c:v>
                </c:pt>
                <c:pt idx="193">
                  <c:v>176.66290297400741</c:v>
                </c:pt>
                <c:pt idx="194">
                  <c:v>176.19084470872423</c:v>
                </c:pt>
                <c:pt idx="195">
                  <c:v>175.71694518726434</c:v>
                </c:pt>
                <c:pt idx="196">
                  <c:v>175.24290369765919</c:v>
                </c:pt>
                <c:pt idx="197">
                  <c:v>174.76778031287827</c:v>
                </c:pt>
                <c:pt idx="198">
                  <c:v>174.29265692809736</c:v>
                </c:pt>
                <c:pt idx="199">
                  <c:v>173.81753354331642</c:v>
                </c:pt>
                <c:pt idx="200">
                  <c:v>173.34914890099773</c:v>
                </c:pt>
                <c:pt idx="201">
                  <c:v>172.89150376405883</c:v>
                </c:pt>
                <c:pt idx="202">
                  <c:v>172.43385862711995</c:v>
                </c:pt>
                <c:pt idx="203">
                  <c:v>171.97621349018107</c:v>
                </c:pt>
                <c:pt idx="204">
                  <c:v>171.51856835324219</c:v>
                </c:pt>
                <c:pt idx="205">
                  <c:v>171.06092321630331</c:v>
                </c:pt>
                <c:pt idx="206">
                  <c:v>170.6032780793644</c:v>
                </c:pt>
                <c:pt idx="207">
                  <c:v>170.14563294242549</c:v>
                </c:pt>
                <c:pt idx="208">
                  <c:v>169.74436943933841</c:v>
                </c:pt>
                <c:pt idx="209">
                  <c:v>169.34458678852729</c:v>
                </c:pt>
                <c:pt idx="210">
                  <c:v>168.94480413771618</c:v>
                </c:pt>
                <c:pt idx="211">
                  <c:v>168.61391573549059</c:v>
                </c:pt>
                <c:pt idx="212">
                  <c:v>168.28377747040247</c:v>
                </c:pt>
                <c:pt idx="213">
                  <c:v>168.03946643703171</c:v>
                </c:pt>
                <c:pt idx="214">
                  <c:v>167.84741809386375</c:v>
                </c:pt>
                <c:pt idx="215">
                  <c:v>167.90040675865129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96-478A-A4B5-1BCD8C7553FE}"/>
            </c:ext>
          </c:extLst>
        </c:ser>
        <c:ser>
          <c:idx val="3"/>
          <c:order val="3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Diagrammdaten!$F$8:$F$388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168.54494427808675</c:v>
                </c:pt>
                <c:pt idx="217">
                  <c:v>168.54494427808675</c:v>
                </c:pt>
                <c:pt idx="218">
                  <c:v>168.54494427808675</c:v>
                </c:pt>
                <c:pt idx="219">
                  <c:v>168.54494427808675</c:v>
                </c:pt>
                <c:pt idx="220">
                  <c:v>168.54494427808675</c:v>
                </c:pt>
                <c:pt idx="221">
                  <c:v>168.54494427808675</c:v>
                </c:pt>
                <c:pt idx="222">
                  <c:v>168.54494427808675</c:v>
                </c:pt>
                <c:pt idx="223">
                  <c:v>168.54494427808675</c:v>
                </c:pt>
                <c:pt idx="224">
                  <c:v>168.54494427808675</c:v>
                </c:pt>
                <c:pt idx="225">
                  <c:v>168.54494427808675</c:v>
                </c:pt>
                <c:pt idx="226">
                  <c:v>168.54494427808675</c:v>
                </c:pt>
                <c:pt idx="227">
                  <c:v>168.54494427808675</c:v>
                </c:pt>
                <c:pt idx="228">
                  <c:v>168.54494427808675</c:v>
                </c:pt>
                <c:pt idx="229">
                  <c:v>168.54494427808675</c:v>
                </c:pt>
                <c:pt idx="230">
                  <c:v>168.54494427808675</c:v>
                </c:pt>
                <c:pt idx="231">
                  <c:v>168.54494427808675</c:v>
                </c:pt>
                <c:pt idx="232">
                  <c:v>168.54494427808675</c:v>
                </c:pt>
                <c:pt idx="233">
                  <c:v>168.54494427808675</c:v>
                </c:pt>
                <c:pt idx="234">
                  <c:v>168.54494427808675</c:v>
                </c:pt>
                <c:pt idx="235">
                  <c:v>168.54494427808675</c:v>
                </c:pt>
                <c:pt idx="236">
                  <c:v>168.54494427808675</c:v>
                </c:pt>
                <c:pt idx="237">
                  <c:v>168.54494427808675</c:v>
                </c:pt>
                <c:pt idx="238">
                  <c:v>168.54494427808675</c:v>
                </c:pt>
                <c:pt idx="239">
                  <c:v>168.54494427808675</c:v>
                </c:pt>
                <c:pt idx="240">
                  <c:v>168.54494427808675</c:v>
                </c:pt>
                <c:pt idx="241">
                  <c:v>168.54494427808675</c:v>
                </c:pt>
                <c:pt idx="242">
                  <c:v>168.54494427808675</c:v>
                </c:pt>
                <c:pt idx="243">
                  <c:v>168.54494427808675</c:v>
                </c:pt>
                <c:pt idx="244">
                  <c:v>168.54494427808675</c:v>
                </c:pt>
                <c:pt idx="245">
                  <c:v>168.54494427808675</c:v>
                </c:pt>
                <c:pt idx="246">
                  <c:v>168.54494427808675</c:v>
                </c:pt>
                <c:pt idx="247">
                  <c:v>168.54494427808675</c:v>
                </c:pt>
                <c:pt idx="248">
                  <c:v>168.54494427808675</c:v>
                </c:pt>
                <c:pt idx="249">
                  <c:v>168.54494427808675</c:v>
                </c:pt>
                <c:pt idx="250">
                  <c:v>168.54494427808675</c:v>
                </c:pt>
                <c:pt idx="251">
                  <c:v>168.54494427808675</c:v>
                </c:pt>
                <c:pt idx="252">
                  <c:v>168.54494427808675</c:v>
                </c:pt>
                <c:pt idx="253">
                  <c:v>168.54494427808675</c:v>
                </c:pt>
                <c:pt idx="254">
                  <c:v>168.54494427808675</c:v>
                </c:pt>
                <c:pt idx="255">
                  <c:v>168.54494427808675</c:v>
                </c:pt>
                <c:pt idx="256">
                  <c:v>168.54494427808675</c:v>
                </c:pt>
                <c:pt idx="257">
                  <c:v>168.54494427808675</c:v>
                </c:pt>
                <c:pt idx="258">
                  <c:v>168.54494427808675</c:v>
                </c:pt>
                <c:pt idx="259">
                  <c:v>168.54494427808675</c:v>
                </c:pt>
                <c:pt idx="260">
                  <c:v>168.54494427808675</c:v>
                </c:pt>
                <c:pt idx="261">
                  <c:v>168.54494427808675</c:v>
                </c:pt>
                <c:pt idx="262">
                  <c:v>168.54494427808675</c:v>
                </c:pt>
                <c:pt idx="263">
                  <c:v>168.54494427808675</c:v>
                </c:pt>
                <c:pt idx="264">
                  <c:v>168.54494427808675</c:v>
                </c:pt>
                <c:pt idx="265">
                  <c:v>168.54494427808675</c:v>
                </c:pt>
                <c:pt idx="266">
                  <c:v>168.54494427808675</c:v>
                </c:pt>
                <c:pt idx="267">
                  <c:v>168.54494427808675</c:v>
                </c:pt>
                <c:pt idx="268">
                  <c:v>168.54494427808675</c:v>
                </c:pt>
                <c:pt idx="269">
                  <c:v>168.54494427808675</c:v>
                </c:pt>
                <c:pt idx="270">
                  <c:v>168.54494427808675</c:v>
                </c:pt>
                <c:pt idx="271">
                  <c:v>168.54494427808675</c:v>
                </c:pt>
                <c:pt idx="272">
                  <c:v>168.54494427808675</c:v>
                </c:pt>
                <c:pt idx="273">
                  <c:v>168.54494427808675</c:v>
                </c:pt>
                <c:pt idx="274">
                  <c:v>168.54494427808675</c:v>
                </c:pt>
                <c:pt idx="275">
                  <c:v>168.54494427808675</c:v>
                </c:pt>
                <c:pt idx="276">
                  <c:v>168.54494427808675</c:v>
                </c:pt>
                <c:pt idx="277">
                  <c:v>168.54494427808675</c:v>
                </c:pt>
                <c:pt idx="278">
                  <c:v>168.54494427808675</c:v>
                </c:pt>
                <c:pt idx="279">
                  <c:v>168.54494427808675</c:v>
                </c:pt>
                <c:pt idx="280">
                  <c:v>168.54494427808675</c:v>
                </c:pt>
                <c:pt idx="281">
                  <c:v>168.54494427808675</c:v>
                </c:pt>
                <c:pt idx="282">
                  <c:v>168.54494427808675</c:v>
                </c:pt>
                <c:pt idx="283">
                  <c:v>168.54494427808675</c:v>
                </c:pt>
                <c:pt idx="284">
                  <c:v>168.54494427808675</c:v>
                </c:pt>
                <c:pt idx="285">
                  <c:v>168.54494427808675</c:v>
                </c:pt>
                <c:pt idx="286">
                  <c:v>168.54494427808675</c:v>
                </c:pt>
                <c:pt idx="287">
                  <c:v>168.54494427808675</c:v>
                </c:pt>
                <c:pt idx="288">
                  <c:v>168.54494427808675</c:v>
                </c:pt>
                <c:pt idx="289">
                  <c:v>168.54494427808675</c:v>
                </c:pt>
                <c:pt idx="290">
                  <c:v>168.54494427808675</c:v>
                </c:pt>
                <c:pt idx="291">
                  <c:v>168.54494427808675</c:v>
                </c:pt>
                <c:pt idx="292">
                  <c:v>168.54494427808675</c:v>
                </c:pt>
                <c:pt idx="293">
                  <c:v>168.54494427808675</c:v>
                </c:pt>
                <c:pt idx="294">
                  <c:v>168.54494427808675</c:v>
                </c:pt>
                <c:pt idx="295">
                  <c:v>168.54494427808675</c:v>
                </c:pt>
                <c:pt idx="296">
                  <c:v>168.54494427808675</c:v>
                </c:pt>
                <c:pt idx="297">
                  <c:v>168.54494427808675</c:v>
                </c:pt>
                <c:pt idx="298">
                  <c:v>168.54494427808675</c:v>
                </c:pt>
                <c:pt idx="299">
                  <c:v>168.54494427808675</c:v>
                </c:pt>
                <c:pt idx="300">
                  <c:v>168.54494427808675</c:v>
                </c:pt>
                <c:pt idx="301">
                  <c:v>168.54494427808675</c:v>
                </c:pt>
                <c:pt idx="302">
                  <c:v>168.54494427808675</c:v>
                </c:pt>
                <c:pt idx="303">
                  <c:v>168.54494427808675</c:v>
                </c:pt>
                <c:pt idx="304">
                  <c:v>168.54494427808675</c:v>
                </c:pt>
                <c:pt idx="305">
                  <c:v>168.54494427808675</c:v>
                </c:pt>
                <c:pt idx="306">
                  <c:v>168.54494427808675</c:v>
                </c:pt>
                <c:pt idx="307">
                  <c:v>168.54494427808675</c:v>
                </c:pt>
                <c:pt idx="308">
                  <c:v>168.54494427808675</c:v>
                </c:pt>
                <c:pt idx="309">
                  <c:v>168.54494427808675</c:v>
                </c:pt>
                <c:pt idx="310">
                  <c:v>168.54494427808675</c:v>
                </c:pt>
                <c:pt idx="311">
                  <c:v>168.54494427808675</c:v>
                </c:pt>
                <c:pt idx="312">
                  <c:v>168.54494427808675</c:v>
                </c:pt>
                <c:pt idx="313">
                  <c:v>168.54494427808675</c:v>
                </c:pt>
                <c:pt idx="314">
                  <c:v>168.54494427808675</c:v>
                </c:pt>
                <c:pt idx="315">
                  <c:v>168.54494427808675</c:v>
                </c:pt>
                <c:pt idx="316">
                  <c:v>168.54494427808675</c:v>
                </c:pt>
                <c:pt idx="317">
                  <c:v>168.54494427808675</c:v>
                </c:pt>
                <c:pt idx="318">
                  <c:v>168.54494427808675</c:v>
                </c:pt>
                <c:pt idx="319">
                  <c:v>168.54494427808675</c:v>
                </c:pt>
                <c:pt idx="320">
                  <c:v>168.54494427808675</c:v>
                </c:pt>
                <c:pt idx="321">
                  <c:v>168.54494427808675</c:v>
                </c:pt>
                <c:pt idx="322">
                  <c:v>168.54494427808675</c:v>
                </c:pt>
                <c:pt idx="323">
                  <c:v>168.54494427808675</c:v>
                </c:pt>
                <c:pt idx="324">
                  <c:v>168.54494427808675</c:v>
                </c:pt>
                <c:pt idx="325">
                  <c:v>168.54494427808675</c:v>
                </c:pt>
                <c:pt idx="326">
                  <c:v>168.54494427808675</c:v>
                </c:pt>
                <c:pt idx="327">
                  <c:v>168.54494427808675</c:v>
                </c:pt>
                <c:pt idx="328">
                  <c:v>168.54494427808675</c:v>
                </c:pt>
                <c:pt idx="329">
                  <c:v>168.54494427808675</c:v>
                </c:pt>
                <c:pt idx="330">
                  <c:v>168.54494427808675</c:v>
                </c:pt>
                <c:pt idx="331">
                  <c:v>168.54494427808675</c:v>
                </c:pt>
                <c:pt idx="332">
                  <c:v>168.54494427808675</c:v>
                </c:pt>
                <c:pt idx="333">
                  <c:v>168.54494427808675</c:v>
                </c:pt>
                <c:pt idx="334">
                  <c:v>168.54494427808675</c:v>
                </c:pt>
                <c:pt idx="335">
                  <c:v>168.54494427808675</c:v>
                </c:pt>
                <c:pt idx="336">
                  <c:v>168.54494427808675</c:v>
                </c:pt>
                <c:pt idx="337">
                  <c:v>168.54494427808675</c:v>
                </c:pt>
                <c:pt idx="338">
                  <c:v>168.54494427808675</c:v>
                </c:pt>
                <c:pt idx="339">
                  <c:v>168.54494427808675</c:v>
                </c:pt>
                <c:pt idx="340">
                  <c:v>168.54494427808675</c:v>
                </c:pt>
                <c:pt idx="341">
                  <c:v>168.54494427808675</c:v>
                </c:pt>
                <c:pt idx="342">
                  <c:v>168.54494427808675</c:v>
                </c:pt>
                <c:pt idx="343">
                  <c:v>168.54494427808675</c:v>
                </c:pt>
                <c:pt idx="344">
                  <c:v>168.54494427808675</c:v>
                </c:pt>
                <c:pt idx="345">
                  <c:v>168.54494427808675</c:v>
                </c:pt>
                <c:pt idx="346">
                  <c:v>168.54494427808675</c:v>
                </c:pt>
                <c:pt idx="347">
                  <c:v>168.54494427808675</c:v>
                </c:pt>
                <c:pt idx="348">
                  <c:v>168.54494427808675</c:v>
                </c:pt>
                <c:pt idx="349">
                  <c:v>168.54494427808675</c:v>
                </c:pt>
                <c:pt idx="350">
                  <c:v>168.54494427808675</c:v>
                </c:pt>
                <c:pt idx="351">
                  <c:v>168.54494427808675</c:v>
                </c:pt>
                <c:pt idx="352">
                  <c:v>168.54494427808675</c:v>
                </c:pt>
                <c:pt idx="353">
                  <c:v>168.54494427808675</c:v>
                </c:pt>
                <c:pt idx="354">
                  <c:v>168.54494427808675</c:v>
                </c:pt>
                <c:pt idx="355">
                  <c:v>168.54494427808675</c:v>
                </c:pt>
                <c:pt idx="356">
                  <c:v>168.54494427808675</c:v>
                </c:pt>
                <c:pt idx="357">
                  <c:v>168.54494427808675</c:v>
                </c:pt>
                <c:pt idx="358">
                  <c:v>168.54494427808675</c:v>
                </c:pt>
                <c:pt idx="359">
                  <c:v>168.54494427808675</c:v>
                </c:pt>
                <c:pt idx="360">
                  <c:v>168.54494427808675</c:v>
                </c:pt>
                <c:pt idx="361">
                  <c:v>168.54494427808675</c:v>
                </c:pt>
                <c:pt idx="362">
                  <c:v>168.54494427808675</c:v>
                </c:pt>
                <c:pt idx="363">
                  <c:v>168.54494427808675</c:v>
                </c:pt>
                <c:pt idx="364">
                  <c:v>168.54494427808675</c:v>
                </c:pt>
                <c:pt idx="365">
                  <c:v>168.54494427808675</c:v>
                </c:pt>
                <c:pt idx="366">
                  <c:v>168.54494427808675</c:v>
                </c:pt>
                <c:pt idx="367">
                  <c:v>168.54494427808675</c:v>
                </c:pt>
                <c:pt idx="368">
                  <c:v>168.54494427808675</c:v>
                </c:pt>
                <c:pt idx="369">
                  <c:v>168.54494427808675</c:v>
                </c:pt>
                <c:pt idx="370">
                  <c:v>168.54494427808675</c:v>
                </c:pt>
                <c:pt idx="371">
                  <c:v>168.54494427808675</c:v>
                </c:pt>
                <c:pt idx="372">
                  <c:v>168.54494427808675</c:v>
                </c:pt>
                <c:pt idx="373">
                  <c:v>168.54494427808675</c:v>
                </c:pt>
                <c:pt idx="374">
                  <c:v>168.54494427808675</c:v>
                </c:pt>
                <c:pt idx="375">
                  <c:v>168.54494427808675</c:v>
                </c:pt>
                <c:pt idx="376">
                  <c:v>168.54494427808675</c:v>
                </c:pt>
                <c:pt idx="377">
                  <c:v>168.54494427808675</c:v>
                </c:pt>
                <c:pt idx="378">
                  <c:v>168.54494427808675</c:v>
                </c:pt>
                <c:pt idx="379">
                  <c:v>168.54494427808675</c:v>
                </c:pt>
                <c:pt idx="380">
                  <c:v>168.54494427808675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96-478A-A4B5-1BCD8C7553FE}"/>
            </c:ext>
          </c:extLst>
        </c:ser>
        <c:ser>
          <c:idx val="4"/>
          <c:order val="4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Diagrammdaten!$G$8:$G$388</c:f>
              <c:numCache>
                <c:formatCode>General</c:formatCode>
                <c:ptCount val="381"/>
                <c:pt idx="0">
                  <c:v>249.10758432028197</c:v>
                </c:pt>
                <c:pt idx="1">
                  <c:v>249.0697020259696</c:v>
                </c:pt>
                <c:pt idx="2">
                  <c:v>249.03041162618976</c:v>
                </c:pt>
                <c:pt idx="3">
                  <c:v>248.98966806549112</c:v>
                </c:pt>
                <c:pt idx="4">
                  <c:v>248.94742506021737</c:v>
                </c:pt>
                <c:pt idx="5">
                  <c:v>248.90363506914466</c:v>
                </c:pt>
                <c:pt idx="6">
                  <c:v>248.8582492633968</c:v>
                </c:pt>
                <c:pt idx="7">
                  <c:v>248.81121749561368</c:v>
                </c:pt>
                <c:pt idx="8">
                  <c:v>248.76248826834575</c:v>
                </c:pt>
                <c:pt idx="9">
                  <c:v>248.71200870164714</c:v>
                </c:pt>
                <c:pt idx="10">
                  <c:v>248.6597244998367</c:v>
                </c:pt>
                <c:pt idx="11">
                  <c:v>248.60557991739603</c:v>
                </c:pt>
                <c:pt idx="12">
                  <c:v>248.5495177239693</c:v>
                </c:pt>
                <c:pt idx="13">
                  <c:v>248.49147916842955</c:v>
                </c:pt>
                <c:pt idx="14">
                  <c:v>248.43140394197135</c:v>
                </c:pt>
                <c:pt idx="15">
                  <c:v>248.36923014018808</c:v>
                </c:pt>
                <c:pt idx="16">
                  <c:v>248.30489422408749</c:v>
                </c:pt>
                <c:pt idx="17">
                  <c:v>248.23833097999642</c:v>
                </c:pt>
                <c:pt idx="18">
                  <c:v>248.16947347829941</c:v>
                </c:pt>
                <c:pt idx="19">
                  <c:v>248.09825303095215</c:v>
                </c:pt>
                <c:pt idx="20">
                  <c:v>248.02459914770341</c:v>
                </c:pt>
                <c:pt idx="21">
                  <c:v>247.94843949095201</c:v>
                </c:pt>
                <c:pt idx="22">
                  <c:v>247.86969982915753</c:v>
                </c:pt>
                <c:pt idx="23">
                  <c:v>247.78830398871139</c:v>
                </c:pt>
                <c:pt idx="24">
                  <c:v>247.70417380416475</c:v>
                </c:pt>
                <c:pt idx="25">
                  <c:v>247.6172290666922</c:v>
                </c:pt>
                <c:pt idx="26">
                  <c:v>247.52738747065339</c:v>
                </c:pt>
                <c:pt idx="27">
                  <c:v>247.4345645580903</c:v>
                </c:pt>
                <c:pt idx="28">
                  <c:v>247.3386736609695</c:v>
                </c:pt>
                <c:pt idx="29">
                  <c:v>247.23962584094059</c:v>
                </c:pt>
                <c:pt idx="30">
                  <c:v>247.13732982633502</c:v>
                </c:pt>
                <c:pt idx="31">
                  <c:v>247.03169194606474</c:v>
                </c:pt>
                <c:pt idx="32">
                  <c:v>246.92261605999738</c:v>
                </c:pt>
                <c:pt idx="33">
                  <c:v>246.81000348526769</c:v>
                </c:pt>
                <c:pt idx="34">
                  <c:v>246.69375291782731</c:v>
                </c:pt>
                <c:pt idx="35">
                  <c:v>246.57376034830631</c:v>
                </c:pt>
                <c:pt idx="36">
                  <c:v>246.44991897092928</c:v>
                </c:pt>
                <c:pt idx="37">
                  <c:v>246.32211908373046</c:v>
                </c:pt>
                <c:pt idx="38">
                  <c:v>246.19024797753519</c:v>
                </c:pt>
                <c:pt idx="39">
                  <c:v>246.05418980991723</c:v>
                </c:pt>
                <c:pt idx="40">
                  <c:v>245.91382545819579</c:v>
                </c:pt>
                <c:pt idx="41">
                  <c:v>245.76903234166346</c:v>
                </c:pt>
                <c:pt idx="42">
                  <c:v>245.61968419570067</c:v>
                </c:pt>
                <c:pt idx="43">
                  <c:v>245.46565076430832</c:v>
                </c:pt>
                <c:pt idx="44">
                  <c:v>245.30679733832375</c:v>
                </c:pt>
                <c:pt idx="45">
                  <c:v>245.14298395103927</c:v>
                </c:pt>
                <c:pt idx="46">
                  <c:v>244.9740635750301</c:v>
                </c:pt>
                <c:pt idx="47">
                  <c:v>242.10720440871191</c:v>
                </c:pt>
                <c:pt idx="48">
                  <c:v>218.65464354090309</c:v>
                </c:pt>
                <c:pt idx="49">
                  <c:v>195.08860930988234</c:v>
                </c:pt>
                <c:pt idx="50">
                  <c:v>171.40910171565417</c:v>
                </c:pt>
                <c:pt idx="51">
                  <c:v>147.61612075821634</c:v>
                </c:pt>
                <c:pt idx="52">
                  <c:v>123.70966643756657</c:v>
                </c:pt>
                <c:pt idx="53">
                  <c:v>99.689738753709378</c:v>
                </c:pt>
                <c:pt idx="54">
                  <c:v>75.556337706640221</c:v>
                </c:pt>
                <c:pt idx="55">
                  <c:v>51.309463296363703</c:v>
                </c:pt>
                <c:pt idx="56">
                  <c:v>26.94911552287752</c:v>
                </c:pt>
                <c:pt idx="57">
                  <c:v>2.4752943861793142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96-478A-A4B5-1BCD8C755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Diagrammdaten!$L$8:$L$77</c:f>
              <c:numCache>
                <c:formatCode>General</c:formatCode>
                <c:ptCount val="70"/>
                <c:pt idx="0">
                  <c:v>47.884000000000071</c:v>
                </c:pt>
                <c:pt idx="1">
                  <c:v>53.996053427743234</c:v>
                </c:pt>
                <c:pt idx="2">
                  <c:v>60.108106855486398</c:v>
                </c:pt>
                <c:pt idx="3">
                  <c:v>66.220160283229561</c:v>
                </c:pt>
                <c:pt idx="4">
                  <c:v>72.332213710972724</c:v>
                </c:pt>
                <c:pt idx="5">
                  <c:v>78.444267138715887</c:v>
                </c:pt>
                <c:pt idx="6">
                  <c:v>84.55632056645905</c:v>
                </c:pt>
                <c:pt idx="7">
                  <c:v>90.668373994202227</c:v>
                </c:pt>
                <c:pt idx="8">
                  <c:v>96.780427421945376</c:v>
                </c:pt>
                <c:pt idx="9">
                  <c:v>102.89248084968855</c:v>
                </c:pt>
                <c:pt idx="10">
                  <c:v>109.0045342774317</c:v>
                </c:pt>
                <c:pt idx="11">
                  <c:v>115.11658770517488</c:v>
                </c:pt>
                <c:pt idx="12">
                  <c:v>121.22864113291804</c:v>
                </c:pt>
                <c:pt idx="13">
                  <c:v>127.34069456066121</c:v>
                </c:pt>
                <c:pt idx="14">
                  <c:v>133.45274798840438</c:v>
                </c:pt>
                <c:pt idx="15">
                  <c:v>139.56480141614753</c:v>
                </c:pt>
                <c:pt idx="16">
                  <c:v>145.67685484389068</c:v>
                </c:pt>
                <c:pt idx="17">
                  <c:v>151.78890827163386</c:v>
                </c:pt>
                <c:pt idx="18">
                  <c:v>157.90096169937704</c:v>
                </c:pt>
                <c:pt idx="19">
                  <c:v>164.01301512712018</c:v>
                </c:pt>
                <c:pt idx="20">
                  <c:v>170.12506855486333</c:v>
                </c:pt>
                <c:pt idx="21">
                  <c:v>176.23712198260651</c:v>
                </c:pt>
                <c:pt idx="22">
                  <c:v>182.34917541034969</c:v>
                </c:pt>
                <c:pt idx="23">
                  <c:v>188.46122883809284</c:v>
                </c:pt>
                <c:pt idx="24">
                  <c:v>194.57328226583601</c:v>
                </c:pt>
                <c:pt idx="25">
                  <c:v>200.68533569357916</c:v>
                </c:pt>
                <c:pt idx="26">
                  <c:v>206.79738912132234</c:v>
                </c:pt>
                <c:pt idx="27">
                  <c:v>212.90944254906549</c:v>
                </c:pt>
                <c:pt idx="28">
                  <c:v>213.11530334534405</c:v>
                </c:pt>
                <c:pt idx="29">
                  <c:v>215.09671087318316</c:v>
                </c:pt>
                <c:pt idx="30">
                  <c:v>216.46977996825069</c:v>
                </c:pt>
                <c:pt idx="31">
                  <c:v>217.14708372948724</c:v>
                </c:pt>
                <c:pt idx="32">
                  <c:v>217.18664870023304</c:v>
                </c:pt>
                <c:pt idx="33">
                  <c:v>217.11976458358242</c:v>
                </c:pt>
                <c:pt idx="34">
                  <c:v>216.69912051454844</c:v>
                </c:pt>
                <c:pt idx="35">
                  <c:v>216.53333128843872</c:v>
                </c:pt>
                <c:pt idx="36">
                  <c:v>216.09101257175962</c:v>
                </c:pt>
                <c:pt idx="37">
                  <c:v>215.89566713390104</c:v>
                </c:pt>
                <c:pt idx="38">
                  <c:v>215.42623598676914</c:v>
                </c:pt>
                <c:pt idx="39">
                  <c:v>214.8293647044818</c:v>
                </c:pt>
                <c:pt idx="40">
                  <c:v>213.22434190975093</c:v>
                </c:pt>
                <c:pt idx="41">
                  <c:v>212.90944254906549</c:v>
                </c:pt>
                <c:pt idx="42">
                  <c:v>207.01567674374172</c:v>
                </c:pt>
                <c:pt idx="43">
                  <c:v>201.12191093841795</c:v>
                </c:pt>
                <c:pt idx="44">
                  <c:v>195.22814513309419</c:v>
                </c:pt>
                <c:pt idx="45">
                  <c:v>189.33437932777042</c:v>
                </c:pt>
                <c:pt idx="46">
                  <c:v>183.44061352244665</c:v>
                </c:pt>
                <c:pt idx="47">
                  <c:v>177.54684771712289</c:v>
                </c:pt>
                <c:pt idx="48">
                  <c:v>171.65308191179912</c:v>
                </c:pt>
                <c:pt idx="49">
                  <c:v>165.75931610647535</c:v>
                </c:pt>
                <c:pt idx="50">
                  <c:v>159.86555030115159</c:v>
                </c:pt>
                <c:pt idx="51">
                  <c:v>153.97178449582782</c:v>
                </c:pt>
                <c:pt idx="52">
                  <c:v>148.07801869050405</c:v>
                </c:pt>
                <c:pt idx="53">
                  <c:v>142.18425288518031</c:v>
                </c:pt>
                <c:pt idx="54">
                  <c:v>136.29048707985655</c:v>
                </c:pt>
                <c:pt idx="55">
                  <c:v>130.39672127453278</c:v>
                </c:pt>
                <c:pt idx="56">
                  <c:v>124.50295546920901</c:v>
                </c:pt>
                <c:pt idx="57">
                  <c:v>118.60918966388525</c:v>
                </c:pt>
                <c:pt idx="58">
                  <c:v>112.71542385856148</c:v>
                </c:pt>
                <c:pt idx="59">
                  <c:v>106.82165805323771</c:v>
                </c:pt>
                <c:pt idx="60">
                  <c:v>100.92789224791395</c:v>
                </c:pt>
                <c:pt idx="61">
                  <c:v>95.034126442590178</c:v>
                </c:pt>
                <c:pt idx="62">
                  <c:v>89.140360637266426</c:v>
                </c:pt>
                <c:pt idx="63">
                  <c:v>83.246594831942645</c:v>
                </c:pt>
                <c:pt idx="64">
                  <c:v>77.352829026618878</c:v>
                </c:pt>
                <c:pt idx="65">
                  <c:v>71.459063221295139</c:v>
                </c:pt>
                <c:pt idx="66">
                  <c:v>65.565297415971372</c:v>
                </c:pt>
                <c:pt idx="67">
                  <c:v>59.671531610647605</c:v>
                </c:pt>
                <c:pt idx="68">
                  <c:v>53.777765805323838</c:v>
                </c:pt>
                <c:pt idx="69">
                  <c:v>47.884000000000071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5.4780051259929632</c:v>
                </c:pt>
                <c:pt idx="1">
                  <c:v>6.2465283664309963</c:v>
                </c:pt>
                <c:pt idx="2">
                  <c:v>7.094026716138905</c:v>
                </c:pt>
                <c:pt idx="3">
                  <c:v>8.0255579412624787</c:v>
                </c:pt>
                <c:pt idx="4">
                  <c:v>9.0463049806261271</c:v>
                </c:pt>
                <c:pt idx="5">
                  <c:v>10.161580260227899</c:v>
                </c:pt>
                <c:pt idx="6">
                  <c:v>11.376832494554185</c:v>
                </c:pt>
                <c:pt idx="7">
                  <c:v>12.697656236143098</c:v>
                </c:pt>
                <c:pt idx="8">
                  <c:v>14.129804656079587</c:v>
                </c:pt>
                <c:pt idx="9">
                  <c:v>15.67923451447156</c:v>
                </c:pt>
                <c:pt idx="10">
                  <c:v>17.352406968327372</c:v>
                </c:pt>
                <c:pt idx="11">
                  <c:v>19.155353708527862</c:v>
                </c:pt>
                <c:pt idx="12">
                  <c:v>21.094699875721581</c:v>
                </c:pt>
                <c:pt idx="13">
                  <c:v>23.177390130610402</c:v>
                </c:pt>
                <c:pt idx="14">
                  <c:v>25.410755922853671</c:v>
                </c:pt>
                <c:pt idx="15">
                  <c:v>27.802604003304531</c:v>
                </c:pt>
                <c:pt idx="16">
                  <c:v>30.363205999893026</c:v>
                </c:pt>
                <c:pt idx="17">
                  <c:v>33.096101826227539</c:v>
                </c:pt>
                <c:pt idx="18">
                  <c:v>36.017129110207115</c:v>
                </c:pt>
                <c:pt idx="19">
                  <c:v>39.136313339837116</c:v>
                </c:pt>
                <c:pt idx="20">
                  <c:v>42.466439159222979</c:v>
                </c:pt>
                <c:pt idx="21">
                  <c:v>46.023360530623989</c:v>
                </c:pt>
                <c:pt idx="22">
                  <c:v>49.826593298424697</c:v>
                </c:pt>
                <c:pt idx="23">
                  <c:v>53.902917038676897</c:v>
                </c:pt>
                <c:pt idx="24">
                  <c:v>58.288588500852839</c:v>
                </c:pt>
                <c:pt idx="25">
                  <c:v>63.115296932976065</c:v>
                </c:pt>
                <c:pt idx="26">
                  <c:v>68.296439810562831</c:v>
                </c:pt>
                <c:pt idx="27">
                  <c:v>74.339555460510013</c:v>
                </c:pt>
                <c:pt idx="28">
                  <c:v>74.556723930467271</c:v>
                </c:pt>
                <c:pt idx="29">
                  <c:v>76.933953502157294</c:v>
                </c:pt>
                <c:pt idx="30">
                  <c:v>78.941156502790562</c:v>
                </c:pt>
                <c:pt idx="31">
                  <c:v>80.494760566134005</c:v>
                </c:pt>
                <c:pt idx="32">
                  <c:v>80.896473762668705</c:v>
                </c:pt>
                <c:pt idx="33">
                  <c:v>81.224767037052715</c:v>
                </c:pt>
                <c:pt idx="34">
                  <c:v>81.685344406773822</c:v>
                </c:pt>
                <c:pt idx="35">
                  <c:v>81.838319578037911</c:v>
                </c:pt>
                <c:pt idx="36">
                  <c:v>82.075301596995402</c:v>
                </c:pt>
                <c:pt idx="37">
                  <c:v>82.127440129186695</c:v>
                </c:pt>
                <c:pt idx="38">
                  <c:v>82.17759431791859</c:v>
                </c:pt>
                <c:pt idx="39">
                  <c:v>82.142568673071494</c:v>
                </c:pt>
                <c:pt idx="40">
                  <c:v>81.790286378469247</c:v>
                </c:pt>
                <c:pt idx="41">
                  <c:v>81.686326049855197</c:v>
                </c:pt>
                <c:pt idx="42">
                  <c:v>79.403896306172044</c:v>
                </c:pt>
                <c:pt idx="43">
                  <c:v>76.706643047108898</c:v>
                </c:pt>
                <c:pt idx="44">
                  <c:v>73.917273160672508</c:v>
                </c:pt>
                <c:pt idx="45">
                  <c:v>71.162241328121723</c:v>
                </c:pt>
                <c:pt idx="46">
                  <c:v>68.499105449613097</c:v>
                </c:pt>
                <c:pt idx="47">
                  <c:v>65.950868682966799</c:v>
                </c:pt>
                <c:pt idx="48">
                  <c:v>63.532027644965225</c:v>
                </c:pt>
                <c:pt idx="49">
                  <c:v>61.252710857907914</c:v>
                </c:pt>
                <c:pt idx="50">
                  <c:v>59.119111530194637</c:v>
                </c:pt>
                <c:pt idx="51">
                  <c:v>57.135698205735828</c:v>
                </c:pt>
                <c:pt idx="52">
                  <c:v>55.304834874033894</c:v>
                </c:pt>
                <c:pt idx="53">
                  <c:v>53.628494465250789</c:v>
                </c:pt>
                <c:pt idx="54">
                  <c:v>52.108566858257042</c:v>
                </c:pt>
                <c:pt idx="55">
                  <c:v>50.747017816934239</c:v>
                </c:pt>
                <c:pt idx="56">
                  <c:v>49.546046180813249</c:v>
                </c:pt>
                <c:pt idx="57">
                  <c:v>48.508227960961797</c:v>
                </c:pt>
                <c:pt idx="58">
                  <c:v>47.636678138918917</c:v>
                </c:pt>
                <c:pt idx="59">
                  <c:v>46.935238191457664</c:v>
                </c:pt>
                <c:pt idx="60">
                  <c:v>46.40892779619076</c:v>
                </c:pt>
                <c:pt idx="61">
                  <c:v>46.063863329321116</c:v>
                </c:pt>
                <c:pt idx="62">
                  <c:v>45.907235940758852</c:v>
                </c:pt>
                <c:pt idx="63">
                  <c:v>45.948412119295952</c:v>
                </c:pt>
                <c:pt idx="64">
                  <c:v>46.199065481880361</c:v>
                </c:pt>
                <c:pt idx="65">
                  <c:v>46.673734775122661</c:v>
                </c:pt>
                <c:pt idx="66">
                  <c:v>47.390529862815043</c:v>
                </c:pt>
                <c:pt idx="67">
                  <c:v>48.372032320327683</c:v>
                </c:pt>
                <c:pt idx="68">
                  <c:v>49.646459563221228</c:v>
                </c:pt>
                <c:pt idx="69">
                  <c:v>51.249178858911719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96-478A-A4B5-1BCD8C7553FE}"/>
            </c:ext>
          </c:extLst>
        </c:ser>
        <c:ser>
          <c:idx val="6"/>
          <c:order val="6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Diagrammdaten!$L$256:$L$296</c:f>
              <c:numCache>
                <c:formatCode>General</c:formatCode>
                <c:ptCount val="41"/>
                <c:pt idx="0">
                  <c:v>47.884000000000071</c:v>
                </c:pt>
                <c:pt idx="1">
                  <c:v>52.260760000149105</c:v>
                </c:pt>
                <c:pt idx="2">
                  <c:v>56.637520000298139</c:v>
                </c:pt>
                <c:pt idx="3">
                  <c:v>61.014280000447172</c:v>
                </c:pt>
                <c:pt idx="4">
                  <c:v>65.391040000596206</c:v>
                </c:pt>
                <c:pt idx="5">
                  <c:v>69.76780000074524</c:v>
                </c:pt>
                <c:pt idx="6">
                  <c:v>74.144560000894273</c:v>
                </c:pt>
                <c:pt idx="7">
                  <c:v>78.521320001043307</c:v>
                </c:pt>
                <c:pt idx="8">
                  <c:v>82.898080001192341</c:v>
                </c:pt>
                <c:pt idx="9">
                  <c:v>87.274840001341374</c:v>
                </c:pt>
                <c:pt idx="10">
                  <c:v>91.651600001490408</c:v>
                </c:pt>
                <c:pt idx="11">
                  <c:v>96.028360001639442</c:v>
                </c:pt>
                <c:pt idx="12">
                  <c:v>100.40512000178848</c:v>
                </c:pt>
                <c:pt idx="13">
                  <c:v>104.78188000193751</c:v>
                </c:pt>
                <c:pt idx="14">
                  <c:v>109.1586400020866</c:v>
                </c:pt>
                <c:pt idx="15">
                  <c:v>113.53540000223563</c:v>
                </c:pt>
                <c:pt idx="16">
                  <c:v>117.91216000238467</c:v>
                </c:pt>
                <c:pt idx="17">
                  <c:v>122.2889200025337</c:v>
                </c:pt>
                <c:pt idx="18">
                  <c:v>126.66568000268273</c:v>
                </c:pt>
                <c:pt idx="19">
                  <c:v>131.04244000283177</c:v>
                </c:pt>
                <c:pt idx="20">
                  <c:v>135.4192000029808</c:v>
                </c:pt>
                <c:pt idx="21">
                  <c:v>139.79596000312984</c:v>
                </c:pt>
                <c:pt idx="22">
                  <c:v>144.17272000327887</c:v>
                </c:pt>
                <c:pt idx="23">
                  <c:v>148.5494800034279</c:v>
                </c:pt>
                <c:pt idx="24">
                  <c:v>152.92624000357694</c:v>
                </c:pt>
                <c:pt idx="25">
                  <c:v>157.30300000372597</c:v>
                </c:pt>
                <c:pt idx="26">
                  <c:v>161.679760003875</c:v>
                </c:pt>
                <c:pt idx="27">
                  <c:v>166.05652000402404</c:v>
                </c:pt>
                <c:pt idx="28">
                  <c:v>170.43328000417307</c:v>
                </c:pt>
                <c:pt idx="29">
                  <c:v>174.8100400043221</c:v>
                </c:pt>
                <c:pt idx="30">
                  <c:v>179.18680000447114</c:v>
                </c:pt>
                <c:pt idx="31">
                  <c:v>183.56356000462017</c:v>
                </c:pt>
                <c:pt idx="32">
                  <c:v>187.94032000476921</c:v>
                </c:pt>
                <c:pt idx="33">
                  <c:v>192.31708000491824</c:v>
                </c:pt>
                <c:pt idx="34">
                  <c:v>196.69384000506727</c:v>
                </c:pt>
                <c:pt idx="35">
                  <c:v>201.07060000521631</c:v>
                </c:pt>
                <c:pt idx="36">
                  <c:v>205.44736000536534</c:v>
                </c:pt>
                <c:pt idx="37">
                  <c:v>209.82412000551437</c:v>
                </c:pt>
                <c:pt idx="38">
                  <c:v>214.20088000566341</c:v>
                </c:pt>
                <c:pt idx="39">
                  <c:v>218.57764000581244</c:v>
                </c:pt>
                <c:pt idx="40">
                  <c:v>222.95440000596147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96-478A-A4B5-1BCD8C7553FE}"/>
            </c:ext>
          </c:extLst>
        </c:ser>
        <c:ser>
          <c:idx val="7"/>
          <c:order val="7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Diagrammdaten!$L$298:$L$327</c:f>
              <c:numCache>
                <c:formatCode>General</c:formatCode>
                <c:ptCount val="30"/>
                <c:pt idx="0">
                  <c:v>47.884000000000071</c:v>
                </c:pt>
                <c:pt idx="1">
                  <c:v>53.705211052225877</c:v>
                </c:pt>
                <c:pt idx="2">
                  <c:v>59.526422104451683</c:v>
                </c:pt>
                <c:pt idx="3">
                  <c:v>65.347633156677489</c:v>
                </c:pt>
                <c:pt idx="4">
                  <c:v>71.168844208903295</c:v>
                </c:pt>
                <c:pt idx="5">
                  <c:v>76.9900552611291</c:v>
                </c:pt>
                <c:pt idx="6">
                  <c:v>82.811266313354906</c:v>
                </c:pt>
                <c:pt idx="7">
                  <c:v>88.632477365580712</c:v>
                </c:pt>
                <c:pt idx="8">
                  <c:v>94.453688417806518</c:v>
                </c:pt>
                <c:pt idx="9">
                  <c:v>100.27489947003232</c:v>
                </c:pt>
                <c:pt idx="10">
                  <c:v>106.09611052225813</c:v>
                </c:pt>
                <c:pt idx="11">
                  <c:v>111.91732157448394</c:v>
                </c:pt>
                <c:pt idx="12">
                  <c:v>117.73853262670974</c:v>
                </c:pt>
                <c:pt idx="13">
                  <c:v>123.55974367893555</c:v>
                </c:pt>
                <c:pt idx="14">
                  <c:v>129.38095473116135</c:v>
                </c:pt>
                <c:pt idx="15">
                  <c:v>135.20216578338716</c:v>
                </c:pt>
                <c:pt idx="16">
                  <c:v>141.02337683561296</c:v>
                </c:pt>
                <c:pt idx="17">
                  <c:v>146.84458788783877</c:v>
                </c:pt>
                <c:pt idx="18">
                  <c:v>152.66579894006458</c:v>
                </c:pt>
                <c:pt idx="19">
                  <c:v>158.48700999229038</c:v>
                </c:pt>
                <c:pt idx="20">
                  <c:v>164.30822104451619</c:v>
                </c:pt>
                <c:pt idx="21">
                  <c:v>170.12943209674199</c:v>
                </c:pt>
                <c:pt idx="22">
                  <c:v>175.9506431489678</c:v>
                </c:pt>
                <c:pt idx="23">
                  <c:v>181.77185420119361</c:v>
                </c:pt>
                <c:pt idx="24">
                  <c:v>187.59306525341941</c:v>
                </c:pt>
                <c:pt idx="25">
                  <c:v>193.41427630564522</c:v>
                </c:pt>
                <c:pt idx="26">
                  <c:v>199.23548735787102</c:v>
                </c:pt>
                <c:pt idx="27">
                  <c:v>205.05669841009683</c:v>
                </c:pt>
                <c:pt idx="28">
                  <c:v>210.87790946232263</c:v>
                </c:pt>
                <c:pt idx="29">
                  <c:v>216.69912051454844</c:v>
                </c:pt>
              </c:numCache>
            </c:numRef>
          </c:xVal>
          <c:yVal>
            <c:numRef>
              <c:f>Diagrammdaten!$K$298:$K$327</c:f>
              <c:numCache>
                <c:formatCode>General</c:formatCode>
                <c:ptCount val="30"/>
                <c:pt idx="0">
                  <c:v>54.249178858911719</c:v>
                </c:pt>
                <c:pt idx="1">
                  <c:v>52.664363407576069</c:v>
                </c:pt>
                <c:pt idx="2">
                  <c:v>51.40003231788009</c:v>
                </c:pt>
                <c:pt idx="3">
                  <c:v>50.422039629483656</c:v>
                </c:pt>
                <c:pt idx="4">
                  <c:v>49.703056462019831</c:v>
                </c:pt>
                <c:pt idx="5">
                  <c:v>49.221145655561216</c:v>
                </c:pt>
                <c:pt idx="6">
                  <c:v>48.959101170097277</c:v>
                </c:pt>
                <c:pt idx="7">
                  <c:v>48.902828994722412</c:v>
                </c:pt>
                <c:pt idx="8">
                  <c:v>49.040237729303101</c:v>
                </c:pt>
                <c:pt idx="9">
                  <c:v>49.362146363389712</c:v>
                </c:pt>
                <c:pt idx="10">
                  <c:v>49.861173471192402</c:v>
                </c:pt>
                <c:pt idx="11">
                  <c:v>50.531397928398562</c:v>
                </c:pt>
                <c:pt idx="12">
                  <c:v>51.368765341961051</c:v>
                </c:pt>
                <c:pt idx="13">
                  <c:v>52.368889762331087</c:v>
                </c:pt>
                <c:pt idx="14">
                  <c:v>53.528518650089161</c:v>
                </c:pt>
                <c:pt idx="15">
                  <c:v>54.845101014529511</c:v>
                </c:pt>
                <c:pt idx="16">
                  <c:v>56.316468002074117</c:v>
                </c:pt>
                <c:pt idx="17">
                  <c:v>57.940872900767133</c:v>
                </c:pt>
                <c:pt idx="18">
                  <c:v>59.716932633410508</c:v>
                </c:pt>
                <c:pt idx="19">
                  <c:v>61.642103419846549</c:v>
                </c:pt>
                <c:pt idx="20">
                  <c:v>63.71401451613437</c:v>
                </c:pt>
                <c:pt idx="21">
                  <c:v>65.929211829067867</c:v>
                </c:pt>
                <c:pt idx="22">
                  <c:v>68.282233623562746</c:v>
                </c:pt>
                <c:pt idx="23">
                  <c:v>70.764954852547746</c:v>
                </c:pt>
                <c:pt idx="24">
                  <c:v>73.364513310303693</c:v>
                </c:pt>
                <c:pt idx="25">
                  <c:v>76.061587611447692</c:v>
                </c:pt>
                <c:pt idx="26">
                  <c:v>78.81922862244744</c:v>
                </c:pt>
                <c:pt idx="27">
                  <c:v>81.507379398410805</c:v>
                </c:pt>
                <c:pt idx="28">
                  <c:v>84.006386183492225</c:v>
                </c:pt>
                <c:pt idx="29">
                  <c:v>84.685344406773822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96-478A-A4B5-1BCD8C7553FE}"/>
            </c:ext>
          </c:extLst>
        </c:ser>
        <c:ser>
          <c:idx val="8"/>
          <c:order val="8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Diagrammdaten!$L$329:$L$358</c:f>
              <c:numCache>
                <c:formatCode>General</c:formatCode>
                <c:ptCount val="30"/>
                <c:pt idx="0">
                  <c:v>47.884000000000071</c:v>
                </c:pt>
                <c:pt idx="1">
                  <c:v>53.722022368973626</c:v>
                </c:pt>
                <c:pt idx="2">
                  <c:v>59.56004473794718</c:v>
                </c:pt>
                <c:pt idx="3">
                  <c:v>65.39806710692072</c:v>
                </c:pt>
                <c:pt idx="4">
                  <c:v>71.236089475894275</c:v>
                </c:pt>
                <c:pt idx="5">
                  <c:v>77.074111844867829</c:v>
                </c:pt>
                <c:pt idx="6">
                  <c:v>82.91213421384137</c:v>
                </c:pt>
                <c:pt idx="7">
                  <c:v>88.750156582814924</c:v>
                </c:pt>
                <c:pt idx="8">
                  <c:v>94.588178951788478</c:v>
                </c:pt>
                <c:pt idx="9">
                  <c:v>100.42620132076203</c:v>
                </c:pt>
                <c:pt idx="10">
                  <c:v>106.26422368973559</c:v>
                </c:pt>
                <c:pt idx="11">
                  <c:v>112.10224605870913</c:v>
                </c:pt>
                <c:pt idx="12">
                  <c:v>117.94026842768268</c:v>
                </c:pt>
                <c:pt idx="13">
                  <c:v>123.77829079665624</c:v>
                </c:pt>
                <c:pt idx="14">
                  <c:v>129.61631316562978</c:v>
                </c:pt>
                <c:pt idx="15">
                  <c:v>135.45433553460333</c:v>
                </c:pt>
                <c:pt idx="16">
                  <c:v>141.29235790357689</c:v>
                </c:pt>
                <c:pt idx="17">
                  <c:v>147.13038027255044</c:v>
                </c:pt>
                <c:pt idx="18">
                  <c:v>152.96840264152399</c:v>
                </c:pt>
                <c:pt idx="19">
                  <c:v>158.80642501049755</c:v>
                </c:pt>
                <c:pt idx="20">
                  <c:v>164.6444473794711</c:v>
                </c:pt>
                <c:pt idx="21">
                  <c:v>170.48246974844466</c:v>
                </c:pt>
                <c:pt idx="22">
                  <c:v>176.32049211741818</c:v>
                </c:pt>
                <c:pt idx="23">
                  <c:v>182.15851448639174</c:v>
                </c:pt>
                <c:pt idx="24">
                  <c:v>187.99653685536529</c:v>
                </c:pt>
                <c:pt idx="25">
                  <c:v>193.83455922433885</c:v>
                </c:pt>
                <c:pt idx="26">
                  <c:v>199.6725815933124</c:v>
                </c:pt>
                <c:pt idx="27">
                  <c:v>205.51060396228596</c:v>
                </c:pt>
                <c:pt idx="28">
                  <c:v>211.34862633125948</c:v>
                </c:pt>
                <c:pt idx="29">
                  <c:v>217.18664870023304</c:v>
                </c:pt>
              </c:numCache>
            </c:numRef>
          </c:xVal>
          <c:yVal>
            <c:numRef>
              <c:f>Diagrammdaten!$K$329:$K$358</c:f>
              <c:numCache>
                <c:formatCode>General</c:formatCode>
                <c:ptCount val="30"/>
                <c:pt idx="0">
                  <c:v>2.4780051259929632</c:v>
                </c:pt>
                <c:pt idx="1">
                  <c:v>3.2104599332675336</c:v>
                </c:pt>
                <c:pt idx="2">
                  <c:v>4.0147345983788778</c:v>
                </c:pt>
                <c:pt idx="3">
                  <c:v>4.8949818046756448</c:v>
                </c:pt>
                <c:pt idx="4">
                  <c:v>5.8564245962950601</c:v>
                </c:pt>
                <c:pt idx="5">
                  <c:v>6.9029427794701999</c:v>
                </c:pt>
                <c:pt idx="6">
                  <c:v>8.0394947701484778</c:v>
                </c:pt>
                <c:pt idx="7">
                  <c:v>9.2713091561138921</c:v>
                </c:pt>
                <c:pt idx="8">
                  <c:v>10.603085389059821</c:v>
                </c:pt>
                <c:pt idx="9">
                  <c:v>12.039852172418426</c:v>
                </c:pt>
                <c:pt idx="10">
                  <c:v>13.586873765952987</c:v>
                </c:pt>
                <c:pt idx="11">
                  <c:v>15.249592936904534</c:v>
                </c:pt>
                <c:pt idx="12">
                  <c:v>17.033658727159636</c:v>
                </c:pt>
                <c:pt idx="13">
                  <c:v>18.945376817165933</c:v>
                </c:pt>
                <c:pt idx="14">
                  <c:v>20.990785665133657</c:v>
                </c:pt>
                <c:pt idx="15">
                  <c:v>23.176208762572006</c:v>
                </c:pt>
                <c:pt idx="16">
                  <c:v>25.508607393240041</c:v>
                </c:pt>
                <c:pt idx="17">
                  <c:v>27.995474228307575</c:v>
                </c:pt>
                <c:pt idx="18">
                  <c:v>30.644973518769611</c:v>
                </c:pt>
                <c:pt idx="19">
                  <c:v>33.466550208449242</c:v>
                </c:pt>
                <c:pt idx="20">
                  <c:v>36.470502620113258</c:v>
                </c:pt>
                <c:pt idx="21">
                  <c:v>39.668178690413654</c:v>
                </c:pt>
                <c:pt idx="22">
                  <c:v>43.073587576943865</c:v>
                </c:pt>
                <c:pt idx="23">
                  <c:v>46.703908661604409</c:v>
                </c:pt>
                <c:pt idx="24">
                  <c:v>50.58211318954023</c:v>
                </c:pt>
                <c:pt idx="25">
                  <c:v>54.739597871776695</c:v>
                </c:pt>
                <c:pt idx="26">
                  <c:v>59.295247173517502</c:v>
                </c:pt>
                <c:pt idx="27">
                  <c:v>64.156072857380096</c:v>
                </c:pt>
                <c:pt idx="28">
                  <c:v>69.693005578099459</c:v>
                </c:pt>
                <c:pt idx="29">
                  <c:v>77.896473762668705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96-478A-A4B5-1BCD8C7553FE}"/>
            </c:ext>
          </c:extLst>
        </c:ser>
        <c:ser>
          <c:idx val="9"/>
          <c:order val="9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  <c:numCache>
                <c:formatCode>General</c:formatCode>
                <c:ptCount val="25"/>
                <c:pt idx="0">
                  <c:v>1</c:v>
                </c:pt>
                <c:pt idx="1">
                  <c:v>2.9535999999999945</c:v>
                </c:pt>
                <c:pt idx="2">
                  <c:v>4.9070000000000107</c:v>
                </c:pt>
                <c:pt idx="3">
                  <c:v>6.8606000000000051</c:v>
                </c:pt>
                <c:pt idx="4">
                  <c:v>8.813999999999993</c:v>
                </c:pt>
                <c:pt idx="5">
                  <c:v>10.767599999999987</c:v>
                </c:pt>
                <c:pt idx="6">
                  <c:v>12.721000000000004</c:v>
                </c:pt>
                <c:pt idx="7">
                  <c:v>14.674599999999998</c:v>
                </c:pt>
                <c:pt idx="8">
                  <c:v>16.627999999999986</c:v>
                </c:pt>
                <c:pt idx="9">
                  <c:v>18.581600000000009</c:v>
                </c:pt>
                <c:pt idx="10">
                  <c:v>20.534999999999997</c:v>
                </c:pt>
                <c:pt idx="11">
                  <c:v>22.488599999999991</c:v>
                </c:pt>
                <c:pt idx="12">
                  <c:v>24.442000000000007</c:v>
                </c:pt>
                <c:pt idx="13">
                  <c:v>26.395600000000002</c:v>
                </c:pt>
                <c:pt idx="14">
                  <c:v>28.34899999999999</c:v>
                </c:pt>
                <c:pt idx="15">
                  <c:v>30.302600000000012</c:v>
                </c:pt>
                <c:pt idx="16">
                  <c:v>32.256</c:v>
                </c:pt>
                <c:pt idx="17">
                  <c:v>34.209599999999995</c:v>
                </c:pt>
                <c:pt idx="18">
                  <c:v>36.162999999999997</c:v>
                </c:pt>
                <c:pt idx="19">
                  <c:v>38.116600000000005</c:v>
                </c:pt>
                <c:pt idx="20">
                  <c:v>40.069999999999993</c:v>
                </c:pt>
                <c:pt idx="21">
                  <c:v>42.023600000000002</c:v>
                </c:pt>
                <c:pt idx="22">
                  <c:v>43.977000000000004</c:v>
                </c:pt>
                <c:pt idx="23">
                  <c:v>45.930599999999998</c:v>
                </c:pt>
                <c:pt idx="24">
                  <c:v>47.884</c:v>
                </c:pt>
              </c:numCache>
            </c:numRef>
          </c:xVal>
          <c:yVal>
            <c:numRef>
              <c:f>Diagrammdaten!$K$79:$K$103</c:f>
              <c:numCache>
                <c:formatCode>General</c:formatCode>
                <c:ptCount val="25"/>
                <c:pt idx="0">
                  <c:v>0.89239999999999997</c:v>
                </c:pt>
                <c:pt idx="1">
                  <c:v>0.9677</c:v>
                </c:pt>
                <c:pt idx="2">
                  <c:v>1.0486</c:v>
                </c:pt>
                <c:pt idx="3">
                  <c:v>1.1353</c:v>
                </c:pt>
                <c:pt idx="4">
                  <c:v>1.2282999999999999</c:v>
                </c:pt>
                <c:pt idx="5">
                  <c:v>1.3280000000000001</c:v>
                </c:pt>
                <c:pt idx="6">
                  <c:v>1.4346000000000001</c:v>
                </c:pt>
                <c:pt idx="7">
                  <c:v>1.5488</c:v>
                </c:pt>
                <c:pt idx="8">
                  <c:v>1.6709000000000001</c:v>
                </c:pt>
                <c:pt idx="9">
                  <c:v>1.8013999999999999</c:v>
                </c:pt>
                <c:pt idx="10">
                  <c:v>1.9408000000000001</c:v>
                </c:pt>
                <c:pt idx="11">
                  <c:v>2.0897000000000001</c:v>
                </c:pt>
                <c:pt idx="12">
                  <c:v>2.2484999999999999</c:v>
                </c:pt>
                <c:pt idx="13">
                  <c:v>2.4180000000000001</c:v>
                </c:pt>
                <c:pt idx="14">
                  <c:v>2.5985</c:v>
                </c:pt>
                <c:pt idx="15">
                  <c:v>2.7909999999999999</c:v>
                </c:pt>
                <c:pt idx="16">
                  <c:v>2.9958999999999998</c:v>
                </c:pt>
                <c:pt idx="17">
                  <c:v>3.214</c:v>
                </c:pt>
                <c:pt idx="18">
                  <c:v>3.4462000000000002</c:v>
                </c:pt>
                <c:pt idx="19">
                  <c:v>3.6930000000000001</c:v>
                </c:pt>
                <c:pt idx="20">
                  <c:v>3.9554999999999998</c:v>
                </c:pt>
                <c:pt idx="21">
                  <c:v>4.2343999999999999</c:v>
                </c:pt>
                <c:pt idx="22">
                  <c:v>4.5308000000000002</c:v>
                </c:pt>
                <c:pt idx="23">
                  <c:v>4.8455000000000004</c:v>
                </c:pt>
                <c:pt idx="24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96-478A-A4B5-1BCD8C7553FE}"/>
            </c:ext>
          </c:extLst>
        </c:ser>
        <c:ser>
          <c:idx val="10"/>
          <c:order val="10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  <c:numCache>
                <c:formatCode>General</c:formatCode>
                <c:ptCount val="15"/>
                <c:pt idx="0">
                  <c:v>47.884</c:v>
                </c:pt>
                <c:pt idx="1">
                  <c:v>48.613799999999998</c:v>
                </c:pt>
                <c:pt idx="2">
                  <c:v>49.343599999999995</c:v>
                </c:pt>
                <c:pt idx="3">
                  <c:v>50.073400000000007</c:v>
                </c:pt>
                <c:pt idx="4">
                  <c:v>50.803200000000004</c:v>
                </c:pt>
                <c:pt idx="5">
                  <c:v>51.532799999999995</c:v>
                </c:pt>
                <c:pt idx="6">
                  <c:v>52.262600000000006</c:v>
                </c:pt>
                <c:pt idx="7">
                  <c:v>52.992400000000004</c:v>
                </c:pt>
                <c:pt idx="8">
                  <c:v>53.722200000000001</c:v>
                </c:pt>
                <c:pt idx="9">
                  <c:v>54.451999999999998</c:v>
                </c:pt>
                <c:pt idx="10">
                  <c:v>55.181799999999996</c:v>
                </c:pt>
                <c:pt idx="11">
                  <c:v>55.911600000000007</c:v>
                </c:pt>
                <c:pt idx="12">
                  <c:v>56.641400000000004</c:v>
                </c:pt>
                <c:pt idx="13">
                  <c:v>57.371200000000002</c:v>
                </c:pt>
                <c:pt idx="14">
                  <c:v>58.100800000000007</c:v>
                </c:pt>
              </c:numCache>
            </c:numRef>
          </c:xVal>
          <c:yVal>
            <c:numRef>
              <c:f>Diagrammdaten!$K$105:$K$119</c:f>
              <c:numCache>
                <c:formatCode>General</c:formatCode>
                <c:ptCount val="15"/>
                <c:pt idx="0">
                  <c:v>5.1795999999999998</c:v>
                </c:pt>
                <c:pt idx="1">
                  <c:v>22.274000000000001</c:v>
                </c:pt>
                <c:pt idx="2">
                  <c:v>39.428800000000003</c:v>
                </c:pt>
                <c:pt idx="3">
                  <c:v>56.643999999999998</c:v>
                </c:pt>
                <c:pt idx="4">
                  <c:v>73.919700000000006</c:v>
                </c:pt>
                <c:pt idx="5">
                  <c:v>91.255700000000004</c:v>
                </c:pt>
                <c:pt idx="6">
                  <c:v>108.6523</c:v>
                </c:pt>
                <c:pt idx="7">
                  <c:v>126.1092</c:v>
                </c:pt>
                <c:pt idx="8">
                  <c:v>143.6266</c:v>
                </c:pt>
                <c:pt idx="9">
                  <c:v>161.20439999999999</c:v>
                </c:pt>
                <c:pt idx="10">
                  <c:v>178.84270000000001</c:v>
                </c:pt>
                <c:pt idx="11">
                  <c:v>196.54130000000001</c:v>
                </c:pt>
                <c:pt idx="12">
                  <c:v>214.3005</c:v>
                </c:pt>
                <c:pt idx="13">
                  <c:v>232.12</c:v>
                </c:pt>
                <c:pt idx="1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96-478A-A4B5-1BCD8C7553FE}"/>
            </c:ext>
          </c:extLst>
        </c:ser>
        <c:ser>
          <c:idx val="11"/>
          <c:order val="11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  <c:numCache>
                <c:formatCode>General</c:formatCode>
                <c:ptCount val="1"/>
                <c:pt idx="0">
                  <c:v>47.884</c:v>
                </c:pt>
              </c:numCache>
            </c:numRef>
          </c:xVal>
          <c:yVal>
            <c:numRef>
              <c:f>Diagrammdaten!$K$121</c:f>
              <c:numCache>
                <c:formatCode>General</c:formatCode>
                <c:ptCount val="1"/>
                <c:pt idx="0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996-478A-A4B5-1BCD8C7553FE}"/>
            </c:ext>
          </c:extLst>
        </c:ser>
        <c:ser>
          <c:idx val="12"/>
          <c:order val="12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  <c:numCache>
                <c:formatCode>General</c:formatCode>
                <c:ptCount val="1"/>
                <c:pt idx="0">
                  <c:v>216.90944254906549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81.455055721913254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96-478A-A4B5-1BCD8C7553FE}"/>
            </c:ext>
          </c:extLst>
        </c:ser>
        <c:ser>
          <c:idx val="17"/>
          <c:order val="13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996-478A-A4B5-1BCD8C7553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996-478A-A4B5-1BCD8C7553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996-478A-A4B5-1BCD8C7553F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996-478A-A4B5-1BCD8C7553F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996-478A-A4B5-1BCD8C7553FE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Diagrammdaten!$L$144:$L$148</c:f>
              <c:numCache>
                <c:formatCode>General</c:formatCode>
                <c:ptCount val="5"/>
                <c:pt idx="0">
                  <c:v>19</c:v>
                </c:pt>
                <c:pt idx="1">
                  <c:v>101</c:v>
                </c:pt>
                <c:pt idx="2">
                  <c:v>305</c:v>
                </c:pt>
                <c:pt idx="3">
                  <c:v>331</c:v>
                </c:pt>
                <c:pt idx="4">
                  <c:v>117</c:v>
                </c:pt>
              </c:numCache>
            </c:numRef>
          </c:xVal>
          <c:yVal>
            <c:numRef>
              <c:f>Diagrammdaten!$K$144:$K$148</c:f>
              <c:numCache>
                <c:formatCode>General</c:formatCode>
                <c:ptCount val="5"/>
                <c:pt idx="0">
                  <c:v>70</c:v>
                </c:pt>
                <c:pt idx="1">
                  <c:v>105</c:v>
                </c:pt>
                <c:pt idx="2">
                  <c:v>12</c:v>
                </c:pt>
                <c:pt idx="3">
                  <c:v>120</c:v>
                </c:pt>
                <c:pt idx="4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996-478A-A4B5-1BCD8C755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3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 val="autoZero"/>
        <c:crossBetween val="between"/>
        <c:majorUnit val="10"/>
      </c:valAx>
      <c:valAx>
        <c:axId val="60080002"/>
        <c:scaling>
          <c:orientation val="minMax"/>
          <c:max val="13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valAx>
        <c:axId val="6008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80002"/>
        <c:crosses val="autoZero"/>
        <c:crossBetween val="midCat"/>
      </c:valAx>
    </c:plotArea>
    <c:legend>
      <c:legendPos val="r"/>
      <c:legendEntry>
        <c:idx val="13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3_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Temperatur (Gebirge)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</c:v>
          </c:tx>
          <c:spPr>
            <a:ln w="28575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'Kaverne &amp; Gassäule'!$C$55:$C$79</c:f>
              <c:numCache>
                <c:formatCode>0.0</c:formatCode>
                <c:ptCount val="25"/>
                <c:pt idx="0">
                  <c:v>10</c:v>
                </c:pt>
                <c:pt idx="1">
                  <c:v>11.5</c:v>
                </c:pt>
                <c:pt idx="2">
                  <c:v>13</c:v>
                </c:pt>
                <c:pt idx="3">
                  <c:v>14.5</c:v>
                </c:pt>
                <c:pt idx="4">
                  <c:v>16</c:v>
                </c:pt>
                <c:pt idx="5">
                  <c:v>17.5</c:v>
                </c:pt>
                <c:pt idx="6">
                  <c:v>19</c:v>
                </c:pt>
                <c:pt idx="7">
                  <c:v>20.5</c:v>
                </c:pt>
                <c:pt idx="8">
                  <c:v>22</c:v>
                </c:pt>
                <c:pt idx="9">
                  <c:v>23.5</c:v>
                </c:pt>
                <c:pt idx="10">
                  <c:v>25</c:v>
                </c:pt>
                <c:pt idx="11">
                  <c:v>26.5</c:v>
                </c:pt>
                <c:pt idx="12">
                  <c:v>28</c:v>
                </c:pt>
                <c:pt idx="13">
                  <c:v>29.5</c:v>
                </c:pt>
                <c:pt idx="14">
                  <c:v>31</c:v>
                </c:pt>
                <c:pt idx="15">
                  <c:v>32.5</c:v>
                </c:pt>
                <c:pt idx="16">
                  <c:v>34</c:v>
                </c:pt>
                <c:pt idx="17">
                  <c:v>35.5</c:v>
                </c:pt>
                <c:pt idx="18">
                  <c:v>37</c:v>
                </c:pt>
                <c:pt idx="19">
                  <c:v>38.5</c:v>
                </c:pt>
                <c:pt idx="20">
                  <c:v>40</c:v>
                </c:pt>
                <c:pt idx="21">
                  <c:v>41.5</c:v>
                </c:pt>
                <c:pt idx="22">
                  <c:v>43</c:v>
                </c:pt>
                <c:pt idx="23">
                  <c:v>44.5</c:v>
                </c:pt>
                <c:pt idx="24">
                  <c:v>46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A-45F4-BA50-2D25CE981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6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T [°C]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midCat"/>
        <c:majorUnit val="200"/>
      </c:valAx>
    </c:plotArea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_orig3_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Druck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949695572993719"/>
          <c:y val="0.19769541597997925"/>
          <c:w val="0.43887402180012058"/>
          <c:h val="0.74803491424037116"/>
        </c:manualLayout>
      </c:layout>
      <c:scatterChart>
        <c:scatterStyle val="lineMarker"/>
        <c:varyColors val="0"/>
        <c:ser>
          <c:idx val="0"/>
          <c:order val="0"/>
          <c:tx>
            <c:v>voll – Gemisch</c:v>
          </c:tx>
          <c:spPr>
            <a:ln w="28575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'Kaverne &amp; Gassäule'!$D$55:$D$79</c:f>
              <c:numCache>
                <c:formatCode>0.0</c:formatCode>
                <c:ptCount val="25"/>
                <c:pt idx="0">
                  <c:v>114.93130198208927</c:v>
                </c:pt>
                <c:pt idx="1">
                  <c:v>119.16100924115156</c:v>
                </c:pt>
                <c:pt idx="2">
                  <c:v>123.36557182169967</c:v>
                </c:pt>
                <c:pt idx="3">
                  <c:v>127.54518251936265</c:v>
                </c:pt>
                <c:pt idx="4">
                  <c:v>131.70004500354221</c:v>
                </c:pt>
                <c:pt idx="5">
                  <c:v>135.83037358755291</c:v>
                </c:pt>
                <c:pt idx="6">
                  <c:v>139.93639309319369</c:v>
                </c:pt>
                <c:pt idx="7">
                  <c:v>144.01833877875904</c:v>
                </c:pt>
                <c:pt idx="8">
                  <c:v>148.07645628272289</c:v>
                </c:pt>
                <c:pt idx="9">
                  <c:v>152.11100152709446</c:v>
                </c:pt>
                <c:pt idx="10">
                  <c:v>156.1222405259621</c:v>
                </c:pt>
                <c:pt idx="11">
                  <c:v>160.11044905533242</c:v>
                </c:pt>
                <c:pt idx="12">
                  <c:v>164.07591215772621</c:v>
                </c:pt>
                <c:pt idx="13">
                  <c:v>168.01892347570219</c:v>
                </c:pt>
                <c:pt idx="14">
                  <c:v>171.93978442887101</c:v>
                </c:pt>
                <c:pt idx="15">
                  <c:v>175.8388032658045</c:v>
                </c:pt>
                <c:pt idx="16">
                  <c:v>179.71629403339674</c:v>
                </c:pt>
                <c:pt idx="17">
                  <c:v>183.57257551082256</c:v>
                </c:pt>
                <c:pt idx="18">
                  <c:v>187.40797015367133</c:v>
                </c:pt>
                <c:pt idx="19">
                  <c:v>191.22280308741125</c:v>
                </c:pt>
                <c:pt idx="20">
                  <c:v>195.01740117986344</c:v>
                </c:pt>
                <c:pt idx="21">
                  <c:v>198.79209221167758</c:v>
                </c:pt>
                <c:pt idx="22">
                  <c:v>202.54720415346492</c:v>
                </c:pt>
                <c:pt idx="23">
                  <c:v>206.28306454936461</c:v>
                </c:pt>
                <c:pt idx="24">
                  <c:v>210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0-437E-A63B-29A9BE0280F1}"/>
            </c:ext>
          </c:extLst>
        </c:ser>
        <c:ser>
          <c:idx val="1"/>
          <c:order val="1"/>
          <c:tx>
            <c:v>Grenzfall – Gemisch</c:v>
          </c:tx>
          <c:spPr>
            <a:ln w="28575">
              <a:solidFill>
                <a:srgbClr val="0476D9"/>
              </a:solidFill>
              <a:prstDash val="dash"/>
            </a:ln>
          </c:spPr>
          <c:marker>
            <c:symbol val="none"/>
          </c:marker>
          <c:xVal>
            <c:numRef>
              <c:f>'Kaverne &amp; Gassäule'!$F$55:$F$79</c:f>
              <c:numCache>
                <c:formatCode>0.0</c:formatCode>
                <c:ptCount val="25"/>
                <c:pt idx="0">
                  <c:v>82.177594317918306</c:v>
                </c:pt>
                <c:pt idx="1">
                  <c:v>86.209691651860339</c:v>
                </c:pt>
                <c:pt idx="2">
                  <c:v>90.211177120067802</c:v>
                </c:pt>
                <c:pt idx="3">
                  <c:v>94.182258243427555</c:v>
                </c:pt>
                <c:pt idx="4">
                  <c:v>98.123172361781016</c:v>
                </c:pt>
                <c:pt idx="5">
                  <c:v>102.03418671869966</c:v>
                </c:pt>
                <c:pt idx="6">
                  <c:v>105.91559827455201</c:v>
                </c:pt>
                <c:pt idx="7">
                  <c:v>109.76773312810479</c:v>
                </c:pt>
                <c:pt idx="8">
                  <c:v>113.5909454657578</c:v>
                </c:pt>
                <c:pt idx="9">
                  <c:v>117.38561602364186</c:v>
                </c:pt>
                <c:pt idx="10">
                  <c:v>121.15215012053648</c:v>
                </c:pt>
                <c:pt idx="11">
                  <c:v>124.89097537730567</c:v>
                </c:pt>
                <c:pt idx="12">
                  <c:v>128.60253926602752</c:v>
                </c:pt>
                <c:pt idx="13">
                  <c:v>132.28730662468095</c:v>
                </c:pt>
                <c:pt idx="14">
                  <c:v>135.94575723768324</c:v>
                </c:pt>
                <c:pt idx="15">
                  <c:v>139.5783835328474</c:v>
                </c:pt>
                <c:pt idx="16">
                  <c:v>143.18568839769392</c:v>
                </c:pt>
                <c:pt idx="17">
                  <c:v>146.76818308560837</c:v>
                </c:pt>
                <c:pt idx="18">
                  <c:v>150.32638517168738</c:v>
                </c:pt>
                <c:pt idx="19">
                  <c:v>153.86081652844035</c:v>
                </c:pt>
                <c:pt idx="20">
                  <c:v>157.3720013160563</c:v>
                </c:pt>
                <c:pt idx="21">
                  <c:v>160.86046401088927</c:v>
                </c:pt>
                <c:pt idx="22">
                  <c:v>164.32672751959655</c:v>
                </c:pt>
                <c:pt idx="23">
                  <c:v>167.77131143828865</c:v>
                </c:pt>
                <c:pt idx="24">
                  <c:v>171.19473051369846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0-437E-A63B-29A9BE0280F1}"/>
            </c:ext>
          </c:extLst>
        </c:ser>
        <c:ser>
          <c:idx val="2"/>
          <c:order val="2"/>
          <c:tx>
            <c:v>leer – Gemisch</c:v>
          </c:tx>
          <c:spPr>
            <a:ln w="28575">
              <a:solidFill>
                <a:srgbClr val="EE7203"/>
              </a:solidFill>
              <a:prstDash val="sysDot"/>
            </a:ln>
          </c:spPr>
          <c:marker>
            <c:symbol val="none"/>
          </c:marker>
          <c:xVal>
            <c:numRef>
              <c:f>'Kaverne &amp; Gassäule'!$H$55:$H$79</c:f>
              <c:numCache>
                <c:formatCode>0.0</c:formatCode>
                <c:ptCount val="25"/>
                <c:pt idx="0">
                  <c:v>50.705458672726493</c:v>
                </c:pt>
                <c:pt idx="1">
                  <c:v>51.659629523059941</c:v>
                </c:pt>
                <c:pt idx="2">
                  <c:v>52.470044683915283</c:v>
                </c:pt>
                <c:pt idx="3">
                  <c:v>53.247139379139881</c:v>
                </c:pt>
                <c:pt idx="4">
                  <c:v>54.025823839409902</c:v>
                </c:pt>
                <c:pt idx="5">
                  <c:v>54.806181480706428</c:v>
                </c:pt>
                <c:pt idx="6">
                  <c:v>55.588281924562459</c:v>
                </c:pt>
                <c:pt idx="7">
                  <c:v>56.372183362205107</c:v>
                </c:pt>
                <c:pt idx="8">
                  <c:v>57.157934412263899</c:v>
                </c:pt>
                <c:pt idx="9">
                  <c:v>57.945575615657937</c:v>
                </c:pt>
                <c:pt idx="10">
                  <c:v>58.735140660834205</c:v>
                </c:pt>
                <c:pt idx="11">
                  <c:v>59.526657401485011</c:v>
                </c:pt>
                <c:pt idx="12">
                  <c:v>60.320148709509233</c:v>
                </c:pt>
                <c:pt idx="13">
                  <c:v>61.115633193748572</c:v>
                </c:pt>
                <c:pt idx="14">
                  <c:v>61.913125807204182</c:v>
                </c:pt>
                <c:pt idx="15">
                  <c:v>62.712638360362611</c:v>
                </c:pt>
                <c:pt idx="16">
                  <c:v>63.514179954897848</c:v>
                </c:pt>
                <c:pt idx="17">
                  <c:v>64.317757349714327</c:v>
                </c:pt>
                <c:pt idx="18">
                  <c:v>65.123375269629022</c:v>
                </c:pt>
                <c:pt idx="19">
                  <c:v>65.931036665690229</c:v>
                </c:pt>
                <c:pt idx="20">
                  <c:v>66.740742935030426</c:v>
                </c:pt>
                <c:pt idx="21">
                  <c:v>67.552494107155084</c:v>
                </c:pt>
                <c:pt idx="22">
                  <c:v>68.366289002634076</c:v>
                </c:pt>
                <c:pt idx="23">
                  <c:v>69.182125369272583</c:v>
                </c:pt>
                <c:pt idx="24">
                  <c:v>70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E0-437E-A63B-29A9BE0280F1}"/>
            </c:ext>
          </c:extLst>
        </c:ser>
        <c:ser>
          <c:idx val="3"/>
          <c:order val="3"/>
          <c:tx>
            <c:v>voll – reines CO₂</c:v>
          </c:tx>
          <c:spPr>
            <a:ln w="19050" cap="rnd">
              <a:solidFill>
                <a:srgbClr val="007335"/>
              </a:solidFill>
              <a:prstDash val="dot"/>
            </a:ln>
          </c:spPr>
          <c:marker>
            <c:symbol val="none"/>
          </c:marker>
          <c:xVal>
            <c:numRef>
              <c:f>'Kaverne &amp; Gassäule'!$J$55:$J$79</c:f>
              <c:numCache>
                <c:formatCode>0.0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E-4D46-96FB-933376A56339}"/>
            </c:ext>
          </c:extLst>
        </c:ser>
        <c:ser>
          <c:idx val="4"/>
          <c:order val="4"/>
          <c:tx>
            <c:v>Grenzfall – reines CO₂</c:v>
          </c:tx>
          <c:spPr>
            <a:ln w="19050" cap="rnd">
              <a:solidFill>
                <a:srgbClr val="0476D9"/>
              </a:solidFill>
              <a:prstDash val="dot"/>
            </a:ln>
          </c:spPr>
          <c:marker>
            <c:symbol val="none"/>
          </c:marker>
          <c:xVal>
            <c:numRef>
              <c:f>'Kaverne &amp; Gassäule'!$L$55:$L$79</c:f>
              <c:numCache>
                <c:formatCode>0.0</c:formatCode>
                <c:ptCount val="25"/>
                <c:pt idx="0">
                  <c:v>73.772983779137576</c:v>
                </c:pt>
                <c:pt idx="1">
                  <c:v>78.158267366217629</c:v>
                </c:pt>
                <c:pt idx="2">
                  <c:v>82.51551505203399</c:v>
                </c:pt>
                <c:pt idx="3">
                  <c:v>86.844824172214189</c:v>
                </c:pt>
                <c:pt idx="4">
                  <c:v>91.146308998600489</c:v>
                </c:pt>
                <c:pt idx="5">
                  <c:v>95.420100641130801</c:v>
                </c:pt>
                <c:pt idx="6">
                  <c:v>99.666346825411907</c:v>
                </c:pt>
                <c:pt idx="7">
                  <c:v>103.8852116340835</c:v>
                </c:pt>
                <c:pt idx="8">
                  <c:v>108.0768752886668</c:v>
                </c:pt>
                <c:pt idx="9">
                  <c:v>112.2415340230345</c:v>
                </c:pt>
                <c:pt idx="10">
                  <c:v>116.3794000648183</c:v>
                </c:pt>
                <c:pt idx="11">
                  <c:v>120.4907017034746</c:v>
                </c:pt>
                <c:pt idx="12">
                  <c:v>124.5756833908703</c:v>
                </c:pt>
                <c:pt idx="13">
                  <c:v>128.6346057983711</c:v>
                </c:pt>
                <c:pt idx="14">
                  <c:v>132.6677457476095</c:v>
                </c:pt>
                <c:pt idx="15">
                  <c:v>136.6753959411524</c:v>
                </c:pt>
                <c:pt idx="16">
                  <c:v>140.65786444165681</c:v>
                </c:pt>
                <c:pt idx="17">
                  <c:v>144.61547387863601</c:v>
                </c:pt>
                <c:pt idx="18">
                  <c:v>148.5485603943242</c:v>
                </c:pt>
                <c:pt idx="19">
                  <c:v>152.4574723682469</c:v>
                </c:pt>
                <c:pt idx="20">
                  <c:v>156.34256897962541</c:v>
                </c:pt>
                <c:pt idx="21">
                  <c:v>160.2042186756909</c:v>
                </c:pt>
                <c:pt idx="22">
                  <c:v>164.0427976128814</c:v>
                </c:pt>
                <c:pt idx="23">
                  <c:v>167.8586881290575</c:v>
                </c:pt>
                <c:pt idx="24">
                  <c:v>171.65227729158011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E-4D46-96FB-933376A56339}"/>
            </c:ext>
          </c:extLst>
        </c:ser>
        <c:ser>
          <c:idx val="5"/>
          <c:order val="5"/>
          <c:tx>
            <c:v>leer – reines CO₂</c:v>
          </c:tx>
          <c:spPr>
            <a:ln w="19050" cap="rnd">
              <a:solidFill>
                <a:srgbClr val="EE7203"/>
              </a:solidFill>
              <a:prstDash val="dot"/>
            </a:ln>
          </c:spPr>
          <c:marker>
            <c:symbol val="none"/>
          </c:marker>
          <c:xVal>
            <c:numRef>
              <c:f>'Kaverne &amp; Gassäule'!$N$55:$N$79</c:f>
              <c:numCache>
                <c:formatCode>0.0</c:formatCode>
                <c:ptCount val="25"/>
                <c:pt idx="0">
                  <c:v>44.992994186969852</c:v>
                </c:pt>
                <c:pt idx="1">
                  <c:v>46.658027336303412</c:v>
                </c:pt>
                <c:pt idx="2">
                  <c:v>48.469673788771722</c:v>
                </c:pt>
                <c:pt idx="3">
                  <c:v>50.287386984021232</c:v>
                </c:pt>
                <c:pt idx="4">
                  <c:v>52.113012402204589</c:v>
                </c:pt>
                <c:pt idx="5">
                  <c:v>53.576395779275323</c:v>
                </c:pt>
                <c:pt idx="6">
                  <c:v>54.422451099446228</c:v>
                </c:pt>
                <c:pt idx="7">
                  <c:v>55.269945504788083</c:v>
                </c:pt>
                <c:pt idx="8">
                  <c:v>56.119079339465053</c:v>
                </c:pt>
                <c:pt idx="9">
                  <c:v>56.970011793445003</c:v>
                </c:pt>
                <c:pt idx="10">
                  <c:v>57.822871235687643</c:v>
                </c:pt>
                <c:pt idx="11">
                  <c:v>58.677762156197382</c:v>
                </c:pt>
                <c:pt idx="12">
                  <c:v>59.534770035388831</c:v>
                </c:pt>
                <c:pt idx="13">
                  <c:v>60.393964903905619</c:v>
                </c:pt>
                <c:pt idx="14">
                  <c:v>61.255404045156617</c:v>
                </c:pt>
                <c:pt idx="15">
                  <c:v>62.119134114436157</c:v>
                </c:pt>
                <c:pt idx="16">
                  <c:v>62.985192844205663</c:v>
                </c:pt>
                <c:pt idx="17">
                  <c:v>63.853610443206122</c:v>
                </c:pt>
                <c:pt idx="18">
                  <c:v>64.724410759818767</c:v>
                </c:pt>
                <c:pt idx="19">
                  <c:v>65.597612257397259</c:v>
                </c:pt>
                <c:pt idx="20">
                  <c:v>66.473228835324207</c:v>
                </c:pt>
                <c:pt idx="21">
                  <c:v>67.351270520858037</c:v>
                </c:pt>
                <c:pt idx="22">
                  <c:v>68.231744051372317</c:v>
                </c:pt>
                <c:pt idx="23">
                  <c:v>69.114653363081544</c:v>
                </c:pt>
                <c:pt idx="24">
                  <c:v>70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3E-4D46-96FB-933376A5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p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midCat"/>
        <c:majorUnit val="200"/>
      </c:valAx>
    </c:plotArea>
    <c:legend>
      <c:legendPos val="b"/>
      <c:layout>
        <c:manualLayout>
          <c:xMode val="edge"/>
          <c:yMode val="edge"/>
          <c:x val="0.63913610920145814"/>
          <c:y val="0.65425135811511936"/>
          <c:w val="0.33174829056806815"/>
          <c:h val="0.28683391320271012"/>
        </c:manualLayout>
      </c:layout>
      <c:overlay val="0"/>
      <c:txPr>
        <a:bodyPr/>
        <a:lstStyle/>
        <a:p>
          <a:pPr>
            <a:defRPr sz="800" baseline="0"/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_orig3_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Dichte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2139026837679"/>
          <c:y val="0.19769541597997925"/>
          <c:w val="0.47854965342991235"/>
          <c:h val="0.76870878349508642"/>
        </c:manualLayout>
      </c:layout>
      <c:scatterChart>
        <c:scatterStyle val="lineMarker"/>
        <c:varyColors val="0"/>
        <c:ser>
          <c:idx val="0"/>
          <c:order val="0"/>
          <c:tx>
            <c:v>voll – Gemisch</c:v>
          </c:tx>
          <c:spPr>
            <a:ln w="28575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'Kaverne &amp; Gassäule'!$E$55:$E$79</c:f>
              <c:numCache>
                <c:formatCode>0.0</c:formatCode>
                <c:ptCount val="25"/>
                <c:pt idx="0">
                  <c:v>865.00462248909491</c:v>
                </c:pt>
                <c:pt idx="1">
                  <c:v>859.85864841570958</c:v>
                </c:pt>
                <c:pt idx="2">
                  <c:v>854.75080521050813</c:v>
                </c:pt>
                <c:pt idx="3">
                  <c:v>849.68334164926944</c:v>
                </c:pt>
                <c:pt idx="4">
                  <c:v>844.65844859753247</c:v>
                </c:pt>
                <c:pt idx="5">
                  <c:v>839.67827998832161</c:v>
                </c:pt>
                <c:pt idx="6">
                  <c:v>834.74496973294981</c:v>
                </c:pt>
                <c:pt idx="7">
                  <c:v>829.86064042185444</c:v>
                </c:pt>
                <c:pt idx="8">
                  <c:v>825.02740115879669</c:v>
                </c:pt>
                <c:pt idx="9">
                  <c:v>820.24733379425993</c:v>
                </c:pt>
                <c:pt idx="10">
                  <c:v>815.52246880840391</c:v>
                </c:pt>
                <c:pt idx="11">
                  <c:v>810.85475376604688</c:v>
                </c:pt>
                <c:pt idx="12">
                  <c:v>806.24601833582483</c:v>
                </c:pt>
                <c:pt idx="13">
                  <c:v>801.69794018646473</c:v>
                </c:pt>
                <c:pt idx="14">
                  <c:v>797.21201566463969</c:v>
                </c:pt>
                <c:pt idx="15">
                  <c:v>792.78953818349248</c:v>
                </c:pt>
                <c:pt idx="16">
                  <c:v>788.43158595982391</c:v>
                </c:pt>
                <c:pt idx="17">
                  <c:v>784.13901940178368</c:v>
                </c:pt>
                <c:pt idx="18">
                  <c:v>779.91248729654342</c:v>
                </c:pt>
                <c:pt idx="19">
                  <c:v>775.75244012547796</c:v>
                </c:pt>
                <c:pt idx="20">
                  <c:v>771.65914839665834</c:v>
                </c:pt>
                <c:pt idx="21">
                  <c:v>767.63272380401418</c:v>
                </c:pt>
                <c:pt idx="22">
                  <c:v>763.67314121951949</c:v>
                </c:pt>
                <c:pt idx="23">
                  <c:v>759.78025989708044</c:v>
                </c:pt>
                <c:pt idx="24">
                  <c:v>755.95384271623266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D-4235-ABFC-4F6D3DC39033}"/>
            </c:ext>
          </c:extLst>
        </c:ser>
        <c:ser>
          <c:idx val="1"/>
          <c:order val="1"/>
          <c:tx>
            <c:v>Grenzfall – Gemisch</c:v>
          </c:tx>
          <c:spPr>
            <a:ln w="28575">
              <a:solidFill>
                <a:srgbClr val="0476D9"/>
              </a:solidFill>
              <a:prstDash val="dash"/>
            </a:ln>
          </c:spPr>
          <c:marker>
            <c:symbol val="none"/>
          </c:marker>
          <c:xVal>
            <c:numRef>
              <c:f>'Kaverne &amp; Gassäule'!$G$55:$G$79</c:f>
              <c:numCache>
                <c:formatCode>0.0</c:formatCode>
                <c:ptCount val="25"/>
                <c:pt idx="0">
                  <c:v>825.29682338781356</c:v>
                </c:pt>
                <c:pt idx="1">
                  <c:v>819.03600954284173</c:v>
                </c:pt>
                <c:pt idx="2">
                  <c:v>812.81435801045086</c:v>
                </c:pt>
                <c:pt idx="3">
                  <c:v>806.63792633144237</c:v>
                </c:pt>
                <c:pt idx="4">
                  <c:v>800.51280910829462</c:v>
                </c:pt>
                <c:pt idx="5">
                  <c:v>794.44509597377794</c:v>
                </c:pt>
                <c:pt idx="6">
                  <c:v>788.44080380254525</c:v>
                </c:pt>
                <c:pt idx="7">
                  <c:v>782.50578709169292</c:v>
                </c:pt>
                <c:pt idx="8">
                  <c:v>776.6456377044849</c:v>
                </c:pt>
                <c:pt idx="9">
                  <c:v>770.86558887490139</c:v>
                </c:pt>
                <c:pt idx="10">
                  <c:v>765.17043750419737</c:v>
                </c:pt>
                <c:pt idx="11">
                  <c:v>759.564493916483</c:v>
                </c:pt>
                <c:pt idx="12">
                  <c:v>754.05156122789447</c:v>
                </c:pt>
                <c:pt idx="13">
                  <c:v>748.63493969247509</c:v>
                </c:pt>
                <c:pt idx="14">
                  <c:v>743.3174468346283</c:v>
                </c:pt>
                <c:pt idx="15">
                  <c:v>738.10144290494725</c:v>
                </c:pt>
                <c:pt idx="16">
                  <c:v>732.98885308332717</c:v>
                </c:pt>
                <c:pt idx="17">
                  <c:v>727.98118185019678</c:v>
                </c:pt>
                <c:pt idx="18">
                  <c:v>723.07951954972702</c:v>
                </c:pt>
                <c:pt idx="19">
                  <c:v>718.28454494400569</c:v>
                </c:pt>
                <c:pt idx="20">
                  <c:v>713.59652954285536</c:v>
                </c:pt>
                <c:pt idx="21">
                  <c:v>709.01534939575038</c:v>
                </c:pt>
                <c:pt idx="22">
                  <c:v>704.54050819428869</c:v>
                </c:pt>
                <c:pt idx="23">
                  <c:v>700.1711727275615</c:v>
                </c:pt>
                <c:pt idx="24">
                  <c:v>695.90621886304257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D-4235-ABFC-4F6D3DC39033}"/>
            </c:ext>
          </c:extLst>
        </c:ser>
        <c:ser>
          <c:idx val="2"/>
          <c:order val="2"/>
          <c:tx>
            <c:v>leer – Gemisch</c:v>
          </c:tx>
          <c:spPr>
            <a:ln w="28575">
              <a:solidFill>
                <a:srgbClr val="EE7203"/>
              </a:solidFill>
              <a:prstDash val="sysDot"/>
            </a:ln>
          </c:spPr>
          <c:marker>
            <c:symbol val="none"/>
          </c:marker>
          <c:xVal>
            <c:numRef>
              <c:f>'Kaverne &amp; Gassäule'!$I$55:$I$79</c:f>
              <c:numCache>
                <c:formatCode>0.0</c:formatCode>
                <c:ptCount val="25"/>
                <c:pt idx="0">
                  <c:v>208.63401710078003</c:v>
                </c:pt>
                <c:pt idx="1">
                  <c:v>180.45339147381648</c:v>
                </c:pt>
                <c:pt idx="2">
                  <c:v>158.26745350880307</c:v>
                </c:pt>
                <c:pt idx="3">
                  <c:v>158.58156714079087</c:v>
                </c:pt>
                <c:pt idx="4">
                  <c:v>158.91435687849651</c:v>
                </c:pt>
                <c:pt idx="5">
                  <c:v>159.26271204121161</c:v>
                </c:pt>
                <c:pt idx="6">
                  <c:v>159.6240720495816</c:v>
                </c:pt>
                <c:pt idx="7">
                  <c:v>159.99630272372789</c:v>
                </c:pt>
                <c:pt idx="8">
                  <c:v>160.37760924921488</c:v>
                </c:pt>
                <c:pt idx="9">
                  <c:v>160.76647264703266</c:v>
                </c:pt>
                <c:pt idx="10">
                  <c:v>161.16160169886166</c:v>
                </c:pt>
                <c:pt idx="11">
                  <c:v>161.56189533902983</c:v>
                </c:pt>
                <c:pt idx="12">
                  <c:v>161.96641238049682</c:v>
                </c:pt>
                <c:pt idx="13">
                  <c:v>162.37434658296286</c:v>
                </c:pt>
                <c:pt idx="14">
                  <c:v>162.78500578033623</c:v>
                </c:pt>
                <c:pt idx="15">
                  <c:v>163.19779422794545</c:v>
                </c:pt>
                <c:pt idx="16">
                  <c:v>163.61219760549773</c:v>
                </c:pt>
                <c:pt idx="17">
                  <c:v>164.02777027996802</c:v>
                </c:pt>
                <c:pt idx="18">
                  <c:v>164.44412453165725</c:v>
                </c:pt>
                <c:pt idx="19">
                  <c:v>164.86092150215964</c:v>
                </c:pt>
                <c:pt idx="20">
                  <c:v>165.27786365243551</c:v>
                </c:pt>
                <c:pt idx="21">
                  <c:v>165.69468853484133</c:v>
                </c:pt>
                <c:pt idx="22">
                  <c:v>166.11116369296403</c:v>
                </c:pt>
                <c:pt idx="23">
                  <c:v>166.52708251254975</c:v>
                </c:pt>
                <c:pt idx="24">
                  <c:v>166.94226085841004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AD-4235-ABFC-4F6D3DC39033}"/>
            </c:ext>
          </c:extLst>
        </c:ser>
        <c:ser>
          <c:idx val="3"/>
          <c:order val="3"/>
          <c:tx>
            <c:v>voll – reines CO₂</c:v>
          </c:tx>
          <c:spPr>
            <a:ln w="19050" cap="rnd">
              <a:solidFill>
                <a:srgbClr val="007335"/>
              </a:solidFill>
              <a:prstDash val="dot"/>
            </a:ln>
          </c:spPr>
          <c:marker>
            <c:symbol val="none"/>
          </c:marker>
          <c:xVal>
            <c:numRef>
              <c:f>'Kaverne &amp; Gassäule'!$K$55:$K$79</c:f>
              <c:numCache>
                <c:formatCode>0.0</c:formatCode>
                <c:ptCount val="25"/>
                <c:pt idx="0">
                  <c:v>926.32203680404973</c:v>
                </c:pt>
                <c:pt idx="1">
                  <c:v>921.36648651154201</c:v>
                </c:pt>
                <c:pt idx="2">
                  <c:v>916.43579278043831</c:v>
                </c:pt>
                <c:pt idx="3">
                  <c:v>911.53192593962672</c:v>
                </c:pt>
                <c:pt idx="4">
                  <c:v>906.65680676935699</c:v>
                </c:pt>
                <c:pt idx="5">
                  <c:v>901.81228956803068</c:v>
                </c:pt>
                <c:pt idx="6">
                  <c:v>897.00015115065344</c:v>
                </c:pt>
                <c:pt idx="7">
                  <c:v>892.222086630273</c:v>
                </c:pt>
                <c:pt idx="8">
                  <c:v>887.47971201926009</c:v>
                </c:pt>
                <c:pt idx="9">
                  <c:v>882.77457279218368</c:v>
                </c:pt>
                <c:pt idx="10">
                  <c:v>878.10815671138118</c:v>
                </c:pt>
                <c:pt idx="11">
                  <c:v>873.48190858756857</c:v>
                </c:pt>
                <c:pt idx="12">
                  <c:v>868.89724435846222</c:v>
                </c:pt>
                <c:pt idx="13">
                  <c:v>864.35556197154074</c:v>
                </c:pt>
                <c:pt idx="14">
                  <c:v>859.85824705420976</c:v>
                </c:pt>
                <c:pt idx="15">
                  <c:v>855.40667218201588</c:v>
                </c:pt>
                <c:pt idx="16">
                  <c:v>851.00218948102599</c:v>
                </c:pt>
                <c:pt idx="17">
                  <c:v>846.64611733448464</c:v>
                </c:pt>
                <c:pt idx="18">
                  <c:v>842.33972272629626</c:v>
                </c:pt>
                <c:pt idx="19">
                  <c:v>838.08420130895161</c:v>
                </c:pt>
                <c:pt idx="20">
                  <c:v>833.88065746306995</c:v>
                </c:pt>
                <c:pt idx="21">
                  <c:v>829.73008646458027</c:v>
                </c:pt>
                <c:pt idx="22">
                  <c:v>825.63336044695302</c:v>
                </c:pt>
                <c:pt idx="23">
                  <c:v>821.59121924258886</c:v>
                </c:pt>
                <c:pt idx="24">
                  <c:v>817.60426652443198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D-4BDD-BF19-E33EEE6E581B}"/>
            </c:ext>
          </c:extLst>
        </c:ser>
        <c:ser>
          <c:idx val="4"/>
          <c:order val="4"/>
          <c:tx>
            <c:v>Grenzfall – reines CO₂</c:v>
          </c:tx>
          <c:spPr>
            <a:ln w="19050" cap="rnd">
              <a:solidFill>
                <a:srgbClr val="0476D9"/>
              </a:solidFill>
              <a:prstDash val="dot"/>
            </a:ln>
          </c:spPr>
          <c:marker>
            <c:symbol val="none"/>
          </c:marker>
          <c:xVal>
            <c:numRef>
              <c:f>'Kaverne &amp; Gassäule'!$M$55:$M$79</c:f>
              <c:numCache>
                <c:formatCode>0.0</c:formatCode>
                <c:ptCount val="25"/>
                <c:pt idx="0">
                  <c:v>897.02184242090505</c:v>
                </c:pt>
                <c:pt idx="1">
                  <c:v>891.29696099094076</c:v>
                </c:pt>
                <c:pt idx="2">
                  <c:v>885.59013179289752</c:v>
                </c:pt>
                <c:pt idx="3">
                  <c:v>879.90480437760289</c:v>
                </c:pt>
                <c:pt idx="4">
                  <c:v>874.2444277392234</c:v>
                </c:pt>
                <c:pt idx="5">
                  <c:v>868.61241568352341</c:v>
                </c:pt>
                <c:pt idx="6">
                  <c:v>863.01213022070874</c:v>
                </c:pt>
                <c:pt idx="7">
                  <c:v>857.4468823333757</c:v>
                </c:pt>
                <c:pt idx="8">
                  <c:v>851.91994629564965</c:v>
                </c:pt>
                <c:pt idx="9">
                  <c:v>846.43458122630852</c:v>
                </c:pt>
                <c:pt idx="10">
                  <c:v>840.99405225745625</c:v>
                </c:pt>
                <c:pt idx="11">
                  <c:v>835.60164387285442</c:v>
                </c:pt>
                <c:pt idx="12">
                  <c:v>830.2606596077286</c:v>
                </c:pt>
                <c:pt idx="13">
                  <c:v>824.97440504122233</c:v>
                </c:pt>
                <c:pt idx="14">
                  <c:v>819.74615425736431</c:v>
                </c:pt>
                <c:pt idx="15">
                  <c:v>814.57910309335955</c:v>
                </c:pt>
                <c:pt idx="16">
                  <c:v>809.47631470365286</c:v>
                </c:pt>
                <c:pt idx="17">
                  <c:v>804.44066408788944</c:v>
                </c:pt>
                <c:pt idx="18">
                  <c:v>799.47478794284075</c:v>
                </c:pt>
                <c:pt idx="19">
                  <c:v>794.58104484150067</c:v>
                </c:pt>
                <c:pt idx="20">
                  <c:v>789.7614887078571</c:v>
                </c:pt>
                <c:pt idx="21">
                  <c:v>785.01785637481521</c:v>
                </c:pt>
                <c:pt idx="22">
                  <c:v>780.35156814174218</c:v>
                </c:pt>
                <c:pt idx="23">
                  <c:v>775.76373897866199</c:v>
                </c:pt>
                <c:pt idx="24">
                  <c:v>771.25519744430449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1D-4BDD-BF19-E33EEE6E581B}"/>
            </c:ext>
          </c:extLst>
        </c:ser>
        <c:ser>
          <c:idx val="5"/>
          <c:order val="5"/>
          <c:tx>
            <c:v>leer – reines CO₂</c:v>
          </c:tx>
          <c:spPr>
            <a:ln w="19050" cap="rnd">
              <a:solidFill>
                <a:srgbClr val="EE7203"/>
              </a:solidFill>
              <a:prstDash val="dot"/>
            </a:ln>
          </c:spPr>
          <c:marker>
            <c:symbol val="none"/>
          </c:marker>
          <c:xVal>
            <c:numRef>
              <c:f>'Kaverne &amp; Gassäule'!$O$55:$O$79</c:f>
              <c:numCache>
                <c:formatCode>General</c:formatCode>
                <c:ptCount val="25"/>
                <c:pt idx="0" formatCode="0.0">
                  <c:v>134.97287245577121</c:v>
                </c:pt>
                <c:pt idx="5" formatCode="0.0">
                  <c:v>172.35312893618291</c:v>
                </c:pt>
                <c:pt idx="6" formatCode="0.0">
                  <c:v>172.621519049852</c:v>
                </c:pt>
                <c:pt idx="7" formatCode="0.0">
                  <c:v>172.9361403382413</c:v>
                </c:pt>
                <c:pt idx="8" formatCode="0.0">
                  <c:v>173.2871502061312</c:v>
                </c:pt>
                <c:pt idx="9" formatCode="0.0">
                  <c:v>173.6673159513561</c:v>
                </c:pt>
                <c:pt idx="10" formatCode="0.0">
                  <c:v>174.0711215222214</c:v>
                </c:pt>
                <c:pt idx="11" formatCode="0.0">
                  <c:v>174.49423004274641</c:v>
                </c:pt>
                <c:pt idx="12" formatCode="0.0">
                  <c:v>174.93314967554269</c:v>
                </c:pt>
                <c:pt idx="13" formatCode="0.0">
                  <c:v>175.385018717165</c:v>
                </c:pt>
                <c:pt idx="14" formatCode="0.0">
                  <c:v>175.84746215970779</c:v>
                </c:pt>
                <c:pt idx="15" formatCode="0.0">
                  <c:v>176.3184920198822</c:v>
                </c:pt>
                <c:pt idx="16" formatCode="0.0">
                  <c:v>176.79643510684511</c:v>
                </c:pt>
                <c:pt idx="17" formatCode="0.0">
                  <c:v>177.27987846440661</c:v>
                </c:pt>
                <c:pt idx="18" formatCode="0.0">
                  <c:v>177.76762657287509</c:v>
                </c:pt>
                <c:pt idx="19" formatCode="0.0">
                  <c:v>178.25866668657179</c:v>
                </c:pt>
                <c:pt idx="20" formatCode="0.0">
                  <c:v>178.75214006440939</c:v>
                </c:pt>
                <c:pt idx="21" formatCode="0.0">
                  <c:v>179.2473176918887</c:v>
                </c:pt>
                <c:pt idx="22" formatCode="0.0">
                  <c:v>179.7435796054763</c:v>
                </c:pt>
                <c:pt idx="23" formatCode="0.0">
                  <c:v>180.24039723890161</c:v>
                </c:pt>
                <c:pt idx="24" formatCode="0.0">
                  <c:v>180.73731839070081</c:v>
                </c:pt>
              </c:numCache>
            </c:numRef>
          </c:xVal>
          <c:yVal>
            <c:numRef>
              <c:f>'Kaverne &amp; Gassäule'!$B$55:$B$79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1D-4BDD-BF19-E33EEE6E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ρ [kg/m³]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midCat"/>
        <c:majorUnit val="200"/>
      </c:valAx>
    </c:plotArea>
    <c:legend>
      <c:legendPos val="b"/>
      <c:layout>
        <c:manualLayout>
          <c:xMode val="edge"/>
          <c:yMode val="edge"/>
          <c:x val="0.62104569093156969"/>
          <c:y val="0.6129158273820422"/>
          <c:w val="0.29371123697239143"/>
          <c:h val="0.35297564548617472"/>
        </c:manualLayout>
      </c:layout>
      <c:overlay val="0"/>
      <c:txPr>
        <a:bodyPr/>
        <a:lstStyle/>
        <a:p>
          <a:pPr>
            <a:defRPr sz="800" baseline="0"/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_orig4_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Druckverlauf über die Teufe (Ziel 210 bar in 1200 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CO₂-Gemisch</c:v>
          </c:tx>
          <c:spPr>
            <a:ln w="31750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Medienvergleich!$C$26:$C$50</c:f>
              <c:numCache>
                <c:formatCode>0.0</c:formatCode>
                <c:ptCount val="25"/>
                <c:pt idx="0">
                  <c:v>114.93130198208927</c:v>
                </c:pt>
                <c:pt idx="1">
                  <c:v>119.16100924115156</c:v>
                </c:pt>
                <c:pt idx="2">
                  <c:v>123.36557182169967</c:v>
                </c:pt>
                <c:pt idx="3">
                  <c:v>127.54518251936265</c:v>
                </c:pt>
                <c:pt idx="4">
                  <c:v>131.70004500354221</c:v>
                </c:pt>
                <c:pt idx="5">
                  <c:v>135.83037358755291</c:v>
                </c:pt>
                <c:pt idx="6">
                  <c:v>139.93639309319369</c:v>
                </c:pt>
                <c:pt idx="7">
                  <c:v>144.01833877875904</c:v>
                </c:pt>
                <c:pt idx="8">
                  <c:v>148.07645628272289</c:v>
                </c:pt>
                <c:pt idx="9">
                  <c:v>152.11100152709446</c:v>
                </c:pt>
                <c:pt idx="10">
                  <c:v>156.1222405259621</c:v>
                </c:pt>
                <c:pt idx="11">
                  <c:v>160.11044905533242</c:v>
                </c:pt>
                <c:pt idx="12">
                  <c:v>164.07591215772621</c:v>
                </c:pt>
                <c:pt idx="13">
                  <c:v>168.01892347570219</c:v>
                </c:pt>
                <c:pt idx="14">
                  <c:v>171.93978442887101</c:v>
                </c:pt>
                <c:pt idx="15">
                  <c:v>175.8388032658045</c:v>
                </c:pt>
                <c:pt idx="16">
                  <c:v>179.71629403339674</c:v>
                </c:pt>
                <c:pt idx="17">
                  <c:v>183.57257551082256</c:v>
                </c:pt>
                <c:pt idx="18">
                  <c:v>187.40797015367133</c:v>
                </c:pt>
                <c:pt idx="19">
                  <c:v>191.22280308741125</c:v>
                </c:pt>
                <c:pt idx="20">
                  <c:v>195.01740117986344</c:v>
                </c:pt>
                <c:pt idx="21">
                  <c:v>198.79209221167758</c:v>
                </c:pt>
                <c:pt idx="22">
                  <c:v>202.54720415346492</c:v>
                </c:pt>
                <c:pt idx="23">
                  <c:v>206.28306454936461</c:v>
                </c:pt>
                <c:pt idx="24">
                  <c:v>210</c:v>
                </c:pt>
              </c:numCache>
            </c:numRef>
          </c:xVal>
          <c:yVal>
            <c:numRef>
              <c:f>Medienvergleich!$B$26:$B$50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C-4A2A-AFC1-11C38B40F17D}"/>
            </c:ext>
          </c:extLst>
        </c:ser>
        <c:ser>
          <c:idx val="1"/>
          <c:order val="1"/>
          <c:tx>
            <c:v>Erdgas (CH₄)</c:v>
          </c:tx>
          <c:spPr>
            <a:ln w="31750">
              <a:solidFill>
                <a:srgbClr val="EE7203"/>
              </a:solidFill>
            </a:ln>
          </c:spPr>
          <c:marker>
            <c:symbol val="none"/>
          </c:marker>
          <c:xVal>
            <c:numRef>
              <c:f>Medienvergleich!$G$26:$G$50</c:f>
              <c:numCache>
                <c:formatCode>0.0</c:formatCode>
                <c:ptCount val="25"/>
                <c:pt idx="0">
                  <c:v>191.70534274066219</c:v>
                </c:pt>
                <c:pt idx="1">
                  <c:v>192.52379911027771</c:v>
                </c:pt>
                <c:pt idx="2">
                  <c:v>193.33658532431599</c:v>
                </c:pt>
                <c:pt idx="3">
                  <c:v>194.14382581401239</c:v>
                </c:pt>
                <c:pt idx="4">
                  <c:v>194.9456412954687</c:v>
                </c:pt>
                <c:pt idx="5">
                  <c:v>195.74214887277981</c:v>
                </c:pt>
                <c:pt idx="6">
                  <c:v>196.53346214151821</c:v>
                </c:pt>
                <c:pt idx="7">
                  <c:v>197.31969129205709</c:v>
                </c:pt>
                <c:pt idx="8">
                  <c:v>198.10094321227609</c:v>
                </c:pt>
                <c:pt idx="9">
                  <c:v>198.87732158927039</c:v>
                </c:pt>
                <c:pt idx="10">
                  <c:v>199.64892700973121</c:v>
                </c:pt>
                <c:pt idx="11">
                  <c:v>200.41585705872819</c:v>
                </c:pt>
                <c:pt idx="12">
                  <c:v>201.17820641666481</c:v>
                </c:pt>
                <c:pt idx="13">
                  <c:v>201.93606695422011</c:v>
                </c:pt>
                <c:pt idx="14">
                  <c:v>202.68952782513051</c:v>
                </c:pt>
                <c:pt idx="15">
                  <c:v>203.4386755566926</c:v>
                </c:pt>
                <c:pt idx="16">
                  <c:v>204.1835941379002</c:v>
                </c:pt>
                <c:pt idx="17">
                  <c:v>204.92436510515191</c:v>
                </c:pt>
                <c:pt idx="18">
                  <c:v>205.66106762548699</c:v>
                </c:pt>
                <c:pt idx="19">
                  <c:v>206.3937785773266</c:v>
                </c:pt>
                <c:pt idx="20">
                  <c:v>207.1225726287141</c:v>
                </c:pt>
                <c:pt idx="21">
                  <c:v>207.84752231306001</c:v>
                </c:pt>
                <c:pt idx="22">
                  <c:v>208.56869810241059</c:v>
                </c:pt>
                <c:pt idx="23">
                  <c:v>209.28616847826811</c:v>
                </c:pt>
                <c:pt idx="24">
                  <c:v>210</c:v>
                </c:pt>
              </c:numCache>
            </c:numRef>
          </c:xVal>
          <c:yVal>
            <c:numRef>
              <c:f>Medienvergleich!$B$26:$B$50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C-4A2A-AFC1-11C38B40F17D}"/>
            </c:ext>
          </c:extLst>
        </c:ser>
        <c:ser>
          <c:idx val="2"/>
          <c:order val="2"/>
          <c:tx>
            <c:v>Wasserstoff (H₂)</c:v>
          </c:tx>
          <c:spPr>
            <a:ln w="31750">
              <a:solidFill>
                <a:srgbClr val="0476D9"/>
              </a:solidFill>
            </a:ln>
          </c:spPr>
          <c:marker>
            <c:symbol val="none"/>
          </c:marker>
          <c:xVal>
            <c:numRef>
              <c:f>Medienvergleich!$I$26:$I$50</c:f>
              <c:numCache>
                <c:formatCode>0.0</c:formatCode>
                <c:ptCount val="25"/>
                <c:pt idx="0">
                  <c:v>208.241191221202</c:v>
                </c:pt>
                <c:pt idx="1">
                  <c:v>208.31816153818531</c:v>
                </c:pt>
                <c:pt idx="2">
                  <c:v>208.39478875352</c:v>
                </c:pt>
                <c:pt idx="3">
                  <c:v>208.4710761816751</c:v>
                </c:pt>
                <c:pt idx="4">
                  <c:v>208.54702708707711</c:v>
                </c:pt>
                <c:pt idx="5">
                  <c:v>208.62264468514221</c:v>
                </c:pt>
                <c:pt idx="6">
                  <c:v>208.69793214327979</c:v>
                </c:pt>
                <c:pt idx="7">
                  <c:v>208.7728925818721</c:v>
                </c:pt>
                <c:pt idx="8">
                  <c:v>208.84752907522599</c:v>
                </c:pt>
                <c:pt idx="9">
                  <c:v>208.92184465250301</c:v>
                </c:pt>
                <c:pt idx="10">
                  <c:v>208.99584229862339</c:v>
                </c:pt>
                <c:pt idx="11">
                  <c:v>209.06952495514909</c:v>
                </c:pt>
                <c:pt idx="12">
                  <c:v>209.1428955211428</c:v>
                </c:pt>
                <c:pt idx="13">
                  <c:v>209.21595685400649</c:v>
                </c:pt>
                <c:pt idx="14">
                  <c:v>209.28871177029879</c:v>
                </c:pt>
                <c:pt idx="15">
                  <c:v>209.36116304653191</c:v>
                </c:pt>
                <c:pt idx="16">
                  <c:v>209.43331341994849</c:v>
                </c:pt>
                <c:pt idx="17">
                  <c:v>209.50516558928081</c:v>
                </c:pt>
                <c:pt idx="18">
                  <c:v>209.57672221548941</c:v>
                </c:pt>
                <c:pt idx="19">
                  <c:v>209.6479859224853</c:v>
                </c:pt>
                <c:pt idx="20">
                  <c:v>209.71895929783389</c:v>
                </c:pt>
                <c:pt idx="21">
                  <c:v>209.78964489344239</c:v>
                </c:pt>
                <c:pt idx="22">
                  <c:v>209.86004522623051</c:v>
                </c:pt>
                <c:pt idx="23">
                  <c:v>209.93016277878519</c:v>
                </c:pt>
                <c:pt idx="24">
                  <c:v>210</c:v>
                </c:pt>
              </c:numCache>
            </c:numRef>
          </c:xVal>
          <c:yVal>
            <c:numRef>
              <c:f>Medienvergleich!$B$26:$B$50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6C-4A2A-AFC1-11C38B40F17D}"/>
            </c:ext>
          </c:extLst>
        </c:ser>
        <c:ser>
          <c:idx val="3"/>
          <c:order val="3"/>
          <c:tx>
            <c:v>reines CO₂</c:v>
          </c:tx>
          <c:spPr>
            <a:ln w="25400">
              <a:solidFill>
                <a:srgbClr val="00304F"/>
              </a:solidFill>
              <a:prstDash val="dash"/>
            </a:ln>
          </c:spPr>
          <c:marker>
            <c:symbol val="none"/>
          </c:marker>
          <c:xVal>
            <c:numRef>
              <c:f>Medienvergleich!$E$26:$E$50</c:f>
              <c:numCache>
                <c:formatCode>0.0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xVal>
          <c:yVal>
            <c:numRef>
              <c:f>Medienvergleich!$B$26:$B$50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1-446D-87D9-4B9FD9C91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  <c:max val="25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Druck p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crossBetween val="midCat"/>
        <c:majorUnit val="50"/>
      </c:valAx>
      <c:valAx>
        <c:axId val="5004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Teufe z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midCat"/>
        <c:majorUnit val="2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4_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Nötiger Kopfdruck über der Teufe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CO₂-Gemisch</c:v>
          </c:tx>
          <c:spPr>
            <a:ln w="28575">
              <a:solidFill>
                <a:srgbClr val="007335"/>
              </a:solidFill>
            </a:ln>
          </c:spPr>
          <c:marker>
            <c:symbol val="circle"/>
            <c:size val="6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Medienvergleich!$C$8:$C$13</c:f>
              <c:numCache>
                <c:formatCode>0.0</c:formatCode>
                <c:ptCount val="6"/>
                <c:pt idx="0">
                  <c:v>158.49007700975989</c:v>
                </c:pt>
                <c:pt idx="1">
                  <c:v>142.98603185892631</c:v>
                </c:pt>
                <c:pt idx="2">
                  <c:v>128.43730033737981</c:v>
                </c:pt>
                <c:pt idx="3">
                  <c:v>114.93130198208927</c:v>
                </c:pt>
                <c:pt idx="4">
                  <c:v>102.56218916081785</c:v>
                </c:pt>
                <c:pt idx="5">
                  <c:v>91.424680354495692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B-4F6E-A862-B1C872E8AE46}"/>
            </c:ext>
          </c:extLst>
        </c:ser>
        <c:ser>
          <c:idx val="1"/>
          <c:order val="1"/>
          <c:tx>
            <c:v>Erdgas (CH₄)</c:v>
          </c:tx>
          <c:spPr>
            <a:ln w="28575">
              <a:solidFill>
                <a:srgbClr val="EE7203"/>
              </a:solidFill>
            </a:ln>
          </c:spPr>
          <c:marker>
            <c:symbol val="circle"/>
            <c:size val="6"/>
            <c:spPr>
              <a:solidFill>
                <a:srgbClr val="EE7203"/>
              </a:solidFill>
              <a:ln>
                <a:solidFill>
                  <a:srgbClr val="EE7203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Medienvergleich!$E$8:$E$13</c:f>
              <c:numCache>
                <c:formatCode>0.0</c:formatCode>
                <c:ptCount val="6"/>
                <c:pt idx="0">
                  <c:v>200.16600942229849</c:v>
                </c:pt>
                <c:pt idx="1">
                  <c:v>197.20927492428419</c:v>
                </c:pt>
                <c:pt idx="2">
                  <c:v>194.39267671096141</c:v>
                </c:pt>
                <c:pt idx="3">
                  <c:v>191.70534274066219</c:v>
                </c:pt>
                <c:pt idx="4">
                  <c:v>189.1373555557519</c:v>
                </c:pt>
                <c:pt idx="5">
                  <c:v>186.67970597588419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9B-4F6E-A862-B1C872E8AE46}"/>
            </c:ext>
          </c:extLst>
        </c:ser>
        <c:ser>
          <c:idx val="2"/>
          <c:order val="2"/>
          <c:tx>
            <c:v>Wasserstoff (H₂)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Medienvergleich!$F$8:$F$13</c:f>
              <c:numCache>
                <c:formatCode>0.0</c:formatCode>
                <c:ptCount val="6"/>
                <c:pt idx="0">
                  <c:v>209.095008669397</c:v>
                </c:pt>
                <c:pt idx="1">
                  <c:v>208.80500493947619</c:v>
                </c:pt>
                <c:pt idx="2">
                  <c:v>208.5204660223911</c:v>
                </c:pt>
                <c:pt idx="3">
                  <c:v>208.241191221202</c:v>
                </c:pt>
                <c:pt idx="4">
                  <c:v>207.9669908462842</c:v>
                </c:pt>
                <c:pt idx="5">
                  <c:v>207.697685413979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9B-4F6E-A862-B1C872E8AE46}"/>
            </c:ext>
          </c:extLst>
        </c:ser>
        <c:ser>
          <c:idx val="3"/>
          <c:order val="3"/>
          <c:tx>
            <c:v>Zieldruck unten</c:v>
          </c:tx>
          <c:spPr>
            <a:ln w="15875">
              <a:solidFill>
                <a:srgbClr val="7F7F7F"/>
              </a:solidFill>
              <a:prstDash val="dash"/>
            </a:ln>
          </c:spPr>
          <c:marker>
            <c:symbol val="none"/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Medienvergleich!$G$8:$G$13</c:f>
              <c:numCache>
                <c:formatCode>0.0</c:formatCode>
                <c:ptCount val="6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9B-4F6E-A862-B1C872E8AE46}"/>
            </c:ext>
          </c:extLst>
        </c:ser>
        <c:ser>
          <c:idx val="4"/>
          <c:order val="4"/>
          <c:tx>
            <c:v>reines CO₂</c:v>
          </c:tx>
          <c:spPr>
            <a:ln w="25400">
              <a:solidFill>
                <a:srgbClr val="00304F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0304F"/>
              </a:solidFill>
              <a:ln w="25400">
                <a:solidFill>
                  <a:srgbClr val="00304F"/>
                </a:solidFill>
                <a:prstDash val="lgDash"/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Medienvergleich!$D$8:$D$13</c:f>
              <c:numCache>
                <c:formatCode>0.0</c:formatCode>
                <c:ptCount val="6"/>
                <c:pt idx="0">
                  <c:v>155.16616512291739</c:v>
                </c:pt>
                <c:pt idx="1">
                  <c:v>138.41709225398901</c:v>
                </c:pt>
                <c:pt idx="2">
                  <c:v>122.5367242536628</c:v>
                </c:pt>
                <c:pt idx="3">
                  <c:v>107.603219569636</c:v>
                </c:pt>
                <c:pt idx="4">
                  <c:v>93.70583884822787</c:v>
                </c:pt>
                <c:pt idx="5">
                  <c:v>80.943840898339673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1-4996-A84E-06D9B2CE6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Teufe der Kaverne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crossBetween val="midCat"/>
        <c:majorUnit val="200"/>
      </c:valAx>
      <c:valAx>
        <c:axId val="50050002"/>
        <c:scaling>
          <c:orientation val="minMax"/>
          <c:max val="25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Kopfdruck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midCat"/>
        <c:majorUnit val="50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4_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Druckgewinn durch die Säule bei 1200 m [bar]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Säulengewinn</c:v>
          </c:tx>
          <c:invertIfNegative val="0"/>
          <c:dPt>
            <c:idx val="0"/>
            <c:invertIfNegative val="0"/>
            <c:bubble3D val="0"/>
            <c:spPr>
              <a:solidFill>
                <a:srgbClr val="007335"/>
              </a:solidFill>
            </c:spPr>
            <c:extLst>
              <c:ext xmlns:c16="http://schemas.microsoft.com/office/drawing/2014/chart" uri="{C3380CC4-5D6E-409C-BE32-E72D297353CC}">
                <c16:uniqueId val="{00000000-9256-40C9-A995-B4AAAC1A4D96}"/>
              </c:ext>
            </c:extLst>
          </c:dPt>
          <c:dPt>
            <c:idx val="1"/>
            <c:invertIfNegative val="0"/>
            <c:bubble3D val="0"/>
            <c:spPr>
              <a:solidFill>
                <a:srgbClr val="EE7203"/>
              </a:solidFill>
            </c:spPr>
            <c:extLst>
              <c:ext xmlns:c16="http://schemas.microsoft.com/office/drawing/2014/chart" uri="{C3380CC4-5D6E-409C-BE32-E72D297353CC}">
                <c16:uniqueId val="{00000001-9256-40C9-A995-B4AAAC1A4D96}"/>
              </c:ext>
            </c:extLst>
          </c:dPt>
          <c:dPt>
            <c:idx val="2"/>
            <c:invertIfNegative val="0"/>
            <c:bubble3D val="0"/>
            <c:spPr>
              <a:solidFill>
                <a:srgbClr val="0476D9"/>
              </a:solidFill>
            </c:spPr>
            <c:extLst>
              <c:ext xmlns:c16="http://schemas.microsoft.com/office/drawing/2014/chart" uri="{C3380CC4-5D6E-409C-BE32-E72D297353CC}">
                <c16:uniqueId val="{00000002-9256-40C9-A995-B4AAAC1A4D96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Medienvergleich!$B$18:$B$21</c:f>
              <c:strCache>
                <c:ptCount val="4"/>
                <c:pt idx="0">
                  <c:v>CO₂-Gemisch</c:v>
                </c:pt>
                <c:pt idx="1">
                  <c:v>reines CO₂</c:v>
                </c:pt>
                <c:pt idx="2">
                  <c:v>Erdgas (CH₄)</c:v>
                </c:pt>
                <c:pt idx="3">
                  <c:v>Wasserstoff (H₂)</c:v>
                </c:pt>
              </c:strCache>
            </c:strRef>
          </c:cat>
          <c:val>
            <c:numRef>
              <c:f>Medienvergleich!$D$18:$D$21</c:f>
              <c:numCache>
                <c:formatCode>0.0</c:formatCode>
                <c:ptCount val="4"/>
                <c:pt idx="0">
                  <c:v>95.068698017910734</c:v>
                </c:pt>
                <c:pt idx="1">
                  <c:v>102.396780430364</c:v>
                </c:pt>
                <c:pt idx="2">
                  <c:v>18.294657259337811</c:v>
                </c:pt>
                <c:pt idx="3">
                  <c:v>1.7588087787979987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6-40C9-A995-B4AAAC1A4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5_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S1 im Phasendiagramm: dicht anliefern, pumpen (Worst-Case-Gemisch)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Diagrammdaten!$C$128:$C$288</c:f>
              <c:strCache>
                <c:ptCount val="16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</c:strCache>
            </c:strRef>
          </c:cat>
          <c:val>
            <c:numRef>
              <c:f>Diagrammdaten!$D$128:$D$288</c:f>
              <c:numCache>
                <c:formatCode>General</c:formatCode>
                <c:ptCount val="161"/>
                <c:pt idx="0">
                  <c:v>21.019382247337123</c:v>
                </c:pt>
                <c:pt idx="1">
                  <c:v>21.349243928996074</c:v>
                </c:pt>
                <c:pt idx="2">
                  <c:v>21.682967151690651</c:v>
                </c:pt>
                <c:pt idx="3">
                  <c:v>22.020583480496693</c:v>
                </c:pt>
                <c:pt idx="4">
                  <c:v>22.362124772082222</c:v>
                </c:pt>
                <c:pt idx="5">
                  <c:v>22.707623184526081</c:v>
                </c:pt>
                <c:pt idx="6">
                  <c:v>23.057111187672984</c:v>
                </c:pt>
                <c:pt idx="7">
                  <c:v>23.410621573866361</c:v>
                </c:pt>
                <c:pt idx="8">
                  <c:v>23.768187469338002</c:v>
                </c:pt>
                <c:pt idx="9">
                  <c:v>24.12984234599627</c:v>
                </c:pt>
                <c:pt idx="10">
                  <c:v>24.495620033870402</c:v>
                </c:pt>
                <c:pt idx="11">
                  <c:v>24.865534504483001</c:v>
                </c:pt>
                <c:pt idx="12">
                  <c:v>25.239681032717183</c:v>
                </c:pt>
                <c:pt idx="13">
                  <c:v>25.618033914754317</c:v>
                </c:pt>
                <c:pt idx="14">
                  <c:v>26.000648779532593</c:v>
                </c:pt>
                <c:pt idx="15">
                  <c:v>26.387561456360864</c:v>
                </c:pt>
                <c:pt idx="16">
                  <c:v>26.77880822122118</c:v>
                </c:pt>
                <c:pt idx="17">
                  <c:v>27.174425814219134</c:v>
                </c:pt>
                <c:pt idx="18">
                  <c:v>27.574451458074829</c:v>
                </c:pt>
                <c:pt idx="19">
                  <c:v>27.978922877476542</c:v>
                </c:pt>
                <c:pt idx="20">
                  <c:v>28.387878319565097</c:v>
                </c:pt>
                <c:pt idx="21">
                  <c:v>28.801356575535983</c:v>
                </c:pt>
                <c:pt idx="22">
                  <c:v>29.21966600247509</c:v>
                </c:pt>
                <c:pt idx="23">
                  <c:v>29.644089510561468</c:v>
                </c:pt>
                <c:pt idx="24">
                  <c:v>30.069598596144392</c:v>
                </c:pt>
                <c:pt idx="25">
                  <c:v>30.503380530925153</c:v>
                </c:pt>
                <c:pt idx="26">
                  <c:v>30.937988822707315</c:v>
                </c:pt>
                <c:pt idx="27">
                  <c:v>31.379452087235325</c:v>
                </c:pt>
                <c:pt idx="28">
                  <c:v>31.82572702823888</c:v>
                </c:pt>
                <c:pt idx="29">
                  <c:v>32.276857732169212</c:v>
                </c:pt>
                <c:pt idx="30">
                  <c:v>32.732889090722054</c:v>
                </c:pt>
                <c:pt idx="31">
                  <c:v>33.193866839690045</c:v>
                </c:pt>
                <c:pt idx="32">
                  <c:v>33.659837600410995</c:v>
                </c:pt>
                <c:pt idx="33">
                  <c:v>34.130848923988133</c:v>
                </c:pt>
                <c:pt idx="34">
                  <c:v>34.606949338621241</c:v>
                </c:pt>
                <c:pt idx="35">
                  <c:v>35.088188400233264</c:v>
                </c:pt>
                <c:pt idx="36">
                  <c:v>35.574616746776918</c:v>
                </c:pt>
                <c:pt idx="37">
                  <c:v>36.066286156425733</c:v>
                </c:pt>
                <c:pt idx="38">
                  <c:v>36.563249610200728</c:v>
                </c:pt>
                <c:pt idx="39">
                  <c:v>37.065561359218584</c:v>
                </c:pt>
                <c:pt idx="40">
                  <c:v>37.573276997210179</c:v>
                </c:pt>
                <c:pt idx="41">
                  <c:v>38.086453538633471</c:v>
                </c:pt>
                <c:pt idx="42">
                  <c:v>38.60514950304249</c:v>
                </c:pt>
                <c:pt idx="43">
                  <c:v>39.129425006292543</c:v>
                </c:pt>
                <c:pt idx="44">
                  <c:v>39.659341859162808</c:v>
                </c:pt>
                <c:pt idx="45">
                  <c:v>40.19496367434504</c:v>
                </c:pt>
                <c:pt idx="46">
                  <c:v>40.736355982418857</c:v>
                </c:pt>
                <c:pt idx="47">
                  <c:v>41.283586357901441</c:v>
                </c:pt>
                <c:pt idx="48">
                  <c:v>41.836420633447588</c:v>
                </c:pt>
                <c:pt idx="49">
                  <c:v>42.3958426640854</c:v>
                </c:pt>
                <c:pt idx="50">
                  <c:v>42.961015260630354</c:v>
                </c:pt>
                <c:pt idx="51">
                  <c:v>43.532319597590259</c:v>
                </c:pt>
                <c:pt idx="52">
                  <c:v>44.109835793581581</c:v>
                </c:pt>
                <c:pt idx="53">
                  <c:v>44.693647048409758</c:v>
                </c:pt>
                <c:pt idx="54">
                  <c:v>45.283839878592119</c:v>
                </c:pt>
                <c:pt idx="55">
                  <c:v>45.880504376789766</c:v>
                </c:pt>
                <c:pt idx="56">
                  <c:v>46.483734498420105</c:v>
                </c:pt>
                <c:pt idx="57">
                  <c:v>47.093628379086717</c:v>
                </c:pt>
                <c:pt idx="58">
                  <c:v>47.710288687124077</c:v>
                </c:pt>
                <c:pt idx="59">
                  <c:v>48.333823016385388</c:v>
                </c:pt>
                <c:pt idx="60">
                  <c:v>48.964344325289865</c:v>
                </c:pt>
                <c:pt idx="61">
                  <c:v>49.601909301745991</c:v>
                </c:pt>
                <c:pt idx="62">
                  <c:v>50.246829555681302</c:v>
                </c:pt>
                <c:pt idx="63">
                  <c:v>50.899050970206332</c:v>
                </c:pt>
                <c:pt idx="64">
                  <c:v>51.558775689360345</c:v>
                </c:pt>
                <c:pt idx="65">
                  <c:v>52.226152292085246</c:v>
                </c:pt>
                <c:pt idx="66">
                  <c:v>52.901338850141386</c:v>
                </c:pt>
                <c:pt idx="67">
                  <c:v>53.584503999302882</c:v>
                </c:pt>
                <c:pt idx="68">
                  <c:v>54.275828179093409</c:v>
                </c:pt>
                <c:pt idx="69">
                  <c:v>54.975505075157592</c:v>
                </c:pt>
                <c:pt idx="70">
                  <c:v>55.683743306690538</c:v>
                </c:pt>
                <c:pt idx="71">
                  <c:v>56.400768411846606</c:v>
                </c:pt>
                <c:pt idx="72">
                  <c:v>57.126825197876414</c:v>
                </c:pt>
                <c:pt idx="73">
                  <c:v>57.862180540579779</c:v>
                </c:pt>
                <c:pt idx="74">
                  <c:v>58.607126741337744</c:v>
                </c:pt>
                <c:pt idx="75">
                  <c:v>59.361985581713512</c:v>
                </c:pt>
                <c:pt idx="76">
                  <c:v>60.131197783688393</c:v>
                </c:pt>
                <c:pt idx="77">
                  <c:v>60.94092026147699</c:v>
                </c:pt>
                <c:pt idx="78">
                  <c:v>61.750642739265587</c:v>
                </c:pt>
                <c:pt idx="79">
                  <c:v>62.560365217054184</c:v>
                </c:pt>
                <c:pt idx="80">
                  <c:v>63.37008769484278</c:v>
                </c:pt>
                <c:pt idx="81">
                  <c:v>64.179810172631377</c:v>
                </c:pt>
                <c:pt idx="82">
                  <c:v>64.989532650419974</c:v>
                </c:pt>
                <c:pt idx="83">
                  <c:v>65.817354559425965</c:v>
                </c:pt>
                <c:pt idx="84">
                  <c:v>66.703568505223032</c:v>
                </c:pt>
                <c:pt idx="85">
                  <c:v>67.589782451020099</c:v>
                </c:pt>
                <c:pt idx="86">
                  <c:v>68.475996396817166</c:v>
                </c:pt>
                <c:pt idx="87">
                  <c:v>69.40522495773665</c:v>
                </c:pt>
                <c:pt idx="88">
                  <c:v>70.363800093024707</c:v>
                </c:pt>
                <c:pt idx="89">
                  <c:v>71.322375228312765</c:v>
                </c:pt>
                <c:pt idx="90">
                  <c:v>72.325229642539654</c:v>
                </c:pt>
                <c:pt idx="91">
                  <c:v>73.38015838022605</c:v>
                </c:pt>
                <c:pt idx="92">
                  <c:v>74.43508711791246</c:v>
                </c:pt>
                <c:pt idx="93">
                  <c:v>75.61815476681673</c:v>
                </c:pt>
                <c:pt idx="94">
                  <c:v>76.817922880286346</c:v>
                </c:pt>
                <c:pt idx="95">
                  <c:v>78.254414833855236</c:v>
                </c:pt>
                <c:pt idx="96">
                  <c:v>81.455055721913254</c:v>
                </c:pt>
                <c:pt idx="97">
                  <c:v>81.455055721913254</c:v>
                </c:pt>
                <c:pt idx="98">
                  <c:v>81.455055721913254</c:v>
                </c:pt>
                <c:pt idx="99">
                  <c:v>81.455055721913254</c:v>
                </c:pt>
                <c:pt idx="100">
                  <c:v>81.455055721913254</c:v>
                </c:pt>
                <c:pt idx="101">
                  <c:v>81.455055721913254</c:v>
                </c:pt>
                <c:pt idx="102">
                  <c:v>81.455055721913254</c:v>
                </c:pt>
                <c:pt idx="103">
                  <c:v>81.455055721913254</c:v>
                </c:pt>
                <c:pt idx="104">
                  <c:v>81.455055721913254</c:v>
                </c:pt>
                <c:pt idx="105">
                  <c:v>81.455055721913254</c:v>
                </c:pt>
                <c:pt idx="106">
                  <c:v>81.455055721913254</c:v>
                </c:pt>
                <c:pt idx="107">
                  <c:v>81.455055721913254</c:v>
                </c:pt>
                <c:pt idx="108">
                  <c:v>81.455055721913254</c:v>
                </c:pt>
                <c:pt idx="109">
                  <c:v>81.455055721913254</c:v>
                </c:pt>
                <c:pt idx="110">
                  <c:v>81.455055721913254</c:v>
                </c:pt>
                <c:pt idx="111">
                  <c:v>81.455055721913254</c:v>
                </c:pt>
                <c:pt idx="112">
                  <c:v>81.455055721913254</c:v>
                </c:pt>
                <c:pt idx="113">
                  <c:v>81.455055721913254</c:v>
                </c:pt>
                <c:pt idx="114">
                  <c:v>81.455055721913254</c:v>
                </c:pt>
                <c:pt idx="115">
                  <c:v>81.455055721913254</c:v>
                </c:pt>
                <c:pt idx="116">
                  <c:v>81.455055721913254</c:v>
                </c:pt>
                <c:pt idx="117">
                  <c:v>81.455055721913254</c:v>
                </c:pt>
                <c:pt idx="118">
                  <c:v>81.455055721913254</c:v>
                </c:pt>
                <c:pt idx="119">
                  <c:v>81.455055721913254</c:v>
                </c:pt>
                <c:pt idx="120">
                  <c:v>81.455055721913254</c:v>
                </c:pt>
                <c:pt idx="121">
                  <c:v>81.455055721913254</c:v>
                </c:pt>
                <c:pt idx="122">
                  <c:v>81.455055721913254</c:v>
                </c:pt>
                <c:pt idx="123">
                  <c:v>81.455055721913254</c:v>
                </c:pt>
                <c:pt idx="124">
                  <c:v>81.455055721913254</c:v>
                </c:pt>
                <c:pt idx="125">
                  <c:v>81.455055721913254</c:v>
                </c:pt>
                <c:pt idx="126">
                  <c:v>81.455055721913254</c:v>
                </c:pt>
                <c:pt idx="127">
                  <c:v>81.455055721913254</c:v>
                </c:pt>
                <c:pt idx="128">
                  <c:v>81.455055721913254</c:v>
                </c:pt>
                <c:pt idx="129">
                  <c:v>81.455055721913254</c:v>
                </c:pt>
                <c:pt idx="130">
                  <c:v>81.455055721913254</c:v>
                </c:pt>
                <c:pt idx="131">
                  <c:v>81.455055721913254</c:v>
                </c:pt>
                <c:pt idx="132">
                  <c:v>81.455055721913254</c:v>
                </c:pt>
                <c:pt idx="133">
                  <c:v>81.455055721913254</c:v>
                </c:pt>
                <c:pt idx="134">
                  <c:v>81.455055721913254</c:v>
                </c:pt>
                <c:pt idx="135">
                  <c:v>81.455055721913254</c:v>
                </c:pt>
                <c:pt idx="136">
                  <c:v>81.455055721913254</c:v>
                </c:pt>
                <c:pt idx="137">
                  <c:v>81.455055721913254</c:v>
                </c:pt>
                <c:pt idx="138">
                  <c:v>81.455055721913254</c:v>
                </c:pt>
                <c:pt idx="139">
                  <c:v>81.455055721913254</c:v>
                </c:pt>
                <c:pt idx="140">
                  <c:v>81.455055721913254</c:v>
                </c:pt>
                <c:pt idx="141">
                  <c:v>81.455055721913254</c:v>
                </c:pt>
                <c:pt idx="142">
                  <c:v>81.455055721913254</c:v>
                </c:pt>
                <c:pt idx="143">
                  <c:v>81.455055721913254</c:v>
                </c:pt>
                <c:pt idx="144">
                  <c:v>81.455055721913254</c:v>
                </c:pt>
                <c:pt idx="145">
                  <c:v>81.455055721913254</c:v>
                </c:pt>
                <c:pt idx="146">
                  <c:v>81.455055721913254</c:v>
                </c:pt>
                <c:pt idx="147">
                  <c:v>81.455055721913254</c:v>
                </c:pt>
                <c:pt idx="148">
                  <c:v>81.455055721913254</c:v>
                </c:pt>
                <c:pt idx="149">
                  <c:v>81.455055721913254</c:v>
                </c:pt>
                <c:pt idx="150">
                  <c:v>81.455055721913254</c:v>
                </c:pt>
                <c:pt idx="151">
                  <c:v>81.455055721913254</c:v>
                </c:pt>
                <c:pt idx="152">
                  <c:v>81.455055721913254</c:v>
                </c:pt>
                <c:pt idx="153">
                  <c:v>81.455055721913254</c:v>
                </c:pt>
                <c:pt idx="154">
                  <c:v>81.455055721913254</c:v>
                </c:pt>
                <c:pt idx="155">
                  <c:v>81.455055721913254</c:v>
                </c:pt>
                <c:pt idx="156">
                  <c:v>81.455055721913254</c:v>
                </c:pt>
                <c:pt idx="157">
                  <c:v>81.455055721913254</c:v>
                </c:pt>
                <c:pt idx="158">
                  <c:v>81.455055721913254</c:v>
                </c:pt>
                <c:pt idx="159">
                  <c:v>81.455055721913254</c:v>
                </c:pt>
                <c:pt idx="160">
                  <c:v>81.455055721913254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2-4AA2-A5E5-E42C5A32E27A}"/>
            </c:ext>
          </c:extLst>
        </c:ser>
        <c:ser>
          <c:idx val="1"/>
          <c:order val="1"/>
          <c:tx>
            <c:strRef>
              <c:f>Diagrammdaten!$H$7</c:f>
              <c:strCache>
                <c:ptCount val="1"/>
                <c:pt idx="0">
                  <c:v>zweiphasig [bar]</c:v>
                </c:pt>
              </c:strCache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Diagrammdaten!$C$128:$C$288</c:f>
              <c:strCache>
                <c:ptCount val="16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</c:strCache>
            </c:strRef>
          </c:cat>
          <c:val>
            <c:numRef>
              <c:f>Diagrammdaten!$H$128:$H$288</c:f>
              <c:numCache>
                <c:formatCode>General</c:formatCode>
                <c:ptCount val="161"/>
                <c:pt idx="0">
                  <c:v>27.889712345938602</c:v>
                </c:pt>
                <c:pt idx="1">
                  <c:v>27.7356797829489</c:v>
                </c:pt>
                <c:pt idx="2">
                  <c:v>27.582518633945266</c:v>
                </c:pt>
                <c:pt idx="3">
                  <c:v>27.430182685894895</c:v>
                </c:pt>
                <c:pt idx="4">
                  <c:v>27.278625924175163</c:v>
                </c:pt>
                <c:pt idx="5">
                  <c:v>27.127802485424557</c:v>
                </c:pt>
                <c:pt idx="6">
                  <c:v>26.977666626624814</c:v>
                </c:pt>
                <c:pt idx="7">
                  <c:v>26.828172689814085</c:v>
                </c:pt>
                <c:pt idx="8">
                  <c:v>26.679275067686859</c:v>
                </c:pt>
                <c:pt idx="9">
                  <c:v>26.530928169258171</c:v>
                </c:pt>
                <c:pt idx="10">
                  <c:v>26.383086385531215</c:v>
                </c:pt>
                <c:pt idx="11">
                  <c:v>26.235724284797229</c:v>
                </c:pt>
                <c:pt idx="12">
                  <c:v>26.088735429977124</c:v>
                </c:pt>
                <c:pt idx="13">
                  <c:v>25.942134640404841</c:v>
                </c:pt>
                <c:pt idx="14">
                  <c:v>25.795855660508817</c:v>
                </c:pt>
                <c:pt idx="15">
                  <c:v>25.649852272701452</c:v>
                </c:pt>
                <c:pt idx="16">
                  <c:v>25.504078031716734</c:v>
                </c:pt>
                <c:pt idx="17">
                  <c:v>25.358486228024951</c:v>
                </c:pt>
                <c:pt idx="18">
                  <c:v>25.213029850092948</c:v>
                </c:pt>
                <c:pt idx="19">
                  <c:v>25.067661545601041</c:v>
                </c:pt>
                <c:pt idx="20">
                  <c:v>24.922333581097384</c:v>
                </c:pt>
                <c:pt idx="21">
                  <c:v>24.776997799896648</c:v>
                </c:pt>
                <c:pt idx="22">
                  <c:v>24.631336578838134</c:v>
                </c:pt>
                <c:pt idx="23">
                  <c:v>24.484057818450818</c:v>
                </c:pt>
                <c:pt idx="24">
                  <c:v>24.339976664075426</c:v>
                </c:pt>
                <c:pt idx="25">
                  <c:v>24.192509398302992</c:v>
                </c:pt>
                <c:pt idx="26">
                  <c:v>24.048480736166471</c:v>
                </c:pt>
                <c:pt idx="27">
                  <c:v>23.902057137392948</c:v>
                </c:pt>
                <c:pt idx="28">
                  <c:v>23.755272683840936</c:v>
                </c:pt>
                <c:pt idx="29">
                  <c:v>23.608073967583614</c:v>
                </c:pt>
                <c:pt idx="30">
                  <c:v>23.460406625214745</c:v>
                </c:pt>
                <c:pt idx="31">
                  <c:v>23.312215250677021</c:v>
                </c:pt>
                <c:pt idx="32">
                  <c:v>23.163443299727874</c:v>
                </c:pt>
                <c:pt idx="33">
                  <c:v>23.014032985302606</c:v>
                </c:pt>
                <c:pt idx="34">
                  <c:v>22.86392516272636</c:v>
                </c:pt>
                <c:pt idx="35">
                  <c:v>22.713059204025228</c:v>
                </c:pt>
                <c:pt idx="36">
                  <c:v>22.561372860469525</c:v>
                </c:pt>
                <c:pt idx="37">
                  <c:v>22.408802112505327</c:v>
                </c:pt>
                <c:pt idx="38">
                  <c:v>22.255281006314725</c:v>
                </c:pt>
                <c:pt idx="39">
                  <c:v>22.100741476466304</c:v>
                </c:pt>
                <c:pt idx="40">
                  <c:v>21.945113153903144</c:v>
                </c:pt>
                <c:pt idx="41">
                  <c:v>21.788323159090801</c:v>
                </c:pt>
                <c:pt idx="42">
                  <c:v>21.630295879975947</c:v>
                </c:pt>
                <c:pt idx="43">
                  <c:v>21.470952734567852</c:v>
                </c:pt>
                <c:pt idx="44">
                  <c:v>21.310211918655718</c:v>
                </c:pt>
                <c:pt idx="45">
                  <c:v>21.147988138551462</c:v>
                </c:pt>
                <c:pt idx="46">
                  <c:v>20.984192329795583</c:v>
                </c:pt>
                <c:pt idx="47">
                  <c:v>20.818731362358008</c:v>
                </c:pt>
                <c:pt idx="48">
                  <c:v>20.651811656141327</c:v>
                </c:pt>
                <c:pt idx="49">
                  <c:v>20.482419247103287</c:v>
                </c:pt>
                <c:pt idx="50">
                  <c:v>20.311161067758604</c:v>
                </c:pt>
                <c:pt idx="51">
                  <c:v>20.138213473714643</c:v>
                </c:pt>
                <c:pt idx="52">
                  <c:v>19.962865316287264</c:v>
                </c:pt>
                <c:pt idx="53">
                  <c:v>19.785189851884226</c:v>
                </c:pt>
                <c:pt idx="54">
                  <c:v>19.605056274126355</c:v>
                </c:pt>
                <c:pt idx="55">
                  <c:v>19.422326947044688</c:v>
                </c:pt>
                <c:pt idx="56">
                  <c:v>19.236856999637254</c:v>
                </c:pt>
                <c:pt idx="57">
                  <c:v>19.048493893594831</c:v>
                </c:pt>
                <c:pt idx="58">
                  <c:v>18.857076953167322</c:v>
                </c:pt>
                <c:pt idx="59">
                  <c:v>18.662436841669852</c:v>
                </c:pt>
                <c:pt idx="60">
                  <c:v>18.464394963440107</c:v>
                </c:pt>
                <c:pt idx="61">
                  <c:v>18.262824890968815</c:v>
                </c:pt>
                <c:pt idx="62">
                  <c:v>18.057340887726184</c:v>
                </c:pt>
                <c:pt idx="63">
                  <c:v>17.847918159776697</c:v>
                </c:pt>
                <c:pt idx="64">
                  <c:v>17.634270313168798</c:v>
                </c:pt>
                <c:pt idx="65">
                  <c:v>17.416158411818969</c:v>
                </c:pt>
                <c:pt idx="66">
                  <c:v>17.193326871870781</c:v>
                </c:pt>
                <c:pt idx="67">
                  <c:v>16.965496087201018</c:v>
                </c:pt>
                <c:pt idx="68">
                  <c:v>16.732383826169155</c:v>
                </c:pt>
                <c:pt idx="69">
                  <c:v>16.493652415254395</c:v>
                </c:pt>
                <c:pt idx="70">
                  <c:v>16.248952980994012</c:v>
                </c:pt>
                <c:pt idx="71">
                  <c:v>15.997895168462172</c:v>
                </c:pt>
                <c:pt idx="72">
                  <c:v>15.740045012259728</c:v>
                </c:pt>
                <c:pt idx="73">
                  <c:v>15.474916485412827</c:v>
                </c:pt>
                <c:pt idx="74">
                  <c:v>15.202028549938014</c:v>
                </c:pt>
                <c:pt idx="75">
                  <c:v>14.921069231022145</c:v>
                </c:pt>
                <c:pt idx="76">
                  <c:v>14.62589851865242</c:v>
                </c:pt>
                <c:pt idx="77">
                  <c:v>14.291299425644738</c:v>
                </c:pt>
                <c:pt idx="78">
                  <c:v>13.956700332637055</c:v>
                </c:pt>
                <c:pt idx="79">
                  <c:v>13.622101239629387</c:v>
                </c:pt>
                <c:pt idx="80">
                  <c:v>13.280763404159487</c:v>
                </c:pt>
                <c:pt idx="81">
                  <c:v>12.928686063309783</c:v>
                </c:pt>
                <c:pt idx="82">
                  <c:v>12.576608722460065</c:v>
                </c:pt>
                <c:pt idx="83">
                  <c:v>12.206431950392968</c:v>
                </c:pt>
                <c:pt idx="84">
                  <c:v>11.777863141534795</c:v>
                </c:pt>
                <c:pt idx="85">
                  <c:v>11.349294332676607</c:v>
                </c:pt>
                <c:pt idx="86">
                  <c:v>10.920725523818433</c:v>
                </c:pt>
                <c:pt idx="87">
                  <c:v>10.449142099837843</c:v>
                </c:pt>
                <c:pt idx="88">
                  <c:v>9.8918304676368791</c:v>
                </c:pt>
                <c:pt idx="89">
                  <c:v>9.3330379831599544</c:v>
                </c:pt>
                <c:pt idx="90">
                  <c:v>8.7299662197441847</c:v>
                </c:pt>
                <c:pt idx="91">
                  <c:v>8.0059258842833714</c:v>
                </c:pt>
                <c:pt idx="92">
                  <c:v>7.2811354116850566</c:v>
                </c:pt>
                <c:pt idx="93">
                  <c:v>6.3423787961515785</c:v>
                </c:pt>
                <c:pt idx="94">
                  <c:v>5.334659025849902</c:v>
                </c:pt>
                <c:pt idx="95">
                  <c:v>3.8451784074934778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2-4AA2-A5E5-E42C5A32E27A}"/>
            </c:ext>
          </c:extLst>
        </c:ser>
        <c:ser>
          <c:idx val="2"/>
          <c:order val="2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Diagrammdaten!$C$128:$C$288</c:f>
              <c:strCache>
                <c:ptCount val="16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</c:strCache>
            </c:strRef>
          </c:cat>
          <c:val>
            <c:numRef>
              <c:f>Diagrammdaten!$E$128:$E$288</c:f>
              <c:numCache>
                <c:formatCode>General</c:formatCode>
                <c:ptCount val="161"/>
                <c:pt idx="0">
                  <c:v>201.09090540672429</c:v>
                </c:pt>
                <c:pt idx="1">
                  <c:v>200.91507628805502</c:v>
                </c:pt>
                <c:pt idx="2">
                  <c:v>200.73451421436408</c:v>
                </c:pt>
                <c:pt idx="3">
                  <c:v>200.54923383360841</c:v>
                </c:pt>
                <c:pt idx="4">
                  <c:v>200.35924930374262</c:v>
                </c:pt>
                <c:pt idx="5">
                  <c:v>200.16457433004936</c:v>
                </c:pt>
                <c:pt idx="6">
                  <c:v>199.9652221857022</c:v>
                </c:pt>
                <c:pt idx="7">
                  <c:v>199.76120573631954</c:v>
                </c:pt>
                <c:pt idx="8">
                  <c:v>199.55253746297512</c:v>
                </c:pt>
                <c:pt idx="9">
                  <c:v>199.33922948474554</c:v>
                </c:pt>
                <c:pt idx="10">
                  <c:v>199.12129358059838</c:v>
                </c:pt>
                <c:pt idx="11">
                  <c:v>198.89874121071978</c:v>
                </c:pt>
                <c:pt idx="12">
                  <c:v>198.67158353730571</c:v>
                </c:pt>
                <c:pt idx="13">
                  <c:v>198.43983144484085</c:v>
                </c:pt>
                <c:pt idx="14">
                  <c:v>198.20349555995858</c:v>
                </c:pt>
                <c:pt idx="15">
                  <c:v>197.96258627093769</c:v>
                </c:pt>
                <c:pt idx="16">
                  <c:v>197.71711374706209</c:v>
                </c:pt>
                <c:pt idx="17">
                  <c:v>197.46708795775592</c:v>
                </c:pt>
                <c:pt idx="18">
                  <c:v>197.21251869183223</c:v>
                </c:pt>
                <c:pt idx="19">
                  <c:v>196.95341557692242</c:v>
                </c:pt>
                <c:pt idx="20">
                  <c:v>196.68978809933753</c:v>
                </c:pt>
                <c:pt idx="21">
                  <c:v>196.42164562456736</c:v>
                </c:pt>
                <c:pt idx="22">
                  <c:v>196.14899741868678</c:v>
                </c:pt>
                <c:pt idx="23">
                  <c:v>195.87185267098772</c:v>
                </c:pt>
                <c:pt idx="24">
                  <c:v>195.59042473978019</c:v>
                </c:pt>
                <c:pt idx="25">
                  <c:v>195.30411007077186</c:v>
                </c:pt>
                <c:pt idx="26">
                  <c:v>195.01353044112622</c:v>
                </c:pt>
                <c:pt idx="27">
                  <c:v>194.71849077537172</c:v>
                </c:pt>
                <c:pt idx="28">
                  <c:v>194.4190002879202</c:v>
                </c:pt>
                <c:pt idx="29">
                  <c:v>194.11506830024717</c:v>
                </c:pt>
                <c:pt idx="30">
                  <c:v>193.80670428406319</c:v>
                </c:pt>
                <c:pt idx="31">
                  <c:v>193.49391790963293</c:v>
                </c:pt>
                <c:pt idx="32">
                  <c:v>193.17671909986115</c:v>
                </c:pt>
                <c:pt idx="33">
                  <c:v>192.85511809070925</c:v>
                </c:pt>
                <c:pt idx="34">
                  <c:v>192.52912549865241</c:v>
                </c:pt>
                <c:pt idx="35">
                  <c:v>192.19875239574151</c:v>
                </c:pt>
                <c:pt idx="36">
                  <c:v>191.86401039275356</c:v>
                </c:pt>
                <c:pt idx="37">
                  <c:v>191.52491173106893</c:v>
                </c:pt>
                <c:pt idx="38">
                  <c:v>191.18146938348454</c:v>
                </c:pt>
                <c:pt idx="39">
                  <c:v>190.83369716431511</c:v>
                </c:pt>
                <c:pt idx="40">
                  <c:v>190.48160984888668</c:v>
                </c:pt>
                <c:pt idx="41">
                  <c:v>190.12522330227574</c:v>
                </c:pt>
                <c:pt idx="42">
                  <c:v>189.76455461698157</c:v>
                </c:pt>
                <c:pt idx="43">
                  <c:v>189.39962225913962</c:v>
                </c:pt>
                <c:pt idx="44">
                  <c:v>189.03044622218147</c:v>
                </c:pt>
                <c:pt idx="45">
                  <c:v>188.6570481871035</c:v>
                </c:pt>
                <c:pt idx="46">
                  <c:v>188.27945168778555</c:v>
                </c:pt>
                <c:pt idx="47">
                  <c:v>187.89768227974054</c:v>
                </c:pt>
                <c:pt idx="48">
                  <c:v>187.51176771041108</c:v>
                </c:pt>
                <c:pt idx="49">
                  <c:v>187.1217380888113</c:v>
                </c:pt>
                <c:pt idx="50">
                  <c:v>186.72782367161105</c:v>
                </c:pt>
                <c:pt idx="51">
                  <c:v>186.3294669286951</c:v>
                </c:pt>
                <c:pt idx="52">
                  <c:v>185.92729889013117</c:v>
                </c:pt>
                <c:pt idx="53">
                  <c:v>185.52116309970603</c:v>
                </c:pt>
                <c:pt idx="54">
                  <c:v>185.11110384728153</c:v>
                </c:pt>
                <c:pt idx="55">
                  <c:v>184.69716867616555</c:v>
                </c:pt>
                <c:pt idx="56">
                  <c:v>184.27940850194264</c:v>
                </c:pt>
                <c:pt idx="57">
                  <c:v>183.85787772731845</c:v>
                </c:pt>
                <c:pt idx="58">
                  <c:v>183.4326343597086</c:v>
                </c:pt>
                <c:pt idx="59">
                  <c:v>183.00374014194477</c:v>
                </c:pt>
                <c:pt idx="60">
                  <c:v>182.57126071127004</c:v>
                </c:pt>
                <c:pt idx="61">
                  <c:v>182.13526580728518</c:v>
                </c:pt>
                <c:pt idx="62">
                  <c:v>181.69582955659251</c:v>
                </c:pt>
                <c:pt idx="63">
                  <c:v>181.25303087001697</c:v>
                </c:pt>
                <c:pt idx="64">
                  <c:v>180.80695399747086</c:v>
                </c:pt>
                <c:pt idx="65">
                  <c:v>180.35768929609577</c:v>
                </c:pt>
                <c:pt idx="66">
                  <c:v>179.90533427798783</c:v>
                </c:pt>
                <c:pt idx="67">
                  <c:v>179.4499999134961</c:v>
                </c:pt>
                <c:pt idx="68">
                  <c:v>178.99178799473742</c:v>
                </c:pt>
                <c:pt idx="69">
                  <c:v>178.53084250958801</c:v>
                </c:pt>
                <c:pt idx="70">
                  <c:v>178.06730371231544</c:v>
                </c:pt>
                <c:pt idx="71">
                  <c:v>177.60133641969122</c:v>
                </c:pt>
                <c:pt idx="72">
                  <c:v>177.13312978986386</c:v>
                </c:pt>
                <c:pt idx="73">
                  <c:v>176.66290297400741</c:v>
                </c:pt>
                <c:pt idx="74">
                  <c:v>176.19084470872423</c:v>
                </c:pt>
                <c:pt idx="75">
                  <c:v>175.71694518726434</c:v>
                </c:pt>
                <c:pt idx="76">
                  <c:v>175.24290369765919</c:v>
                </c:pt>
                <c:pt idx="77">
                  <c:v>174.76778031287827</c:v>
                </c:pt>
                <c:pt idx="78">
                  <c:v>174.29265692809736</c:v>
                </c:pt>
                <c:pt idx="79">
                  <c:v>173.81753354331642</c:v>
                </c:pt>
                <c:pt idx="80">
                  <c:v>173.34914890099773</c:v>
                </c:pt>
                <c:pt idx="81">
                  <c:v>172.89150376405883</c:v>
                </c:pt>
                <c:pt idx="82">
                  <c:v>172.43385862711995</c:v>
                </c:pt>
                <c:pt idx="83">
                  <c:v>171.97621349018107</c:v>
                </c:pt>
                <c:pt idx="84">
                  <c:v>171.51856835324219</c:v>
                </c:pt>
                <c:pt idx="85">
                  <c:v>171.06092321630331</c:v>
                </c:pt>
                <c:pt idx="86">
                  <c:v>170.6032780793644</c:v>
                </c:pt>
                <c:pt idx="87">
                  <c:v>170.14563294242549</c:v>
                </c:pt>
                <c:pt idx="88">
                  <c:v>169.74436943933841</c:v>
                </c:pt>
                <c:pt idx="89">
                  <c:v>169.34458678852729</c:v>
                </c:pt>
                <c:pt idx="90">
                  <c:v>168.94480413771618</c:v>
                </c:pt>
                <c:pt idx="91">
                  <c:v>168.61391573549059</c:v>
                </c:pt>
                <c:pt idx="92">
                  <c:v>168.28377747040247</c:v>
                </c:pt>
                <c:pt idx="93">
                  <c:v>168.03946643703171</c:v>
                </c:pt>
                <c:pt idx="94">
                  <c:v>167.84741809386375</c:v>
                </c:pt>
                <c:pt idx="95">
                  <c:v>167.90040675865129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52-4AA2-A5E5-E42C5A32E27A}"/>
            </c:ext>
          </c:extLst>
        </c:ser>
        <c:ser>
          <c:idx val="3"/>
          <c:order val="3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Diagrammdaten!$C$128:$C$288</c:f>
              <c:strCache>
                <c:ptCount val="16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</c:strCache>
            </c:strRef>
          </c:cat>
          <c:val>
            <c:numRef>
              <c:f>Diagrammdaten!$F$128:$F$288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168.54494427808675</c:v>
                </c:pt>
                <c:pt idx="97">
                  <c:v>168.54494427808675</c:v>
                </c:pt>
                <c:pt idx="98">
                  <c:v>168.54494427808675</c:v>
                </c:pt>
                <c:pt idx="99">
                  <c:v>168.54494427808675</c:v>
                </c:pt>
                <c:pt idx="100">
                  <c:v>168.54494427808675</c:v>
                </c:pt>
                <c:pt idx="101">
                  <c:v>168.54494427808675</c:v>
                </c:pt>
                <c:pt idx="102">
                  <c:v>168.54494427808675</c:v>
                </c:pt>
                <c:pt idx="103">
                  <c:v>168.54494427808675</c:v>
                </c:pt>
                <c:pt idx="104">
                  <c:v>168.54494427808675</c:v>
                </c:pt>
                <c:pt idx="105">
                  <c:v>168.54494427808675</c:v>
                </c:pt>
                <c:pt idx="106">
                  <c:v>168.54494427808675</c:v>
                </c:pt>
                <c:pt idx="107">
                  <c:v>168.54494427808675</c:v>
                </c:pt>
                <c:pt idx="108">
                  <c:v>168.54494427808675</c:v>
                </c:pt>
                <c:pt idx="109">
                  <c:v>168.54494427808675</c:v>
                </c:pt>
                <c:pt idx="110">
                  <c:v>168.54494427808675</c:v>
                </c:pt>
                <c:pt idx="111">
                  <c:v>168.54494427808675</c:v>
                </c:pt>
                <c:pt idx="112">
                  <c:v>168.54494427808675</c:v>
                </c:pt>
                <c:pt idx="113">
                  <c:v>168.54494427808675</c:v>
                </c:pt>
                <c:pt idx="114">
                  <c:v>168.54494427808675</c:v>
                </c:pt>
                <c:pt idx="115">
                  <c:v>168.54494427808675</c:v>
                </c:pt>
                <c:pt idx="116">
                  <c:v>168.54494427808675</c:v>
                </c:pt>
                <c:pt idx="117">
                  <c:v>168.54494427808675</c:v>
                </c:pt>
                <c:pt idx="118">
                  <c:v>168.54494427808675</c:v>
                </c:pt>
                <c:pt idx="119">
                  <c:v>168.54494427808675</c:v>
                </c:pt>
                <c:pt idx="120">
                  <c:v>168.54494427808675</c:v>
                </c:pt>
                <c:pt idx="121">
                  <c:v>168.54494427808675</c:v>
                </c:pt>
                <c:pt idx="122">
                  <c:v>168.54494427808675</c:v>
                </c:pt>
                <c:pt idx="123">
                  <c:v>168.54494427808675</c:v>
                </c:pt>
                <c:pt idx="124">
                  <c:v>168.54494427808675</c:v>
                </c:pt>
                <c:pt idx="125">
                  <c:v>168.54494427808675</c:v>
                </c:pt>
                <c:pt idx="126">
                  <c:v>168.54494427808675</c:v>
                </c:pt>
                <c:pt idx="127">
                  <c:v>168.54494427808675</c:v>
                </c:pt>
                <c:pt idx="128">
                  <c:v>168.54494427808675</c:v>
                </c:pt>
                <c:pt idx="129">
                  <c:v>168.54494427808675</c:v>
                </c:pt>
                <c:pt idx="130">
                  <c:v>168.54494427808675</c:v>
                </c:pt>
                <c:pt idx="131">
                  <c:v>168.54494427808675</c:v>
                </c:pt>
                <c:pt idx="132">
                  <c:v>168.54494427808675</c:v>
                </c:pt>
                <c:pt idx="133">
                  <c:v>168.54494427808675</c:v>
                </c:pt>
                <c:pt idx="134">
                  <c:v>168.54494427808675</c:v>
                </c:pt>
                <c:pt idx="135">
                  <c:v>168.54494427808675</c:v>
                </c:pt>
                <c:pt idx="136">
                  <c:v>168.54494427808675</c:v>
                </c:pt>
                <c:pt idx="137">
                  <c:v>168.54494427808675</c:v>
                </c:pt>
                <c:pt idx="138">
                  <c:v>168.54494427808675</c:v>
                </c:pt>
                <c:pt idx="139">
                  <c:v>168.54494427808675</c:v>
                </c:pt>
                <c:pt idx="140">
                  <c:v>168.54494427808675</c:v>
                </c:pt>
                <c:pt idx="141">
                  <c:v>168.54494427808675</c:v>
                </c:pt>
                <c:pt idx="142">
                  <c:v>168.54494427808675</c:v>
                </c:pt>
                <c:pt idx="143">
                  <c:v>168.54494427808675</c:v>
                </c:pt>
                <c:pt idx="144">
                  <c:v>168.54494427808675</c:v>
                </c:pt>
                <c:pt idx="145">
                  <c:v>168.54494427808675</c:v>
                </c:pt>
                <c:pt idx="146">
                  <c:v>168.54494427808675</c:v>
                </c:pt>
                <c:pt idx="147">
                  <c:v>168.54494427808675</c:v>
                </c:pt>
                <c:pt idx="148">
                  <c:v>168.54494427808675</c:v>
                </c:pt>
                <c:pt idx="149">
                  <c:v>168.54494427808675</c:v>
                </c:pt>
                <c:pt idx="150">
                  <c:v>168.54494427808675</c:v>
                </c:pt>
                <c:pt idx="151">
                  <c:v>168.54494427808675</c:v>
                </c:pt>
                <c:pt idx="152">
                  <c:v>168.54494427808675</c:v>
                </c:pt>
                <c:pt idx="153">
                  <c:v>168.54494427808675</c:v>
                </c:pt>
                <c:pt idx="154">
                  <c:v>168.54494427808675</c:v>
                </c:pt>
                <c:pt idx="155">
                  <c:v>168.54494427808675</c:v>
                </c:pt>
                <c:pt idx="156">
                  <c:v>168.54494427808675</c:v>
                </c:pt>
                <c:pt idx="157">
                  <c:v>168.54494427808675</c:v>
                </c:pt>
                <c:pt idx="158">
                  <c:v>168.54494427808675</c:v>
                </c:pt>
                <c:pt idx="159">
                  <c:v>168.54494427808675</c:v>
                </c:pt>
                <c:pt idx="160">
                  <c:v>168.54494427808675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52-4AA2-A5E5-E42C5A32E27A}"/>
            </c:ext>
          </c:extLst>
        </c:ser>
        <c:ser>
          <c:idx val="4"/>
          <c:order val="4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Diagrammdaten!$C$128:$C$288</c:f>
              <c:strCache>
                <c:ptCount val="16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</c:strCache>
            </c:strRef>
          </c:cat>
          <c:val>
            <c:numRef>
              <c:f>Diagrammdaten!$G$128:$G$288</c:f>
              <c:numCache>
                <c:formatCode>General</c:formatCode>
                <c:ptCount val="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2-4AA2-A5E5-E42C5A32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Diagrammdaten!$M$8:$M$77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1.2286411329180424</c:v>
                </c:pt>
                <c:pt idx="13">
                  <c:v>7.3406945606612055</c:v>
                </c:pt>
                <c:pt idx="14">
                  <c:v>13.452747988404369</c:v>
                </c:pt>
                <c:pt idx="15">
                  <c:v>19.564801416147532</c:v>
                </c:pt>
                <c:pt idx="16">
                  <c:v>25.676854843890695</c:v>
                </c:pt>
                <c:pt idx="17">
                  <c:v>31.788908271633858</c:v>
                </c:pt>
                <c:pt idx="18">
                  <c:v>37.900961699377021</c:v>
                </c:pt>
                <c:pt idx="19">
                  <c:v>44.013015127120184</c:v>
                </c:pt>
                <c:pt idx="20">
                  <c:v>50.125068554863347</c:v>
                </c:pt>
                <c:pt idx="21">
                  <c:v>56.23712198260651</c:v>
                </c:pt>
                <c:pt idx="22">
                  <c:v>62.349175410349687</c:v>
                </c:pt>
                <c:pt idx="23">
                  <c:v>68.461228838092836</c:v>
                </c:pt>
                <c:pt idx="24">
                  <c:v>74.573282265836013</c:v>
                </c:pt>
                <c:pt idx="25">
                  <c:v>80.685335693579162</c:v>
                </c:pt>
                <c:pt idx="26">
                  <c:v>86.79738912132234</c:v>
                </c:pt>
                <c:pt idx="27">
                  <c:v>92.909442549065488</c:v>
                </c:pt>
                <c:pt idx="28">
                  <c:v>93.115303345344046</c:v>
                </c:pt>
                <c:pt idx="29">
                  <c:v>95.096710873183156</c:v>
                </c:pt>
                <c:pt idx="30">
                  <c:v>96.469779968250691</c:v>
                </c:pt>
                <c:pt idx="31">
                  <c:v>97.147083729487235</c:v>
                </c:pt>
                <c:pt idx="32">
                  <c:v>97.186648700233036</c:v>
                </c:pt>
                <c:pt idx="33">
                  <c:v>97.119764583582423</c:v>
                </c:pt>
                <c:pt idx="34">
                  <c:v>96.69912051454844</c:v>
                </c:pt>
                <c:pt idx="35">
                  <c:v>96.533331288438717</c:v>
                </c:pt>
                <c:pt idx="36">
                  <c:v>96.09101257175962</c:v>
                </c:pt>
                <c:pt idx="37">
                  <c:v>95.895667133901043</c:v>
                </c:pt>
                <c:pt idx="38">
                  <c:v>95.426235986769143</c:v>
                </c:pt>
                <c:pt idx="39">
                  <c:v>94.829364704481804</c:v>
                </c:pt>
                <c:pt idx="40">
                  <c:v>93.224341909750933</c:v>
                </c:pt>
                <c:pt idx="41">
                  <c:v>92.909442549065488</c:v>
                </c:pt>
                <c:pt idx="42">
                  <c:v>87.015676743741722</c:v>
                </c:pt>
                <c:pt idx="43">
                  <c:v>81.121910938417955</c:v>
                </c:pt>
                <c:pt idx="44">
                  <c:v>75.228145133094188</c:v>
                </c:pt>
                <c:pt idx="45">
                  <c:v>69.334379327770421</c:v>
                </c:pt>
                <c:pt idx="46">
                  <c:v>63.440613522446661</c:v>
                </c:pt>
                <c:pt idx="47">
                  <c:v>57.546847717122901</c:v>
                </c:pt>
                <c:pt idx="48">
                  <c:v>51.653081911799134</c:v>
                </c:pt>
                <c:pt idx="49">
                  <c:v>45.759316106475367</c:v>
                </c:pt>
                <c:pt idx="50">
                  <c:v>39.8655503011516</c:v>
                </c:pt>
                <c:pt idx="51">
                  <c:v>33.971784495827833</c:v>
                </c:pt>
                <c:pt idx="52">
                  <c:v>28.078018690504067</c:v>
                </c:pt>
                <c:pt idx="53">
                  <c:v>22.184252885180314</c:v>
                </c:pt>
                <c:pt idx="54">
                  <c:v>16.290487079856547</c:v>
                </c:pt>
                <c:pt idx="55">
                  <c:v>10.39672127453278</c:v>
                </c:pt>
                <c:pt idx="56">
                  <c:v>4.502955469209013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5.4780051259929632</c:v>
                </c:pt>
                <c:pt idx="1">
                  <c:v>6.2465283664309963</c:v>
                </c:pt>
                <c:pt idx="2">
                  <c:v>7.094026716138905</c:v>
                </c:pt>
                <c:pt idx="3">
                  <c:v>8.0255579412624787</c:v>
                </c:pt>
                <c:pt idx="4">
                  <c:v>9.0463049806261271</c:v>
                </c:pt>
                <c:pt idx="5">
                  <c:v>10.161580260227899</c:v>
                </c:pt>
                <c:pt idx="6">
                  <c:v>11.376832494554185</c:v>
                </c:pt>
                <c:pt idx="7">
                  <c:v>12.697656236143098</c:v>
                </c:pt>
                <c:pt idx="8">
                  <c:v>14.129804656079587</c:v>
                </c:pt>
                <c:pt idx="9">
                  <c:v>15.67923451447156</c:v>
                </c:pt>
                <c:pt idx="10">
                  <c:v>17.352406968327372</c:v>
                </c:pt>
                <c:pt idx="11">
                  <c:v>19.155353708527862</c:v>
                </c:pt>
                <c:pt idx="12">
                  <c:v>21.094699875721581</c:v>
                </c:pt>
                <c:pt idx="13">
                  <c:v>23.177390130610402</c:v>
                </c:pt>
                <c:pt idx="14">
                  <c:v>25.410755922853671</c:v>
                </c:pt>
                <c:pt idx="15">
                  <c:v>27.802604003304531</c:v>
                </c:pt>
                <c:pt idx="16">
                  <c:v>30.363205999893026</c:v>
                </c:pt>
                <c:pt idx="17">
                  <c:v>33.096101826227539</c:v>
                </c:pt>
                <c:pt idx="18">
                  <c:v>36.017129110207115</c:v>
                </c:pt>
                <c:pt idx="19">
                  <c:v>39.136313339837116</c:v>
                </c:pt>
                <c:pt idx="20">
                  <c:v>42.466439159222979</c:v>
                </c:pt>
                <c:pt idx="21">
                  <c:v>46.023360530623989</c:v>
                </c:pt>
                <c:pt idx="22">
                  <c:v>49.826593298424697</c:v>
                </c:pt>
                <c:pt idx="23">
                  <c:v>53.902917038676897</c:v>
                </c:pt>
                <c:pt idx="24">
                  <c:v>58.288588500852839</c:v>
                </c:pt>
                <c:pt idx="25">
                  <c:v>63.115296932976065</c:v>
                </c:pt>
                <c:pt idx="26">
                  <c:v>68.296439810562831</c:v>
                </c:pt>
                <c:pt idx="27">
                  <c:v>74.339555460510013</c:v>
                </c:pt>
                <c:pt idx="28">
                  <c:v>74.556723930467271</c:v>
                </c:pt>
                <c:pt idx="29">
                  <c:v>76.933953502157294</c:v>
                </c:pt>
                <c:pt idx="30">
                  <c:v>78.941156502790562</c:v>
                </c:pt>
                <c:pt idx="31">
                  <c:v>80.494760566134005</c:v>
                </c:pt>
                <c:pt idx="32">
                  <c:v>80.896473762668705</c:v>
                </c:pt>
                <c:pt idx="33">
                  <c:v>81.224767037052715</c:v>
                </c:pt>
                <c:pt idx="34">
                  <c:v>81.685344406773822</c:v>
                </c:pt>
                <c:pt idx="35">
                  <c:v>81.838319578037911</c:v>
                </c:pt>
                <c:pt idx="36">
                  <c:v>82.075301596995402</c:v>
                </c:pt>
                <c:pt idx="37">
                  <c:v>82.127440129186695</c:v>
                </c:pt>
                <c:pt idx="38">
                  <c:v>82.17759431791859</c:v>
                </c:pt>
                <c:pt idx="39">
                  <c:v>82.142568673071494</c:v>
                </c:pt>
                <c:pt idx="40">
                  <c:v>81.790286378469247</c:v>
                </c:pt>
                <c:pt idx="41">
                  <c:v>81.686326049855197</c:v>
                </c:pt>
                <c:pt idx="42">
                  <c:v>79.403896306172044</c:v>
                </c:pt>
                <c:pt idx="43">
                  <c:v>76.706643047108898</c:v>
                </c:pt>
                <c:pt idx="44">
                  <c:v>73.917273160672508</c:v>
                </c:pt>
                <c:pt idx="45">
                  <c:v>71.162241328121723</c:v>
                </c:pt>
                <c:pt idx="46">
                  <c:v>68.499105449613097</c:v>
                </c:pt>
                <c:pt idx="47">
                  <c:v>65.950868682966799</c:v>
                </c:pt>
                <c:pt idx="48">
                  <c:v>63.532027644965225</c:v>
                </c:pt>
                <c:pt idx="49">
                  <c:v>61.252710857907914</c:v>
                </c:pt>
                <c:pt idx="50">
                  <c:v>59.119111530194637</c:v>
                </c:pt>
                <c:pt idx="51">
                  <c:v>57.135698205735828</c:v>
                </c:pt>
                <c:pt idx="52">
                  <c:v>55.304834874033894</c:v>
                </c:pt>
                <c:pt idx="53">
                  <c:v>53.628494465250789</c:v>
                </c:pt>
                <c:pt idx="54">
                  <c:v>52.108566858257042</c:v>
                </c:pt>
                <c:pt idx="55">
                  <c:v>50.747017816934239</c:v>
                </c:pt>
                <c:pt idx="56">
                  <c:v>49.546046180813249</c:v>
                </c:pt>
                <c:pt idx="57">
                  <c:v>48.508227960961797</c:v>
                </c:pt>
                <c:pt idx="58">
                  <c:v>47.636678138918917</c:v>
                </c:pt>
                <c:pt idx="59">
                  <c:v>46.935238191457664</c:v>
                </c:pt>
                <c:pt idx="60">
                  <c:v>46.40892779619076</c:v>
                </c:pt>
                <c:pt idx="61">
                  <c:v>46.063863329321116</c:v>
                </c:pt>
                <c:pt idx="62">
                  <c:v>45.907235940758852</c:v>
                </c:pt>
                <c:pt idx="63">
                  <c:v>45.948412119295952</c:v>
                </c:pt>
                <c:pt idx="64">
                  <c:v>46.199065481880361</c:v>
                </c:pt>
                <c:pt idx="65">
                  <c:v>46.673734775122661</c:v>
                </c:pt>
                <c:pt idx="66">
                  <c:v>47.390529862815043</c:v>
                </c:pt>
                <c:pt idx="67">
                  <c:v>48.372032320327683</c:v>
                </c:pt>
                <c:pt idx="68">
                  <c:v>49.646459563221228</c:v>
                </c:pt>
                <c:pt idx="69">
                  <c:v>51.249178858911719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2-4AA2-A5E5-E42C5A32E27A}"/>
            </c:ext>
          </c:extLst>
        </c:ser>
        <c:ser>
          <c:idx val="17"/>
          <c:order val="6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de-DE"/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652-4AA2-A5E5-E42C5A32E27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de-DE"/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652-4AA2-A5E5-E42C5A32E27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de-DE"/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652-4AA2-A5E5-E42C5A32E27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de-DE"/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652-4AA2-A5E5-E42C5A32E27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652-4AA2-A5E5-E42C5A32E27A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Diagrammdaten!$M$394:$M$397</c:f>
              <c:numCache>
                <c:formatCode>General</c:formatCode>
                <c:ptCount val="4"/>
                <c:pt idx="0">
                  <c:v>41</c:v>
                </c:pt>
                <c:pt idx="1">
                  <c:v>131</c:v>
                </c:pt>
                <c:pt idx="2">
                  <c:v>131</c:v>
                </c:pt>
                <c:pt idx="3">
                  <c:v>17</c:v>
                </c:pt>
              </c:numCache>
            </c:numRef>
          </c:xVal>
          <c:yVal>
            <c:numRef>
              <c:f>Diagrammdaten!$K$394:$K$397</c:f>
              <c:numCache>
                <c:formatCode>General</c:formatCode>
                <c:ptCount val="4"/>
                <c:pt idx="0">
                  <c:v>105</c:v>
                </c:pt>
                <c:pt idx="1">
                  <c:v>120</c:v>
                </c:pt>
                <c:pt idx="2">
                  <c:v>25</c:v>
                </c:pt>
                <c:pt idx="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2-4AA2-A5E5-E42C5A32E27A}"/>
            </c:ext>
          </c:extLst>
        </c:ser>
        <c:ser>
          <c:idx val="6"/>
          <c:order val="7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Diagrammdaten!$M$256:$M$296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2.2889200025337004</c:v>
                </c:pt>
                <c:pt idx="18">
                  <c:v>6.6656800026827341</c:v>
                </c:pt>
                <c:pt idx="19">
                  <c:v>11.042440002831768</c:v>
                </c:pt>
                <c:pt idx="20">
                  <c:v>15.419200002980801</c:v>
                </c:pt>
                <c:pt idx="21">
                  <c:v>19.795960003129835</c:v>
                </c:pt>
                <c:pt idx="22">
                  <c:v>24.172720003278869</c:v>
                </c:pt>
                <c:pt idx="23">
                  <c:v>28.549480003427902</c:v>
                </c:pt>
                <c:pt idx="24">
                  <c:v>32.926240003576936</c:v>
                </c:pt>
                <c:pt idx="25">
                  <c:v>37.30300000372597</c:v>
                </c:pt>
                <c:pt idx="26">
                  <c:v>41.679760003875003</c:v>
                </c:pt>
                <c:pt idx="27">
                  <c:v>46.056520004024037</c:v>
                </c:pt>
                <c:pt idx="28">
                  <c:v>50.433280004173071</c:v>
                </c:pt>
                <c:pt idx="29">
                  <c:v>54.810040004322104</c:v>
                </c:pt>
                <c:pt idx="30">
                  <c:v>59.186800004471138</c:v>
                </c:pt>
                <c:pt idx="31">
                  <c:v>63.563560004620172</c:v>
                </c:pt>
                <c:pt idx="32">
                  <c:v>67.940320004769205</c:v>
                </c:pt>
                <c:pt idx="33">
                  <c:v>72.317080004918239</c:v>
                </c:pt>
                <c:pt idx="34">
                  <c:v>76.693840005067273</c:v>
                </c:pt>
                <c:pt idx="35">
                  <c:v>81.070600005216306</c:v>
                </c:pt>
                <c:pt idx="36">
                  <c:v>85.44736000536534</c:v>
                </c:pt>
                <c:pt idx="37">
                  <c:v>89.824120005514374</c:v>
                </c:pt>
                <c:pt idx="38">
                  <c:v>94.200880005663407</c:v>
                </c:pt>
                <c:pt idx="39">
                  <c:v>98.577640005812441</c:v>
                </c:pt>
                <c:pt idx="40">
                  <c:v>102.95440000596147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52-4AA2-A5E5-E42C5A32E27A}"/>
            </c:ext>
          </c:extLst>
        </c:ser>
        <c:ser>
          <c:idx val="7"/>
          <c:order val="8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Diagrammdaten!$M$298:$M$327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3.559743678935547</c:v>
                </c:pt>
                <c:pt idx="14">
                  <c:v>9.3809547311613528</c:v>
                </c:pt>
                <c:pt idx="15">
                  <c:v>15.202165783387159</c:v>
                </c:pt>
                <c:pt idx="16">
                  <c:v>21.023376835612964</c:v>
                </c:pt>
                <c:pt idx="17">
                  <c:v>26.84458788783877</c:v>
                </c:pt>
                <c:pt idx="18">
                  <c:v>32.665798940064576</c:v>
                </c:pt>
                <c:pt idx="19">
                  <c:v>38.487009992290382</c:v>
                </c:pt>
                <c:pt idx="20">
                  <c:v>44.308221044516188</c:v>
                </c:pt>
                <c:pt idx="21">
                  <c:v>50.129432096741994</c:v>
                </c:pt>
                <c:pt idx="22">
                  <c:v>55.950643148967799</c:v>
                </c:pt>
                <c:pt idx="23">
                  <c:v>61.771854201193605</c:v>
                </c:pt>
                <c:pt idx="24">
                  <c:v>67.593065253419411</c:v>
                </c:pt>
                <c:pt idx="25">
                  <c:v>73.414276305645217</c:v>
                </c:pt>
                <c:pt idx="26">
                  <c:v>79.235487357871023</c:v>
                </c:pt>
                <c:pt idx="27">
                  <c:v>85.056698410096828</c:v>
                </c:pt>
                <c:pt idx="28">
                  <c:v>90.877909462322634</c:v>
                </c:pt>
                <c:pt idx="29">
                  <c:v>96.69912051454844</c:v>
                </c:pt>
              </c:numCache>
            </c:numRef>
          </c:xVal>
          <c:yVal>
            <c:numRef>
              <c:f>Diagrammdaten!$K$298:$K$327</c:f>
              <c:numCache>
                <c:formatCode>General</c:formatCode>
                <c:ptCount val="30"/>
                <c:pt idx="0">
                  <c:v>54.249178858911719</c:v>
                </c:pt>
                <c:pt idx="1">
                  <c:v>52.664363407576069</c:v>
                </c:pt>
                <c:pt idx="2">
                  <c:v>51.40003231788009</c:v>
                </c:pt>
                <c:pt idx="3">
                  <c:v>50.422039629483656</c:v>
                </c:pt>
                <c:pt idx="4">
                  <c:v>49.703056462019831</c:v>
                </c:pt>
                <c:pt idx="5">
                  <c:v>49.221145655561216</c:v>
                </c:pt>
                <c:pt idx="6">
                  <c:v>48.959101170097277</c:v>
                </c:pt>
                <c:pt idx="7">
                  <c:v>48.902828994722412</c:v>
                </c:pt>
                <c:pt idx="8">
                  <c:v>49.040237729303101</c:v>
                </c:pt>
                <c:pt idx="9">
                  <c:v>49.362146363389712</c:v>
                </c:pt>
                <c:pt idx="10">
                  <c:v>49.861173471192402</c:v>
                </c:pt>
                <c:pt idx="11">
                  <c:v>50.531397928398562</c:v>
                </c:pt>
                <c:pt idx="12">
                  <c:v>51.368765341961051</c:v>
                </c:pt>
                <c:pt idx="13">
                  <c:v>52.368889762331087</c:v>
                </c:pt>
                <c:pt idx="14">
                  <c:v>53.528518650089161</c:v>
                </c:pt>
                <c:pt idx="15">
                  <c:v>54.845101014529511</c:v>
                </c:pt>
                <c:pt idx="16">
                  <c:v>56.316468002074117</c:v>
                </c:pt>
                <c:pt idx="17">
                  <c:v>57.940872900767133</c:v>
                </c:pt>
                <c:pt idx="18">
                  <c:v>59.716932633410508</c:v>
                </c:pt>
                <c:pt idx="19">
                  <c:v>61.642103419846549</c:v>
                </c:pt>
                <c:pt idx="20">
                  <c:v>63.71401451613437</c:v>
                </c:pt>
                <c:pt idx="21">
                  <c:v>65.929211829067867</c:v>
                </c:pt>
                <c:pt idx="22">
                  <c:v>68.282233623562746</c:v>
                </c:pt>
                <c:pt idx="23">
                  <c:v>70.764954852547746</c:v>
                </c:pt>
                <c:pt idx="24">
                  <c:v>73.364513310303693</c:v>
                </c:pt>
                <c:pt idx="25">
                  <c:v>76.061587611447692</c:v>
                </c:pt>
                <c:pt idx="26">
                  <c:v>78.81922862244744</c:v>
                </c:pt>
                <c:pt idx="27">
                  <c:v>81.507379398410805</c:v>
                </c:pt>
                <c:pt idx="28">
                  <c:v>84.006386183492225</c:v>
                </c:pt>
                <c:pt idx="29">
                  <c:v>84.685344406773822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2-4AA2-A5E5-E42C5A32E27A}"/>
            </c:ext>
          </c:extLst>
        </c:ser>
        <c:ser>
          <c:idx val="8"/>
          <c:order val="9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Diagrammdaten!$M$329:$M$358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3.7782907966562362</c:v>
                </c:pt>
                <c:pt idx="14">
                  <c:v>9.6163131656297764</c:v>
                </c:pt>
                <c:pt idx="15">
                  <c:v>15.454335534603331</c:v>
                </c:pt>
                <c:pt idx="16">
                  <c:v>21.292357903576885</c:v>
                </c:pt>
                <c:pt idx="17">
                  <c:v>27.13038027255044</c:v>
                </c:pt>
                <c:pt idx="18">
                  <c:v>32.968402641523994</c:v>
                </c:pt>
                <c:pt idx="19">
                  <c:v>38.806425010497534</c:v>
                </c:pt>
                <c:pt idx="20">
                  <c:v>44.644447379471089</c:v>
                </c:pt>
                <c:pt idx="21">
                  <c:v>50.482469748444643</c:v>
                </c:pt>
                <c:pt idx="22">
                  <c:v>56.320492117418183</c:v>
                </c:pt>
                <c:pt idx="23">
                  <c:v>62.158514486391738</c:v>
                </c:pt>
                <c:pt idx="24">
                  <c:v>67.996536855365292</c:v>
                </c:pt>
                <c:pt idx="25">
                  <c:v>73.834559224338847</c:v>
                </c:pt>
                <c:pt idx="26">
                  <c:v>79.672581593312401</c:v>
                </c:pt>
                <c:pt idx="27">
                  <c:v>85.510603962285956</c:v>
                </c:pt>
                <c:pt idx="28">
                  <c:v>91.348626331259482</c:v>
                </c:pt>
                <c:pt idx="29">
                  <c:v>97.186648700233036</c:v>
                </c:pt>
              </c:numCache>
            </c:numRef>
          </c:xVal>
          <c:yVal>
            <c:numRef>
              <c:f>Diagrammdaten!$K$329:$K$358</c:f>
              <c:numCache>
                <c:formatCode>General</c:formatCode>
                <c:ptCount val="30"/>
                <c:pt idx="0">
                  <c:v>2.4780051259929632</c:v>
                </c:pt>
                <c:pt idx="1">
                  <c:v>3.2104599332675336</c:v>
                </c:pt>
                <c:pt idx="2">
                  <c:v>4.0147345983788778</c:v>
                </c:pt>
                <c:pt idx="3">
                  <c:v>4.8949818046756448</c:v>
                </c:pt>
                <c:pt idx="4">
                  <c:v>5.8564245962950601</c:v>
                </c:pt>
                <c:pt idx="5">
                  <c:v>6.9029427794701999</c:v>
                </c:pt>
                <c:pt idx="6">
                  <c:v>8.0394947701484778</c:v>
                </c:pt>
                <c:pt idx="7">
                  <c:v>9.2713091561138921</c:v>
                </c:pt>
                <c:pt idx="8">
                  <c:v>10.603085389059821</c:v>
                </c:pt>
                <c:pt idx="9">
                  <c:v>12.039852172418426</c:v>
                </c:pt>
                <c:pt idx="10">
                  <c:v>13.586873765952987</c:v>
                </c:pt>
                <c:pt idx="11">
                  <c:v>15.249592936904534</c:v>
                </c:pt>
                <c:pt idx="12">
                  <c:v>17.033658727159636</c:v>
                </c:pt>
                <c:pt idx="13">
                  <c:v>18.945376817165933</c:v>
                </c:pt>
                <c:pt idx="14">
                  <c:v>20.990785665133657</c:v>
                </c:pt>
                <c:pt idx="15">
                  <c:v>23.176208762572006</c:v>
                </c:pt>
                <c:pt idx="16">
                  <c:v>25.508607393240041</c:v>
                </c:pt>
                <c:pt idx="17">
                  <c:v>27.995474228307575</c:v>
                </c:pt>
                <c:pt idx="18">
                  <c:v>30.644973518769611</c:v>
                </c:pt>
                <c:pt idx="19">
                  <c:v>33.466550208449242</c:v>
                </c:pt>
                <c:pt idx="20">
                  <c:v>36.470502620113258</c:v>
                </c:pt>
                <c:pt idx="21">
                  <c:v>39.668178690413654</c:v>
                </c:pt>
                <c:pt idx="22">
                  <c:v>43.073587576943865</c:v>
                </c:pt>
                <c:pt idx="23">
                  <c:v>46.703908661604409</c:v>
                </c:pt>
                <c:pt idx="24">
                  <c:v>50.58211318954023</c:v>
                </c:pt>
                <c:pt idx="25">
                  <c:v>54.739597871776695</c:v>
                </c:pt>
                <c:pt idx="26">
                  <c:v>59.295247173517502</c:v>
                </c:pt>
                <c:pt idx="27">
                  <c:v>64.156072857380096</c:v>
                </c:pt>
                <c:pt idx="28">
                  <c:v>69.693005578099459</c:v>
                </c:pt>
                <c:pt idx="29">
                  <c:v>77.896473762668705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2-4AA2-A5E5-E42C5A32E27A}"/>
            </c:ext>
          </c:extLst>
        </c:ser>
        <c:ser>
          <c:idx val="12"/>
          <c:order val="10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Diagrammdaten!$M$123</c:f>
              <c:numCache>
                <c:formatCode>General</c:formatCode>
                <c:ptCount val="1"/>
                <c:pt idx="0">
                  <c:v>96.909442549065488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81.455055721913254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652-4AA2-A5E5-E42C5A32E27A}"/>
            </c:ext>
          </c:extLst>
        </c:ser>
        <c:ser>
          <c:idx val="13"/>
          <c:order val="11"/>
          <c:tx>
            <c:v>S1: Pumpe</c:v>
          </c:tx>
          <c:spPr>
            <a:ln w="34925">
              <a:solidFill>
                <a:srgbClr val="007335"/>
              </a:solidFill>
            </a:ln>
          </c:spPr>
          <c:marker>
            <c:symbol val="diamond"/>
            <c:size val="8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de-DE"/>
                      <a:t>S1 Netzübergabe
91 bar / 15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A652-4AA2-A5E5-E42C5A32E27A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de-DE"/>
                      <a:t>Pumpe → Bohrlochkopf
114,3 bar / 18,3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A652-4AA2-A5E5-E42C5A32E27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Diagrammdaten!$M$125:$M$126</c:f>
              <c:numCache>
                <c:formatCode>General</c:formatCode>
                <c:ptCount val="2"/>
                <c:pt idx="0">
                  <c:v>71</c:v>
                </c:pt>
                <c:pt idx="1">
                  <c:v>77.791238453403778</c:v>
                </c:pt>
              </c:numCache>
            </c:numRef>
          </c:xVal>
          <c:yVal>
            <c:numRef>
              <c:f>Diagrammdaten!$K$125:$K$126</c:f>
              <c:numCache>
                <c:formatCode>General</c:formatCode>
                <c:ptCount val="2"/>
                <c:pt idx="0">
                  <c:v>91</c:v>
                </c:pt>
                <c:pt idx="1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2-4AA2-A5E5-E42C5A32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3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At val="1"/>
        <c:crossBetween val="between"/>
        <c:majorUnit val="10"/>
      </c:valAx>
      <c:valAx>
        <c:axId val="60080002"/>
        <c:scaling>
          <c:orientation val="minMax"/>
          <c:max val="13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valAx>
        <c:axId val="6008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80002"/>
        <c:crosses val="autoZero"/>
        <c:crossBetween val="midCat"/>
      </c:valAx>
    </c:plotArea>
    <c:legend>
      <c:legendPos val="r"/>
      <c:legendEntry>
        <c:idx val="6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6_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00304F"/>
                </a:solidFill>
              </a:defRPr>
            </a:pPr>
            <a:r>
              <a:rPr lang="de-DE"/>
              <a:t>Spezifische Arbeit bis zum Bohrlochkopf [kJ/kg]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'Einspeicherung S2'!$D$74</c:f>
              <c:strCache>
                <c:ptCount val="1"/>
                <c:pt idx="0">
                  <c:v>Verdichter 1. Stufe</c:v>
                </c:pt>
              </c:strCache>
            </c:strRef>
          </c:tx>
          <c:spPr>
            <a:solidFill>
              <a:srgbClr val="EE7203"/>
            </a:solidFill>
          </c:spPr>
          <c:invertIfNegative val="0"/>
          <c:cat>
            <c:strRef>
              <c:f>'Einspeicherung S2'!$C$75:$C$78</c:f>
              <c:strCache>
                <c:ptCount val="4"/>
                <c:pt idx="0">
                  <c:v>S1: Pumpe</c:v>
                </c:pt>
                <c:pt idx="1">
                  <c:v>S2 gewählt (B)</c:v>
                </c:pt>
                <c:pt idx="2">
                  <c:v>Alternative A: verflüssigen</c:v>
                </c:pt>
                <c:pt idx="3">
                  <c:v>Alternative C: durchverdichten</c:v>
                </c:pt>
              </c:strCache>
            </c:strRef>
          </c:cat>
          <c:val>
            <c:numRef>
              <c:f>'Einspeicherung S2'!$D$75:$D$78</c:f>
              <c:numCache>
                <c:formatCode>0.00</c:formatCode>
                <c:ptCount val="4"/>
                <c:pt idx="0">
                  <c:v>0</c:v>
                </c:pt>
                <c:pt idx="1">
                  <c:v>29.357183000604437</c:v>
                </c:pt>
                <c:pt idx="2">
                  <c:v>28.11953813276341</c:v>
                </c:pt>
                <c:pt idx="3">
                  <c:v>31.751301030879631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9-495E-AD60-D1A875467551}"/>
            </c:ext>
          </c:extLst>
        </c:ser>
        <c:ser>
          <c:idx val="1"/>
          <c:order val="1"/>
          <c:tx>
            <c:strRef>
              <c:f>'Einspeicherung S2'!$E$74</c:f>
              <c:strCache>
                <c:ptCount val="1"/>
                <c:pt idx="0">
                  <c:v>Verdichter 2. Stufe</c:v>
                </c:pt>
              </c:strCache>
            </c:strRef>
          </c:tx>
          <c:spPr>
            <a:solidFill>
              <a:srgbClr val="F4B183"/>
            </a:solidFill>
          </c:spPr>
          <c:invertIfNegative val="0"/>
          <c:cat>
            <c:strRef>
              <c:f>'Einspeicherung S2'!$C$75:$C$78</c:f>
              <c:strCache>
                <c:ptCount val="4"/>
                <c:pt idx="0">
                  <c:v>S1: Pumpe</c:v>
                </c:pt>
                <c:pt idx="1">
                  <c:v>S2 gewählt (B)</c:v>
                </c:pt>
                <c:pt idx="2">
                  <c:v>Alternative A: verflüssigen</c:v>
                </c:pt>
                <c:pt idx="3">
                  <c:v>Alternative C: durchverdichten</c:v>
                </c:pt>
              </c:strCache>
            </c:strRef>
          </c:cat>
          <c:val>
            <c:numRef>
              <c:f>'Einspeicherung S2'!$E$75:$E$78</c:f>
              <c:numCache>
                <c:formatCode>0.00</c:formatCode>
                <c:ptCount val="4"/>
                <c:pt idx="0">
                  <c:v>0</c:v>
                </c:pt>
                <c:pt idx="1">
                  <c:v>32.368303654819385</c:v>
                </c:pt>
                <c:pt idx="2">
                  <c:v>24.794489797663005</c:v>
                </c:pt>
                <c:pt idx="3">
                  <c:v>43.13970004782044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79-495E-AD60-D1A875467551}"/>
            </c:ext>
          </c:extLst>
        </c:ser>
        <c:ser>
          <c:idx val="2"/>
          <c:order val="2"/>
          <c:tx>
            <c:strRef>
              <c:f>'Einspeicherung S2'!$F$74</c:f>
              <c:strCache>
                <c:ptCount val="1"/>
                <c:pt idx="0">
                  <c:v>Pumpe</c:v>
                </c:pt>
              </c:strCache>
            </c:strRef>
          </c:tx>
          <c:spPr>
            <a:solidFill>
              <a:srgbClr val="007335"/>
            </a:solidFill>
          </c:spPr>
          <c:invertIfNegative val="0"/>
          <c:cat>
            <c:strRef>
              <c:f>'Einspeicherung S2'!$C$75:$C$78</c:f>
              <c:strCache>
                <c:ptCount val="4"/>
                <c:pt idx="0">
                  <c:v>S1: Pumpe</c:v>
                </c:pt>
                <c:pt idx="1">
                  <c:v>S2 gewählt (B)</c:v>
                </c:pt>
                <c:pt idx="2">
                  <c:v>Alternative A: verflüssigen</c:v>
                </c:pt>
                <c:pt idx="3">
                  <c:v>Alternative C: durchverdichten</c:v>
                </c:pt>
              </c:strCache>
            </c:strRef>
          </c:cat>
          <c:val>
            <c:numRef>
              <c:f>'Einspeicherung S2'!$F$75:$F$78</c:f>
              <c:numCache>
                <c:formatCode>0.00</c:formatCode>
                <c:ptCount val="4"/>
                <c:pt idx="0">
                  <c:v>3.7235121065057797</c:v>
                </c:pt>
                <c:pt idx="1">
                  <c:v>4.4414613289754925</c:v>
                </c:pt>
                <c:pt idx="2">
                  <c:v>6.0348335753491256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79-495E-AD60-D1A875467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111042576"/>
        <c:axId val="1479758832"/>
      </c:barChart>
      <c:catAx>
        <c:axId val="21110425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479758832"/>
        <c:crosses val="autoZero"/>
        <c:auto val="1"/>
        <c:lblAlgn val="ctr"/>
        <c:lblOffset val="100"/>
        <c:noMultiLvlLbl val="0"/>
      </c:catAx>
      <c:valAx>
        <c:axId val="1479758832"/>
        <c:scaling>
          <c:orientation val="minMax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numFmt formatCode="0.00" sourceLinked="1"/>
        <c:majorTickMark val="out"/>
        <c:minorTickMark val="none"/>
        <c:tickLblPos val="nextTo"/>
        <c:crossAx val="21110425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7" r="0.7" t="0.78740157499999996" header="0.3" footer="0.3"/>
    <c:pageSetup/>
  </c:printSettings>
</c:chartSpace>
</file>

<file path=xl/charts/chart_orig6_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S2 im Phasendiagramm: verdichten, überkritisch kühlen, pumpen (Worst-Case-Gemisch)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Diagrammdaten!$C$128:$C$388</c:f>
              <c:strCache>
                <c:ptCount val="24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  <c:pt idx="200">
                  <c:v>80</c:v>
                </c:pt>
                <c:pt idx="240">
                  <c:v>100</c:v>
                </c:pt>
              </c:strCache>
            </c:strRef>
          </c:cat>
          <c:val>
            <c:numRef>
              <c:f>Diagrammdaten!$D$128:$D$388</c:f>
              <c:numCache>
                <c:formatCode>General</c:formatCode>
                <c:ptCount val="261"/>
                <c:pt idx="0">
                  <c:v>21.019382247337123</c:v>
                </c:pt>
                <c:pt idx="1">
                  <c:v>21.349243928996074</c:v>
                </c:pt>
                <c:pt idx="2">
                  <c:v>21.682967151690651</c:v>
                </c:pt>
                <c:pt idx="3">
                  <c:v>22.020583480496693</c:v>
                </c:pt>
                <c:pt idx="4">
                  <c:v>22.362124772082222</c:v>
                </c:pt>
                <c:pt idx="5">
                  <c:v>22.707623184526081</c:v>
                </c:pt>
                <c:pt idx="6">
                  <c:v>23.057111187672984</c:v>
                </c:pt>
                <c:pt idx="7">
                  <c:v>23.410621573866361</c:v>
                </c:pt>
                <c:pt idx="8">
                  <c:v>23.768187469338002</c:v>
                </c:pt>
                <c:pt idx="9">
                  <c:v>24.12984234599627</c:v>
                </c:pt>
                <c:pt idx="10">
                  <c:v>24.495620033870402</c:v>
                </c:pt>
                <c:pt idx="11">
                  <c:v>24.865534504483001</c:v>
                </c:pt>
                <c:pt idx="12">
                  <c:v>25.239681032717183</c:v>
                </c:pt>
                <c:pt idx="13">
                  <c:v>25.618033914754317</c:v>
                </c:pt>
                <c:pt idx="14">
                  <c:v>26.000648779532593</c:v>
                </c:pt>
                <c:pt idx="15">
                  <c:v>26.387561456360864</c:v>
                </c:pt>
                <c:pt idx="16">
                  <c:v>26.77880822122118</c:v>
                </c:pt>
                <c:pt idx="17">
                  <c:v>27.174425814219134</c:v>
                </c:pt>
                <c:pt idx="18">
                  <c:v>27.574451458074829</c:v>
                </c:pt>
                <c:pt idx="19">
                  <c:v>27.978922877476542</c:v>
                </c:pt>
                <c:pt idx="20">
                  <c:v>28.387878319565097</c:v>
                </c:pt>
                <c:pt idx="21">
                  <c:v>28.801356575535983</c:v>
                </c:pt>
                <c:pt idx="22">
                  <c:v>29.21966600247509</c:v>
                </c:pt>
                <c:pt idx="23">
                  <c:v>29.644089510561468</c:v>
                </c:pt>
                <c:pt idx="24">
                  <c:v>30.069598596144392</c:v>
                </c:pt>
                <c:pt idx="25">
                  <c:v>30.503380530925153</c:v>
                </c:pt>
                <c:pt idx="26">
                  <c:v>30.937988822707315</c:v>
                </c:pt>
                <c:pt idx="27">
                  <c:v>31.379452087235325</c:v>
                </c:pt>
                <c:pt idx="28">
                  <c:v>31.82572702823888</c:v>
                </c:pt>
                <c:pt idx="29">
                  <c:v>32.276857732169212</c:v>
                </c:pt>
                <c:pt idx="30">
                  <c:v>32.732889090722054</c:v>
                </c:pt>
                <c:pt idx="31">
                  <c:v>33.193866839690045</c:v>
                </c:pt>
                <c:pt idx="32">
                  <c:v>33.659837600410995</c:v>
                </c:pt>
                <c:pt idx="33">
                  <c:v>34.130848923988133</c:v>
                </c:pt>
                <c:pt idx="34">
                  <c:v>34.606949338621241</c:v>
                </c:pt>
                <c:pt idx="35">
                  <c:v>35.088188400233264</c:v>
                </c:pt>
                <c:pt idx="36">
                  <c:v>35.574616746776918</c:v>
                </c:pt>
                <c:pt idx="37">
                  <c:v>36.066286156425733</c:v>
                </c:pt>
                <c:pt idx="38">
                  <c:v>36.563249610200728</c:v>
                </c:pt>
                <c:pt idx="39">
                  <c:v>37.065561359218584</c:v>
                </c:pt>
                <c:pt idx="40">
                  <c:v>37.573276997210179</c:v>
                </c:pt>
                <c:pt idx="41">
                  <c:v>38.086453538633471</c:v>
                </c:pt>
                <c:pt idx="42">
                  <c:v>38.60514950304249</c:v>
                </c:pt>
                <c:pt idx="43">
                  <c:v>39.129425006292543</c:v>
                </c:pt>
                <c:pt idx="44">
                  <c:v>39.659341859162808</c:v>
                </c:pt>
                <c:pt idx="45">
                  <c:v>40.19496367434504</c:v>
                </c:pt>
                <c:pt idx="46">
                  <c:v>40.736355982418857</c:v>
                </c:pt>
                <c:pt idx="47">
                  <c:v>41.283586357901441</c:v>
                </c:pt>
                <c:pt idx="48">
                  <c:v>41.836420633447588</c:v>
                </c:pt>
                <c:pt idx="49">
                  <c:v>42.3958426640854</c:v>
                </c:pt>
                <c:pt idx="50">
                  <c:v>42.961015260630354</c:v>
                </c:pt>
                <c:pt idx="51">
                  <c:v>43.532319597590259</c:v>
                </c:pt>
                <c:pt idx="52">
                  <c:v>44.109835793581581</c:v>
                </c:pt>
                <c:pt idx="53">
                  <c:v>44.693647048409758</c:v>
                </c:pt>
                <c:pt idx="54">
                  <c:v>45.283839878592119</c:v>
                </c:pt>
                <c:pt idx="55">
                  <c:v>45.880504376789766</c:v>
                </c:pt>
                <c:pt idx="56">
                  <c:v>46.483734498420105</c:v>
                </c:pt>
                <c:pt idx="57">
                  <c:v>47.093628379086717</c:v>
                </c:pt>
                <c:pt idx="58">
                  <c:v>47.710288687124077</c:v>
                </c:pt>
                <c:pt idx="59">
                  <c:v>48.333823016385388</c:v>
                </c:pt>
                <c:pt idx="60">
                  <c:v>48.964344325289865</c:v>
                </c:pt>
                <c:pt idx="61">
                  <c:v>49.601909301745991</c:v>
                </c:pt>
                <c:pt idx="62">
                  <c:v>50.246829555681302</c:v>
                </c:pt>
                <c:pt idx="63">
                  <c:v>50.899050970206332</c:v>
                </c:pt>
                <c:pt idx="64">
                  <c:v>51.558775689360345</c:v>
                </c:pt>
                <c:pt idx="65">
                  <c:v>52.226152292085246</c:v>
                </c:pt>
                <c:pt idx="66">
                  <c:v>52.901338850141386</c:v>
                </c:pt>
                <c:pt idx="67">
                  <c:v>53.584503999302882</c:v>
                </c:pt>
                <c:pt idx="68">
                  <c:v>54.275828179093409</c:v>
                </c:pt>
                <c:pt idx="69">
                  <c:v>54.975505075157592</c:v>
                </c:pt>
                <c:pt idx="70">
                  <c:v>55.683743306690538</c:v>
                </c:pt>
                <c:pt idx="71">
                  <c:v>56.400768411846606</c:v>
                </c:pt>
                <c:pt idx="72">
                  <c:v>57.126825197876414</c:v>
                </c:pt>
                <c:pt idx="73">
                  <c:v>57.862180540579779</c:v>
                </c:pt>
                <c:pt idx="74">
                  <c:v>58.607126741337744</c:v>
                </c:pt>
                <c:pt idx="75">
                  <c:v>59.361985581713512</c:v>
                </c:pt>
                <c:pt idx="76">
                  <c:v>60.131197783688393</c:v>
                </c:pt>
                <c:pt idx="77">
                  <c:v>60.94092026147699</c:v>
                </c:pt>
                <c:pt idx="78">
                  <c:v>61.750642739265587</c:v>
                </c:pt>
                <c:pt idx="79">
                  <c:v>62.560365217054184</c:v>
                </c:pt>
                <c:pt idx="80">
                  <c:v>63.37008769484278</c:v>
                </c:pt>
                <c:pt idx="81">
                  <c:v>64.179810172631377</c:v>
                </c:pt>
                <c:pt idx="82">
                  <c:v>64.989532650419974</c:v>
                </c:pt>
                <c:pt idx="83">
                  <c:v>65.817354559425965</c:v>
                </c:pt>
                <c:pt idx="84">
                  <c:v>66.703568505223032</c:v>
                </c:pt>
                <c:pt idx="85">
                  <c:v>67.589782451020099</c:v>
                </c:pt>
                <c:pt idx="86">
                  <c:v>68.475996396817166</c:v>
                </c:pt>
                <c:pt idx="87">
                  <c:v>69.40522495773665</c:v>
                </c:pt>
                <c:pt idx="88">
                  <c:v>70.363800093024707</c:v>
                </c:pt>
                <c:pt idx="89">
                  <c:v>71.322375228312765</c:v>
                </c:pt>
                <c:pt idx="90">
                  <c:v>72.325229642539654</c:v>
                </c:pt>
                <c:pt idx="91">
                  <c:v>73.38015838022605</c:v>
                </c:pt>
                <c:pt idx="92">
                  <c:v>74.43508711791246</c:v>
                </c:pt>
                <c:pt idx="93">
                  <c:v>75.61815476681673</c:v>
                </c:pt>
                <c:pt idx="94">
                  <c:v>76.817922880286346</c:v>
                </c:pt>
                <c:pt idx="95">
                  <c:v>78.254414833855236</c:v>
                </c:pt>
                <c:pt idx="96">
                  <c:v>81.455055721913254</c:v>
                </c:pt>
                <c:pt idx="97">
                  <c:v>81.455055721913254</c:v>
                </c:pt>
                <c:pt idx="98">
                  <c:v>81.455055721913254</c:v>
                </c:pt>
                <c:pt idx="99">
                  <c:v>81.455055721913254</c:v>
                </c:pt>
                <c:pt idx="100">
                  <c:v>81.455055721913254</c:v>
                </c:pt>
                <c:pt idx="101">
                  <c:v>81.455055721913254</c:v>
                </c:pt>
                <c:pt idx="102">
                  <c:v>81.455055721913254</c:v>
                </c:pt>
                <c:pt idx="103">
                  <c:v>81.455055721913254</c:v>
                </c:pt>
                <c:pt idx="104">
                  <c:v>81.455055721913254</c:v>
                </c:pt>
                <c:pt idx="105">
                  <c:v>81.455055721913254</c:v>
                </c:pt>
                <c:pt idx="106">
                  <c:v>81.455055721913254</c:v>
                </c:pt>
                <c:pt idx="107">
                  <c:v>81.455055721913254</c:v>
                </c:pt>
                <c:pt idx="108">
                  <c:v>81.455055721913254</c:v>
                </c:pt>
                <c:pt idx="109">
                  <c:v>81.455055721913254</c:v>
                </c:pt>
                <c:pt idx="110">
                  <c:v>81.455055721913254</c:v>
                </c:pt>
                <c:pt idx="111">
                  <c:v>81.455055721913254</c:v>
                </c:pt>
                <c:pt idx="112">
                  <c:v>81.455055721913254</c:v>
                </c:pt>
                <c:pt idx="113">
                  <c:v>81.455055721913254</c:v>
                </c:pt>
                <c:pt idx="114">
                  <c:v>81.455055721913254</c:v>
                </c:pt>
                <c:pt idx="115">
                  <c:v>81.455055721913254</c:v>
                </c:pt>
                <c:pt idx="116">
                  <c:v>81.455055721913254</c:v>
                </c:pt>
                <c:pt idx="117">
                  <c:v>81.455055721913254</c:v>
                </c:pt>
                <c:pt idx="118">
                  <c:v>81.455055721913254</c:v>
                </c:pt>
                <c:pt idx="119">
                  <c:v>81.455055721913254</c:v>
                </c:pt>
                <c:pt idx="120">
                  <c:v>81.455055721913254</c:v>
                </c:pt>
                <c:pt idx="121">
                  <c:v>81.455055721913254</c:v>
                </c:pt>
                <c:pt idx="122">
                  <c:v>81.455055721913254</c:v>
                </c:pt>
                <c:pt idx="123">
                  <c:v>81.455055721913254</c:v>
                </c:pt>
                <c:pt idx="124">
                  <c:v>81.455055721913254</c:v>
                </c:pt>
                <c:pt idx="125">
                  <c:v>81.455055721913254</c:v>
                </c:pt>
                <c:pt idx="126">
                  <c:v>81.455055721913254</c:v>
                </c:pt>
                <c:pt idx="127">
                  <c:v>81.455055721913254</c:v>
                </c:pt>
                <c:pt idx="128">
                  <c:v>81.455055721913254</c:v>
                </c:pt>
                <c:pt idx="129">
                  <c:v>81.455055721913254</c:v>
                </c:pt>
                <c:pt idx="130">
                  <c:v>81.455055721913254</c:v>
                </c:pt>
                <c:pt idx="131">
                  <c:v>81.455055721913254</c:v>
                </c:pt>
                <c:pt idx="132">
                  <c:v>81.455055721913254</c:v>
                </c:pt>
                <c:pt idx="133">
                  <c:v>81.455055721913254</c:v>
                </c:pt>
                <c:pt idx="134">
                  <c:v>81.455055721913254</c:v>
                </c:pt>
                <c:pt idx="135">
                  <c:v>81.455055721913254</c:v>
                </c:pt>
                <c:pt idx="136">
                  <c:v>81.455055721913254</c:v>
                </c:pt>
                <c:pt idx="137">
                  <c:v>81.455055721913254</c:v>
                </c:pt>
                <c:pt idx="138">
                  <c:v>81.455055721913254</c:v>
                </c:pt>
                <c:pt idx="139">
                  <c:v>81.455055721913254</c:v>
                </c:pt>
                <c:pt idx="140">
                  <c:v>81.455055721913254</c:v>
                </c:pt>
                <c:pt idx="141">
                  <c:v>81.455055721913254</c:v>
                </c:pt>
                <c:pt idx="142">
                  <c:v>81.455055721913254</c:v>
                </c:pt>
                <c:pt idx="143">
                  <c:v>81.455055721913254</c:v>
                </c:pt>
                <c:pt idx="144">
                  <c:v>81.455055721913254</c:v>
                </c:pt>
                <c:pt idx="145">
                  <c:v>81.455055721913254</c:v>
                </c:pt>
                <c:pt idx="146">
                  <c:v>81.455055721913254</c:v>
                </c:pt>
                <c:pt idx="147">
                  <c:v>81.455055721913254</c:v>
                </c:pt>
                <c:pt idx="148">
                  <c:v>81.455055721913254</c:v>
                </c:pt>
                <c:pt idx="149">
                  <c:v>81.455055721913254</c:v>
                </c:pt>
                <c:pt idx="150">
                  <c:v>81.455055721913254</c:v>
                </c:pt>
                <c:pt idx="151">
                  <c:v>81.455055721913254</c:v>
                </c:pt>
                <c:pt idx="152">
                  <c:v>81.455055721913254</c:v>
                </c:pt>
                <c:pt idx="153">
                  <c:v>81.455055721913254</c:v>
                </c:pt>
                <c:pt idx="154">
                  <c:v>81.455055721913254</c:v>
                </c:pt>
                <c:pt idx="155">
                  <c:v>81.455055721913254</c:v>
                </c:pt>
                <c:pt idx="156">
                  <c:v>81.455055721913254</c:v>
                </c:pt>
                <c:pt idx="157">
                  <c:v>81.455055721913254</c:v>
                </c:pt>
                <c:pt idx="158">
                  <c:v>81.455055721913254</c:v>
                </c:pt>
                <c:pt idx="159">
                  <c:v>81.455055721913254</c:v>
                </c:pt>
                <c:pt idx="160">
                  <c:v>81.455055721913254</c:v>
                </c:pt>
                <c:pt idx="161">
                  <c:v>81.455055721913254</c:v>
                </c:pt>
                <c:pt idx="162">
                  <c:v>81.455055721913254</c:v>
                </c:pt>
                <c:pt idx="163">
                  <c:v>81.455055721913254</c:v>
                </c:pt>
                <c:pt idx="164">
                  <c:v>81.455055721913254</c:v>
                </c:pt>
                <c:pt idx="165">
                  <c:v>81.455055721913254</c:v>
                </c:pt>
                <c:pt idx="166">
                  <c:v>81.455055721913254</c:v>
                </c:pt>
                <c:pt idx="167">
                  <c:v>81.455055721913254</c:v>
                </c:pt>
                <c:pt idx="168">
                  <c:v>81.455055721913254</c:v>
                </c:pt>
                <c:pt idx="169">
                  <c:v>81.455055721913254</c:v>
                </c:pt>
                <c:pt idx="170">
                  <c:v>81.455055721913254</c:v>
                </c:pt>
                <c:pt idx="171">
                  <c:v>81.455055721913254</c:v>
                </c:pt>
                <c:pt idx="172">
                  <c:v>81.455055721913254</c:v>
                </c:pt>
                <c:pt idx="173">
                  <c:v>81.455055721913254</c:v>
                </c:pt>
                <c:pt idx="174">
                  <c:v>81.455055721913254</c:v>
                </c:pt>
                <c:pt idx="175">
                  <c:v>81.455055721913254</c:v>
                </c:pt>
                <c:pt idx="176">
                  <c:v>81.455055721913254</c:v>
                </c:pt>
                <c:pt idx="177">
                  <c:v>81.455055721913254</c:v>
                </c:pt>
                <c:pt idx="178">
                  <c:v>81.455055721913254</c:v>
                </c:pt>
                <c:pt idx="179">
                  <c:v>81.455055721913254</c:v>
                </c:pt>
                <c:pt idx="180">
                  <c:v>81.455055721913254</c:v>
                </c:pt>
                <c:pt idx="181">
                  <c:v>81.455055721913254</c:v>
                </c:pt>
                <c:pt idx="182">
                  <c:v>81.455055721913254</c:v>
                </c:pt>
                <c:pt idx="183">
                  <c:v>81.455055721913254</c:v>
                </c:pt>
                <c:pt idx="184">
                  <c:v>81.455055721913254</c:v>
                </c:pt>
                <c:pt idx="185">
                  <c:v>81.455055721913254</c:v>
                </c:pt>
                <c:pt idx="186">
                  <c:v>81.455055721913254</c:v>
                </c:pt>
                <c:pt idx="187">
                  <c:v>81.455055721913254</c:v>
                </c:pt>
                <c:pt idx="188">
                  <c:v>81.455055721913254</c:v>
                </c:pt>
                <c:pt idx="189">
                  <c:v>81.455055721913254</c:v>
                </c:pt>
                <c:pt idx="190">
                  <c:v>81.455055721913254</c:v>
                </c:pt>
                <c:pt idx="191">
                  <c:v>81.455055721913254</c:v>
                </c:pt>
                <c:pt idx="192">
                  <c:v>81.455055721913254</c:v>
                </c:pt>
                <c:pt idx="193">
                  <c:v>81.455055721913254</c:v>
                </c:pt>
                <c:pt idx="194">
                  <c:v>81.455055721913254</c:v>
                </c:pt>
                <c:pt idx="195">
                  <c:v>81.455055721913254</c:v>
                </c:pt>
                <c:pt idx="196">
                  <c:v>81.455055721913254</c:v>
                </c:pt>
                <c:pt idx="197">
                  <c:v>81.455055721913254</c:v>
                </c:pt>
                <c:pt idx="198">
                  <c:v>81.455055721913254</c:v>
                </c:pt>
                <c:pt idx="199">
                  <c:v>81.455055721913254</c:v>
                </c:pt>
                <c:pt idx="200">
                  <c:v>81.455055721913254</c:v>
                </c:pt>
                <c:pt idx="201">
                  <c:v>81.455055721913254</c:v>
                </c:pt>
                <c:pt idx="202">
                  <c:v>81.455055721913254</c:v>
                </c:pt>
                <c:pt idx="203">
                  <c:v>81.455055721913254</c:v>
                </c:pt>
                <c:pt idx="204">
                  <c:v>81.455055721913254</c:v>
                </c:pt>
                <c:pt idx="205">
                  <c:v>81.455055721913254</c:v>
                </c:pt>
                <c:pt idx="206">
                  <c:v>81.455055721913254</c:v>
                </c:pt>
                <c:pt idx="207">
                  <c:v>81.455055721913254</c:v>
                </c:pt>
                <c:pt idx="208">
                  <c:v>81.455055721913254</c:v>
                </c:pt>
                <c:pt idx="209">
                  <c:v>81.455055721913254</c:v>
                </c:pt>
                <c:pt idx="210">
                  <c:v>81.455055721913254</c:v>
                </c:pt>
                <c:pt idx="211">
                  <c:v>81.455055721913254</c:v>
                </c:pt>
                <c:pt idx="212">
                  <c:v>81.455055721913254</c:v>
                </c:pt>
                <c:pt idx="213">
                  <c:v>81.455055721913254</c:v>
                </c:pt>
                <c:pt idx="214">
                  <c:v>81.455055721913254</c:v>
                </c:pt>
                <c:pt idx="215">
                  <c:v>81.455055721913254</c:v>
                </c:pt>
                <c:pt idx="216">
                  <c:v>81.455055721913254</c:v>
                </c:pt>
                <c:pt idx="217">
                  <c:v>81.455055721913254</c:v>
                </c:pt>
                <c:pt idx="218">
                  <c:v>81.455055721913254</c:v>
                </c:pt>
                <c:pt idx="219">
                  <c:v>81.455055721913254</c:v>
                </c:pt>
                <c:pt idx="220">
                  <c:v>81.455055721913254</c:v>
                </c:pt>
                <c:pt idx="221">
                  <c:v>81.455055721913254</c:v>
                </c:pt>
                <c:pt idx="222">
                  <c:v>81.455055721913254</c:v>
                </c:pt>
                <c:pt idx="223">
                  <c:v>81.455055721913254</c:v>
                </c:pt>
                <c:pt idx="224">
                  <c:v>81.455055721913254</c:v>
                </c:pt>
                <c:pt idx="225">
                  <c:v>81.455055721913254</c:v>
                </c:pt>
                <c:pt idx="226">
                  <c:v>81.455055721913254</c:v>
                </c:pt>
                <c:pt idx="227">
                  <c:v>81.455055721913254</c:v>
                </c:pt>
                <c:pt idx="228">
                  <c:v>81.455055721913254</c:v>
                </c:pt>
                <c:pt idx="229">
                  <c:v>81.455055721913254</c:v>
                </c:pt>
                <c:pt idx="230">
                  <c:v>81.455055721913254</c:v>
                </c:pt>
                <c:pt idx="231">
                  <c:v>81.455055721913254</c:v>
                </c:pt>
                <c:pt idx="232">
                  <c:v>81.455055721913254</c:v>
                </c:pt>
                <c:pt idx="233">
                  <c:v>81.455055721913254</c:v>
                </c:pt>
                <c:pt idx="234">
                  <c:v>81.455055721913254</c:v>
                </c:pt>
                <c:pt idx="235">
                  <c:v>81.455055721913254</c:v>
                </c:pt>
                <c:pt idx="236">
                  <c:v>81.455055721913254</c:v>
                </c:pt>
                <c:pt idx="237">
                  <c:v>81.455055721913254</c:v>
                </c:pt>
                <c:pt idx="238">
                  <c:v>81.455055721913254</c:v>
                </c:pt>
                <c:pt idx="239">
                  <c:v>81.455055721913254</c:v>
                </c:pt>
                <c:pt idx="240">
                  <c:v>81.455055721913254</c:v>
                </c:pt>
                <c:pt idx="241">
                  <c:v>81.455055721913254</c:v>
                </c:pt>
                <c:pt idx="242">
                  <c:v>81.455055721913254</c:v>
                </c:pt>
                <c:pt idx="243">
                  <c:v>81.455055721913254</c:v>
                </c:pt>
                <c:pt idx="244">
                  <c:v>81.455055721913254</c:v>
                </c:pt>
                <c:pt idx="245">
                  <c:v>81.455055721913254</c:v>
                </c:pt>
                <c:pt idx="246">
                  <c:v>81.455055721913254</c:v>
                </c:pt>
                <c:pt idx="247">
                  <c:v>81.455055721913254</c:v>
                </c:pt>
                <c:pt idx="248">
                  <c:v>81.455055721913254</c:v>
                </c:pt>
                <c:pt idx="249">
                  <c:v>81.455055721913254</c:v>
                </c:pt>
                <c:pt idx="250">
                  <c:v>81.455055721913254</c:v>
                </c:pt>
                <c:pt idx="251">
                  <c:v>81.455055721913254</c:v>
                </c:pt>
                <c:pt idx="252">
                  <c:v>81.455055721913254</c:v>
                </c:pt>
                <c:pt idx="253">
                  <c:v>81.455055721913254</c:v>
                </c:pt>
                <c:pt idx="254">
                  <c:v>81.455055721913254</c:v>
                </c:pt>
                <c:pt idx="255">
                  <c:v>81.455055721913254</c:v>
                </c:pt>
                <c:pt idx="256">
                  <c:v>81.455055721913254</c:v>
                </c:pt>
                <c:pt idx="257">
                  <c:v>81.455055721913254</c:v>
                </c:pt>
                <c:pt idx="258">
                  <c:v>81.455055721913254</c:v>
                </c:pt>
                <c:pt idx="259">
                  <c:v>81.455055721913254</c:v>
                </c:pt>
                <c:pt idx="260">
                  <c:v>81.455055721913254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1-40F0-8FF8-07BCA3849169}"/>
            </c:ext>
          </c:extLst>
        </c:ser>
        <c:ser>
          <c:idx val="1"/>
          <c:order val="1"/>
          <c:tx>
            <c:strRef>
              <c:f>Diagrammdaten!$H$7</c:f>
              <c:strCache>
                <c:ptCount val="1"/>
                <c:pt idx="0">
                  <c:v>zweiphasig [bar]</c:v>
                </c:pt>
              </c:strCache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Diagrammdaten!$C$128:$C$388</c:f>
              <c:strCache>
                <c:ptCount val="24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  <c:pt idx="200">
                  <c:v>80</c:v>
                </c:pt>
                <c:pt idx="240">
                  <c:v>100</c:v>
                </c:pt>
              </c:strCache>
            </c:strRef>
          </c:cat>
          <c:val>
            <c:numRef>
              <c:f>Diagrammdaten!$H$128:$H$388</c:f>
              <c:numCache>
                <c:formatCode>General</c:formatCode>
                <c:ptCount val="261"/>
                <c:pt idx="0">
                  <c:v>27.889712345938602</c:v>
                </c:pt>
                <c:pt idx="1">
                  <c:v>27.7356797829489</c:v>
                </c:pt>
                <c:pt idx="2">
                  <c:v>27.582518633945266</c:v>
                </c:pt>
                <c:pt idx="3">
                  <c:v>27.430182685894895</c:v>
                </c:pt>
                <c:pt idx="4">
                  <c:v>27.278625924175163</c:v>
                </c:pt>
                <c:pt idx="5">
                  <c:v>27.127802485424557</c:v>
                </c:pt>
                <c:pt idx="6">
                  <c:v>26.977666626624814</c:v>
                </c:pt>
                <c:pt idx="7">
                  <c:v>26.828172689814085</c:v>
                </c:pt>
                <c:pt idx="8">
                  <c:v>26.679275067686859</c:v>
                </c:pt>
                <c:pt idx="9">
                  <c:v>26.530928169258171</c:v>
                </c:pt>
                <c:pt idx="10">
                  <c:v>26.383086385531215</c:v>
                </c:pt>
                <c:pt idx="11">
                  <c:v>26.235724284797229</c:v>
                </c:pt>
                <c:pt idx="12">
                  <c:v>26.088735429977124</c:v>
                </c:pt>
                <c:pt idx="13">
                  <c:v>25.942134640404841</c:v>
                </c:pt>
                <c:pt idx="14">
                  <c:v>25.795855660508817</c:v>
                </c:pt>
                <c:pt idx="15">
                  <c:v>25.649852272701452</c:v>
                </c:pt>
                <c:pt idx="16">
                  <c:v>25.504078031716734</c:v>
                </c:pt>
                <c:pt idx="17">
                  <c:v>25.358486228024951</c:v>
                </c:pt>
                <c:pt idx="18">
                  <c:v>25.213029850092948</c:v>
                </c:pt>
                <c:pt idx="19">
                  <c:v>25.067661545601041</c:v>
                </c:pt>
                <c:pt idx="20">
                  <c:v>24.922333581097384</c:v>
                </c:pt>
                <c:pt idx="21">
                  <c:v>24.776997799896648</c:v>
                </c:pt>
                <c:pt idx="22">
                  <c:v>24.631336578838134</c:v>
                </c:pt>
                <c:pt idx="23">
                  <c:v>24.484057818450818</c:v>
                </c:pt>
                <c:pt idx="24">
                  <c:v>24.339976664075426</c:v>
                </c:pt>
                <c:pt idx="25">
                  <c:v>24.192509398302992</c:v>
                </c:pt>
                <c:pt idx="26">
                  <c:v>24.048480736166471</c:v>
                </c:pt>
                <c:pt idx="27">
                  <c:v>23.902057137392948</c:v>
                </c:pt>
                <c:pt idx="28">
                  <c:v>23.755272683840936</c:v>
                </c:pt>
                <c:pt idx="29">
                  <c:v>23.608073967583614</c:v>
                </c:pt>
                <c:pt idx="30">
                  <c:v>23.460406625214745</c:v>
                </c:pt>
                <c:pt idx="31">
                  <c:v>23.312215250677021</c:v>
                </c:pt>
                <c:pt idx="32">
                  <c:v>23.163443299727874</c:v>
                </c:pt>
                <c:pt idx="33">
                  <c:v>23.014032985302606</c:v>
                </c:pt>
                <c:pt idx="34">
                  <c:v>22.86392516272636</c:v>
                </c:pt>
                <c:pt idx="35">
                  <c:v>22.713059204025228</c:v>
                </c:pt>
                <c:pt idx="36">
                  <c:v>22.561372860469525</c:v>
                </c:pt>
                <c:pt idx="37">
                  <c:v>22.408802112505327</c:v>
                </c:pt>
                <c:pt idx="38">
                  <c:v>22.255281006314725</c:v>
                </c:pt>
                <c:pt idx="39">
                  <c:v>22.100741476466304</c:v>
                </c:pt>
                <c:pt idx="40">
                  <c:v>21.945113153903144</c:v>
                </c:pt>
                <c:pt idx="41">
                  <c:v>21.788323159090801</c:v>
                </c:pt>
                <c:pt idx="42">
                  <c:v>21.630295879975947</c:v>
                </c:pt>
                <c:pt idx="43">
                  <c:v>21.470952734567852</c:v>
                </c:pt>
                <c:pt idx="44">
                  <c:v>21.310211918655718</c:v>
                </c:pt>
                <c:pt idx="45">
                  <c:v>21.147988138551462</c:v>
                </c:pt>
                <c:pt idx="46">
                  <c:v>20.984192329795583</c:v>
                </c:pt>
                <c:pt idx="47">
                  <c:v>20.818731362358008</c:v>
                </c:pt>
                <c:pt idx="48">
                  <c:v>20.651811656141327</c:v>
                </c:pt>
                <c:pt idx="49">
                  <c:v>20.482419247103287</c:v>
                </c:pt>
                <c:pt idx="50">
                  <c:v>20.311161067758604</c:v>
                </c:pt>
                <c:pt idx="51">
                  <c:v>20.138213473714643</c:v>
                </c:pt>
                <c:pt idx="52">
                  <c:v>19.962865316287264</c:v>
                </c:pt>
                <c:pt idx="53">
                  <c:v>19.785189851884226</c:v>
                </c:pt>
                <c:pt idx="54">
                  <c:v>19.605056274126355</c:v>
                </c:pt>
                <c:pt idx="55">
                  <c:v>19.422326947044688</c:v>
                </c:pt>
                <c:pt idx="56">
                  <c:v>19.236856999637254</c:v>
                </c:pt>
                <c:pt idx="57">
                  <c:v>19.048493893594831</c:v>
                </c:pt>
                <c:pt idx="58">
                  <c:v>18.857076953167322</c:v>
                </c:pt>
                <c:pt idx="59">
                  <c:v>18.662436841669852</c:v>
                </c:pt>
                <c:pt idx="60">
                  <c:v>18.464394963440107</c:v>
                </c:pt>
                <c:pt idx="61">
                  <c:v>18.262824890968815</c:v>
                </c:pt>
                <c:pt idx="62">
                  <c:v>18.057340887726184</c:v>
                </c:pt>
                <c:pt idx="63">
                  <c:v>17.847918159776697</c:v>
                </c:pt>
                <c:pt idx="64">
                  <c:v>17.634270313168798</c:v>
                </c:pt>
                <c:pt idx="65">
                  <c:v>17.416158411818969</c:v>
                </c:pt>
                <c:pt idx="66">
                  <c:v>17.193326871870781</c:v>
                </c:pt>
                <c:pt idx="67">
                  <c:v>16.965496087201018</c:v>
                </c:pt>
                <c:pt idx="68">
                  <c:v>16.732383826169155</c:v>
                </c:pt>
                <c:pt idx="69">
                  <c:v>16.493652415254395</c:v>
                </c:pt>
                <c:pt idx="70">
                  <c:v>16.248952980994012</c:v>
                </c:pt>
                <c:pt idx="71">
                  <c:v>15.997895168462172</c:v>
                </c:pt>
                <c:pt idx="72">
                  <c:v>15.740045012259728</c:v>
                </c:pt>
                <c:pt idx="73">
                  <c:v>15.474916485412827</c:v>
                </c:pt>
                <c:pt idx="74">
                  <c:v>15.202028549938014</c:v>
                </c:pt>
                <c:pt idx="75">
                  <c:v>14.921069231022145</c:v>
                </c:pt>
                <c:pt idx="76">
                  <c:v>14.62589851865242</c:v>
                </c:pt>
                <c:pt idx="77">
                  <c:v>14.291299425644738</c:v>
                </c:pt>
                <c:pt idx="78">
                  <c:v>13.956700332637055</c:v>
                </c:pt>
                <c:pt idx="79">
                  <c:v>13.622101239629387</c:v>
                </c:pt>
                <c:pt idx="80">
                  <c:v>13.280763404159487</c:v>
                </c:pt>
                <c:pt idx="81">
                  <c:v>12.928686063309783</c:v>
                </c:pt>
                <c:pt idx="82">
                  <c:v>12.576608722460065</c:v>
                </c:pt>
                <c:pt idx="83">
                  <c:v>12.206431950392968</c:v>
                </c:pt>
                <c:pt idx="84">
                  <c:v>11.777863141534795</c:v>
                </c:pt>
                <c:pt idx="85">
                  <c:v>11.349294332676607</c:v>
                </c:pt>
                <c:pt idx="86">
                  <c:v>10.920725523818433</c:v>
                </c:pt>
                <c:pt idx="87">
                  <c:v>10.449142099837843</c:v>
                </c:pt>
                <c:pt idx="88">
                  <c:v>9.8918304676368791</c:v>
                </c:pt>
                <c:pt idx="89">
                  <c:v>9.3330379831599544</c:v>
                </c:pt>
                <c:pt idx="90">
                  <c:v>8.7299662197441847</c:v>
                </c:pt>
                <c:pt idx="91">
                  <c:v>8.0059258842833714</c:v>
                </c:pt>
                <c:pt idx="92">
                  <c:v>7.2811354116850566</c:v>
                </c:pt>
                <c:pt idx="93">
                  <c:v>6.3423787961515785</c:v>
                </c:pt>
                <c:pt idx="94">
                  <c:v>5.334659025849902</c:v>
                </c:pt>
                <c:pt idx="95">
                  <c:v>3.8451784074934778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1-40F0-8FF8-07BCA3849169}"/>
            </c:ext>
          </c:extLst>
        </c:ser>
        <c:ser>
          <c:idx val="2"/>
          <c:order val="2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Diagrammdaten!$C$128:$C$388</c:f>
              <c:strCache>
                <c:ptCount val="24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  <c:pt idx="200">
                  <c:v>80</c:v>
                </c:pt>
                <c:pt idx="240">
                  <c:v>100</c:v>
                </c:pt>
              </c:strCache>
            </c:strRef>
          </c:cat>
          <c:val>
            <c:numRef>
              <c:f>Diagrammdaten!$E$128:$E$388</c:f>
              <c:numCache>
                <c:formatCode>General</c:formatCode>
                <c:ptCount val="261"/>
                <c:pt idx="0">
                  <c:v>201.09090540672429</c:v>
                </c:pt>
                <c:pt idx="1">
                  <c:v>200.91507628805502</c:v>
                </c:pt>
                <c:pt idx="2">
                  <c:v>200.73451421436408</c:v>
                </c:pt>
                <c:pt idx="3">
                  <c:v>200.54923383360841</c:v>
                </c:pt>
                <c:pt idx="4">
                  <c:v>200.35924930374262</c:v>
                </c:pt>
                <c:pt idx="5">
                  <c:v>200.16457433004936</c:v>
                </c:pt>
                <c:pt idx="6">
                  <c:v>199.9652221857022</c:v>
                </c:pt>
                <c:pt idx="7">
                  <c:v>199.76120573631954</c:v>
                </c:pt>
                <c:pt idx="8">
                  <c:v>199.55253746297512</c:v>
                </c:pt>
                <c:pt idx="9">
                  <c:v>199.33922948474554</c:v>
                </c:pt>
                <c:pt idx="10">
                  <c:v>199.12129358059838</c:v>
                </c:pt>
                <c:pt idx="11">
                  <c:v>198.89874121071978</c:v>
                </c:pt>
                <c:pt idx="12">
                  <c:v>198.67158353730571</c:v>
                </c:pt>
                <c:pt idx="13">
                  <c:v>198.43983144484085</c:v>
                </c:pt>
                <c:pt idx="14">
                  <c:v>198.20349555995858</c:v>
                </c:pt>
                <c:pt idx="15">
                  <c:v>197.96258627093769</c:v>
                </c:pt>
                <c:pt idx="16">
                  <c:v>197.71711374706209</c:v>
                </c:pt>
                <c:pt idx="17">
                  <c:v>197.46708795775592</c:v>
                </c:pt>
                <c:pt idx="18">
                  <c:v>197.21251869183223</c:v>
                </c:pt>
                <c:pt idx="19">
                  <c:v>196.95341557692242</c:v>
                </c:pt>
                <c:pt idx="20">
                  <c:v>196.68978809933753</c:v>
                </c:pt>
                <c:pt idx="21">
                  <c:v>196.42164562456736</c:v>
                </c:pt>
                <c:pt idx="22">
                  <c:v>196.14899741868678</c:v>
                </c:pt>
                <c:pt idx="23">
                  <c:v>195.87185267098772</c:v>
                </c:pt>
                <c:pt idx="24">
                  <c:v>195.59042473978019</c:v>
                </c:pt>
                <c:pt idx="25">
                  <c:v>195.30411007077186</c:v>
                </c:pt>
                <c:pt idx="26">
                  <c:v>195.01353044112622</c:v>
                </c:pt>
                <c:pt idx="27">
                  <c:v>194.71849077537172</c:v>
                </c:pt>
                <c:pt idx="28">
                  <c:v>194.4190002879202</c:v>
                </c:pt>
                <c:pt idx="29">
                  <c:v>194.11506830024717</c:v>
                </c:pt>
                <c:pt idx="30">
                  <c:v>193.80670428406319</c:v>
                </c:pt>
                <c:pt idx="31">
                  <c:v>193.49391790963293</c:v>
                </c:pt>
                <c:pt idx="32">
                  <c:v>193.17671909986115</c:v>
                </c:pt>
                <c:pt idx="33">
                  <c:v>192.85511809070925</c:v>
                </c:pt>
                <c:pt idx="34">
                  <c:v>192.52912549865241</c:v>
                </c:pt>
                <c:pt idx="35">
                  <c:v>192.19875239574151</c:v>
                </c:pt>
                <c:pt idx="36">
                  <c:v>191.86401039275356</c:v>
                </c:pt>
                <c:pt idx="37">
                  <c:v>191.52491173106893</c:v>
                </c:pt>
                <c:pt idx="38">
                  <c:v>191.18146938348454</c:v>
                </c:pt>
                <c:pt idx="39">
                  <c:v>190.83369716431511</c:v>
                </c:pt>
                <c:pt idx="40">
                  <c:v>190.48160984888668</c:v>
                </c:pt>
                <c:pt idx="41">
                  <c:v>190.12522330227574</c:v>
                </c:pt>
                <c:pt idx="42">
                  <c:v>189.76455461698157</c:v>
                </c:pt>
                <c:pt idx="43">
                  <c:v>189.39962225913962</c:v>
                </c:pt>
                <c:pt idx="44">
                  <c:v>189.03044622218147</c:v>
                </c:pt>
                <c:pt idx="45">
                  <c:v>188.6570481871035</c:v>
                </c:pt>
                <c:pt idx="46">
                  <c:v>188.27945168778555</c:v>
                </c:pt>
                <c:pt idx="47">
                  <c:v>187.89768227974054</c:v>
                </c:pt>
                <c:pt idx="48">
                  <c:v>187.51176771041108</c:v>
                </c:pt>
                <c:pt idx="49">
                  <c:v>187.1217380888113</c:v>
                </c:pt>
                <c:pt idx="50">
                  <c:v>186.72782367161105</c:v>
                </c:pt>
                <c:pt idx="51">
                  <c:v>186.3294669286951</c:v>
                </c:pt>
                <c:pt idx="52">
                  <c:v>185.92729889013117</c:v>
                </c:pt>
                <c:pt idx="53">
                  <c:v>185.52116309970603</c:v>
                </c:pt>
                <c:pt idx="54">
                  <c:v>185.11110384728153</c:v>
                </c:pt>
                <c:pt idx="55">
                  <c:v>184.69716867616555</c:v>
                </c:pt>
                <c:pt idx="56">
                  <c:v>184.27940850194264</c:v>
                </c:pt>
                <c:pt idx="57">
                  <c:v>183.85787772731845</c:v>
                </c:pt>
                <c:pt idx="58">
                  <c:v>183.4326343597086</c:v>
                </c:pt>
                <c:pt idx="59">
                  <c:v>183.00374014194477</c:v>
                </c:pt>
                <c:pt idx="60">
                  <c:v>182.57126071127004</c:v>
                </c:pt>
                <c:pt idx="61">
                  <c:v>182.13526580728518</c:v>
                </c:pt>
                <c:pt idx="62">
                  <c:v>181.69582955659251</c:v>
                </c:pt>
                <c:pt idx="63">
                  <c:v>181.25303087001697</c:v>
                </c:pt>
                <c:pt idx="64">
                  <c:v>180.80695399747086</c:v>
                </c:pt>
                <c:pt idx="65">
                  <c:v>180.35768929609577</c:v>
                </c:pt>
                <c:pt idx="66">
                  <c:v>179.90533427798783</c:v>
                </c:pt>
                <c:pt idx="67">
                  <c:v>179.4499999134961</c:v>
                </c:pt>
                <c:pt idx="68">
                  <c:v>178.99178799473742</c:v>
                </c:pt>
                <c:pt idx="69">
                  <c:v>178.53084250958801</c:v>
                </c:pt>
                <c:pt idx="70">
                  <c:v>178.06730371231544</c:v>
                </c:pt>
                <c:pt idx="71">
                  <c:v>177.60133641969122</c:v>
                </c:pt>
                <c:pt idx="72">
                  <c:v>177.13312978986386</c:v>
                </c:pt>
                <c:pt idx="73">
                  <c:v>176.66290297400741</c:v>
                </c:pt>
                <c:pt idx="74">
                  <c:v>176.19084470872423</c:v>
                </c:pt>
                <c:pt idx="75">
                  <c:v>175.71694518726434</c:v>
                </c:pt>
                <c:pt idx="76">
                  <c:v>175.24290369765919</c:v>
                </c:pt>
                <c:pt idx="77">
                  <c:v>174.76778031287827</c:v>
                </c:pt>
                <c:pt idx="78">
                  <c:v>174.29265692809736</c:v>
                </c:pt>
                <c:pt idx="79">
                  <c:v>173.81753354331642</c:v>
                </c:pt>
                <c:pt idx="80">
                  <c:v>173.34914890099773</c:v>
                </c:pt>
                <c:pt idx="81">
                  <c:v>172.89150376405883</c:v>
                </c:pt>
                <c:pt idx="82">
                  <c:v>172.43385862711995</c:v>
                </c:pt>
                <c:pt idx="83">
                  <c:v>171.97621349018107</c:v>
                </c:pt>
                <c:pt idx="84">
                  <c:v>171.51856835324219</c:v>
                </c:pt>
                <c:pt idx="85">
                  <c:v>171.06092321630331</c:v>
                </c:pt>
                <c:pt idx="86">
                  <c:v>170.6032780793644</c:v>
                </c:pt>
                <c:pt idx="87">
                  <c:v>170.14563294242549</c:v>
                </c:pt>
                <c:pt idx="88">
                  <c:v>169.74436943933841</c:v>
                </c:pt>
                <c:pt idx="89">
                  <c:v>169.34458678852729</c:v>
                </c:pt>
                <c:pt idx="90">
                  <c:v>168.94480413771618</c:v>
                </c:pt>
                <c:pt idx="91">
                  <c:v>168.61391573549059</c:v>
                </c:pt>
                <c:pt idx="92">
                  <c:v>168.28377747040247</c:v>
                </c:pt>
                <c:pt idx="93">
                  <c:v>168.03946643703171</c:v>
                </c:pt>
                <c:pt idx="94">
                  <c:v>167.84741809386375</c:v>
                </c:pt>
                <c:pt idx="95">
                  <c:v>167.90040675865129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1-40F0-8FF8-07BCA3849169}"/>
            </c:ext>
          </c:extLst>
        </c:ser>
        <c:ser>
          <c:idx val="3"/>
          <c:order val="3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Diagrammdaten!$C$128:$C$388</c:f>
              <c:strCache>
                <c:ptCount val="24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  <c:pt idx="200">
                  <c:v>80</c:v>
                </c:pt>
                <c:pt idx="240">
                  <c:v>100</c:v>
                </c:pt>
              </c:strCache>
            </c:strRef>
          </c:cat>
          <c:val>
            <c:numRef>
              <c:f>Diagrammdaten!$F$128:$F$388</c:f>
              <c:numCache>
                <c:formatCode>General</c:formatCode>
                <c:ptCount val="2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168.54494427808675</c:v>
                </c:pt>
                <c:pt idx="97">
                  <c:v>168.54494427808675</c:v>
                </c:pt>
                <c:pt idx="98">
                  <c:v>168.54494427808675</c:v>
                </c:pt>
                <c:pt idx="99">
                  <c:v>168.54494427808675</c:v>
                </c:pt>
                <c:pt idx="100">
                  <c:v>168.54494427808675</c:v>
                </c:pt>
                <c:pt idx="101">
                  <c:v>168.54494427808675</c:v>
                </c:pt>
                <c:pt idx="102">
                  <c:v>168.54494427808675</c:v>
                </c:pt>
                <c:pt idx="103">
                  <c:v>168.54494427808675</c:v>
                </c:pt>
                <c:pt idx="104">
                  <c:v>168.54494427808675</c:v>
                </c:pt>
                <c:pt idx="105">
                  <c:v>168.54494427808675</c:v>
                </c:pt>
                <c:pt idx="106">
                  <c:v>168.54494427808675</c:v>
                </c:pt>
                <c:pt idx="107">
                  <c:v>168.54494427808675</c:v>
                </c:pt>
                <c:pt idx="108">
                  <c:v>168.54494427808675</c:v>
                </c:pt>
                <c:pt idx="109">
                  <c:v>168.54494427808675</c:v>
                </c:pt>
                <c:pt idx="110">
                  <c:v>168.54494427808675</c:v>
                </c:pt>
                <c:pt idx="111">
                  <c:v>168.54494427808675</c:v>
                </c:pt>
                <c:pt idx="112">
                  <c:v>168.54494427808675</c:v>
                </c:pt>
                <c:pt idx="113">
                  <c:v>168.54494427808675</c:v>
                </c:pt>
                <c:pt idx="114">
                  <c:v>168.54494427808675</c:v>
                </c:pt>
                <c:pt idx="115">
                  <c:v>168.54494427808675</c:v>
                </c:pt>
                <c:pt idx="116">
                  <c:v>168.54494427808675</c:v>
                </c:pt>
                <c:pt idx="117">
                  <c:v>168.54494427808675</c:v>
                </c:pt>
                <c:pt idx="118">
                  <c:v>168.54494427808675</c:v>
                </c:pt>
                <c:pt idx="119">
                  <c:v>168.54494427808675</c:v>
                </c:pt>
                <c:pt idx="120">
                  <c:v>168.54494427808675</c:v>
                </c:pt>
                <c:pt idx="121">
                  <c:v>168.54494427808675</c:v>
                </c:pt>
                <c:pt idx="122">
                  <c:v>168.54494427808675</c:v>
                </c:pt>
                <c:pt idx="123">
                  <c:v>168.54494427808675</c:v>
                </c:pt>
                <c:pt idx="124">
                  <c:v>168.54494427808675</c:v>
                </c:pt>
                <c:pt idx="125">
                  <c:v>168.54494427808675</c:v>
                </c:pt>
                <c:pt idx="126">
                  <c:v>168.54494427808675</c:v>
                </c:pt>
                <c:pt idx="127">
                  <c:v>168.54494427808675</c:v>
                </c:pt>
                <c:pt idx="128">
                  <c:v>168.54494427808675</c:v>
                </c:pt>
                <c:pt idx="129">
                  <c:v>168.54494427808675</c:v>
                </c:pt>
                <c:pt idx="130">
                  <c:v>168.54494427808675</c:v>
                </c:pt>
                <c:pt idx="131">
                  <c:v>168.54494427808675</c:v>
                </c:pt>
                <c:pt idx="132">
                  <c:v>168.54494427808675</c:v>
                </c:pt>
                <c:pt idx="133">
                  <c:v>168.54494427808675</c:v>
                </c:pt>
                <c:pt idx="134">
                  <c:v>168.54494427808675</c:v>
                </c:pt>
                <c:pt idx="135">
                  <c:v>168.54494427808675</c:v>
                </c:pt>
                <c:pt idx="136">
                  <c:v>168.54494427808675</c:v>
                </c:pt>
                <c:pt idx="137">
                  <c:v>168.54494427808675</c:v>
                </c:pt>
                <c:pt idx="138">
                  <c:v>168.54494427808675</c:v>
                </c:pt>
                <c:pt idx="139">
                  <c:v>168.54494427808675</c:v>
                </c:pt>
                <c:pt idx="140">
                  <c:v>168.54494427808675</c:v>
                </c:pt>
                <c:pt idx="141">
                  <c:v>168.54494427808675</c:v>
                </c:pt>
                <c:pt idx="142">
                  <c:v>168.54494427808675</c:v>
                </c:pt>
                <c:pt idx="143">
                  <c:v>168.54494427808675</c:v>
                </c:pt>
                <c:pt idx="144">
                  <c:v>168.54494427808675</c:v>
                </c:pt>
                <c:pt idx="145">
                  <c:v>168.54494427808675</c:v>
                </c:pt>
                <c:pt idx="146">
                  <c:v>168.54494427808675</c:v>
                </c:pt>
                <c:pt idx="147">
                  <c:v>168.54494427808675</c:v>
                </c:pt>
                <c:pt idx="148">
                  <c:v>168.54494427808675</c:v>
                </c:pt>
                <c:pt idx="149">
                  <c:v>168.54494427808675</c:v>
                </c:pt>
                <c:pt idx="150">
                  <c:v>168.54494427808675</c:v>
                </c:pt>
                <c:pt idx="151">
                  <c:v>168.54494427808675</c:v>
                </c:pt>
                <c:pt idx="152">
                  <c:v>168.54494427808675</c:v>
                </c:pt>
                <c:pt idx="153">
                  <c:v>168.54494427808675</c:v>
                </c:pt>
                <c:pt idx="154">
                  <c:v>168.54494427808675</c:v>
                </c:pt>
                <c:pt idx="155">
                  <c:v>168.54494427808675</c:v>
                </c:pt>
                <c:pt idx="156">
                  <c:v>168.54494427808675</c:v>
                </c:pt>
                <c:pt idx="157">
                  <c:v>168.54494427808675</c:v>
                </c:pt>
                <c:pt idx="158">
                  <c:v>168.54494427808675</c:v>
                </c:pt>
                <c:pt idx="159">
                  <c:v>168.54494427808675</c:v>
                </c:pt>
                <c:pt idx="160">
                  <c:v>168.54494427808675</c:v>
                </c:pt>
                <c:pt idx="161">
                  <c:v>168.54494427808675</c:v>
                </c:pt>
                <c:pt idx="162">
                  <c:v>168.54494427808675</c:v>
                </c:pt>
                <c:pt idx="163">
                  <c:v>168.54494427808675</c:v>
                </c:pt>
                <c:pt idx="164">
                  <c:v>168.54494427808675</c:v>
                </c:pt>
                <c:pt idx="165">
                  <c:v>168.54494427808675</c:v>
                </c:pt>
                <c:pt idx="166">
                  <c:v>168.54494427808675</c:v>
                </c:pt>
                <c:pt idx="167">
                  <c:v>168.54494427808675</c:v>
                </c:pt>
                <c:pt idx="168">
                  <c:v>168.54494427808675</c:v>
                </c:pt>
                <c:pt idx="169">
                  <c:v>168.54494427808675</c:v>
                </c:pt>
                <c:pt idx="170">
                  <c:v>168.54494427808675</c:v>
                </c:pt>
                <c:pt idx="171">
                  <c:v>168.54494427808675</c:v>
                </c:pt>
                <c:pt idx="172">
                  <c:v>168.54494427808675</c:v>
                </c:pt>
                <c:pt idx="173">
                  <c:v>168.54494427808675</c:v>
                </c:pt>
                <c:pt idx="174">
                  <c:v>168.54494427808675</c:v>
                </c:pt>
                <c:pt idx="175">
                  <c:v>168.54494427808675</c:v>
                </c:pt>
                <c:pt idx="176">
                  <c:v>168.54494427808675</c:v>
                </c:pt>
                <c:pt idx="177">
                  <c:v>168.54494427808675</c:v>
                </c:pt>
                <c:pt idx="178">
                  <c:v>168.54494427808675</c:v>
                </c:pt>
                <c:pt idx="179">
                  <c:v>168.54494427808675</c:v>
                </c:pt>
                <c:pt idx="180">
                  <c:v>168.54494427808675</c:v>
                </c:pt>
                <c:pt idx="181">
                  <c:v>168.54494427808675</c:v>
                </c:pt>
                <c:pt idx="182">
                  <c:v>168.54494427808675</c:v>
                </c:pt>
                <c:pt idx="183">
                  <c:v>168.54494427808675</c:v>
                </c:pt>
                <c:pt idx="184">
                  <c:v>168.54494427808675</c:v>
                </c:pt>
                <c:pt idx="185">
                  <c:v>168.54494427808675</c:v>
                </c:pt>
                <c:pt idx="186">
                  <c:v>168.54494427808675</c:v>
                </c:pt>
                <c:pt idx="187">
                  <c:v>168.54494427808675</c:v>
                </c:pt>
                <c:pt idx="188">
                  <c:v>168.54494427808675</c:v>
                </c:pt>
                <c:pt idx="189">
                  <c:v>168.54494427808675</c:v>
                </c:pt>
                <c:pt idx="190">
                  <c:v>168.54494427808675</c:v>
                </c:pt>
                <c:pt idx="191">
                  <c:v>168.54494427808675</c:v>
                </c:pt>
                <c:pt idx="192">
                  <c:v>168.54494427808675</c:v>
                </c:pt>
                <c:pt idx="193">
                  <c:v>168.54494427808675</c:v>
                </c:pt>
                <c:pt idx="194">
                  <c:v>168.54494427808675</c:v>
                </c:pt>
                <c:pt idx="195">
                  <c:v>168.54494427808675</c:v>
                </c:pt>
                <c:pt idx="196">
                  <c:v>168.54494427808675</c:v>
                </c:pt>
                <c:pt idx="197">
                  <c:v>168.54494427808675</c:v>
                </c:pt>
                <c:pt idx="198">
                  <c:v>168.54494427808675</c:v>
                </c:pt>
                <c:pt idx="199">
                  <c:v>168.54494427808675</c:v>
                </c:pt>
                <c:pt idx="200">
                  <c:v>168.54494427808675</c:v>
                </c:pt>
                <c:pt idx="201">
                  <c:v>168.54494427808675</c:v>
                </c:pt>
                <c:pt idx="202">
                  <c:v>168.54494427808675</c:v>
                </c:pt>
                <c:pt idx="203">
                  <c:v>168.54494427808675</c:v>
                </c:pt>
                <c:pt idx="204">
                  <c:v>168.54494427808675</c:v>
                </c:pt>
                <c:pt idx="205">
                  <c:v>168.54494427808675</c:v>
                </c:pt>
                <c:pt idx="206">
                  <c:v>168.54494427808675</c:v>
                </c:pt>
                <c:pt idx="207">
                  <c:v>168.54494427808675</c:v>
                </c:pt>
                <c:pt idx="208">
                  <c:v>168.54494427808675</c:v>
                </c:pt>
                <c:pt idx="209">
                  <c:v>168.54494427808675</c:v>
                </c:pt>
                <c:pt idx="210">
                  <c:v>168.54494427808675</c:v>
                </c:pt>
                <c:pt idx="211">
                  <c:v>168.54494427808675</c:v>
                </c:pt>
                <c:pt idx="212">
                  <c:v>168.54494427808675</c:v>
                </c:pt>
                <c:pt idx="213">
                  <c:v>168.54494427808675</c:v>
                </c:pt>
                <c:pt idx="214">
                  <c:v>168.54494427808675</c:v>
                </c:pt>
                <c:pt idx="215">
                  <c:v>168.54494427808675</c:v>
                </c:pt>
                <c:pt idx="216">
                  <c:v>168.54494427808675</c:v>
                </c:pt>
                <c:pt idx="217">
                  <c:v>168.54494427808675</c:v>
                </c:pt>
                <c:pt idx="218">
                  <c:v>168.54494427808675</c:v>
                </c:pt>
                <c:pt idx="219">
                  <c:v>168.54494427808675</c:v>
                </c:pt>
                <c:pt idx="220">
                  <c:v>168.54494427808675</c:v>
                </c:pt>
                <c:pt idx="221">
                  <c:v>168.54494427808675</c:v>
                </c:pt>
                <c:pt idx="222">
                  <c:v>168.54494427808675</c:v>
                </c:pt>
                <c:pt idx="223">
                  <c:v>168.54494427808675</c:v>
                </c:pt>
                <c:pt idx="224">
                  <c:v>168.54494427808675</c:v>
                </c:pt>
                <c:pt idx="225">
                  <c:v>168.54494427808675</c:v>
                </c:pt>
                <c:pt idx="226">
                  <c:v>168.54494427808675</c:v>
                </c:pt>
                <c:pt idx="227">
                  <c:v>168.54494427808675</c:v>
                </c:pt>
                <c:pt idx="228">
                  <c:v>168.54494427808675</c:v>
                </c:pt>
                <c:pt idx="229">
                  <c:v>168.54494427808675</c:v>
                </c:pt>
                <c:pt idx="230">
                  <c:v>168.54494427808675</c:v>
                </c:pt>
                <c:pt idx="231">
                  <c:v>168.54494427808675</c:v>
                </c:pt>
                <c:pt idx="232">
                  <c:v>168.54494427808675</c:v>
                </c:pt>
                <c:pt idx="233">
                  <c:v>168.54494427808675</c:v>
                </c:pt>
                <c:pt idx="234">
                  <c:v>168.54494427808675</c:v>
                </c:pt>
                <c:pt idx="235">
                  <c:v>168.54494427808675</c:v>
                </c:pt>
                <c:pt idx="236">
                  <c:v>168.54494427808675</c:v>
                </c:pt>
                <c:pt idx="237">
                  <c:v>168.54494427808675</c:v>
                </c:pt>
                <c:pt idx="238">
                  <c:v>168.54494427808675</c:v>
                </c:pt>
                <c:pt idx="239">
                  <c:v>168.54494427808675</c:v>
                </c:pt>
                <c:pt idx="240">
                  <c:v>168.54494427808675</c:v>
                </c:pt>
                <c:pt idx="241">
                  <c:v>168.54494427808675</c:v>
                </c:pt>
                <c:pt idx="242">
                  <c:v>168.54494427808675</c:v>
                </c:pt>
                <c:pt idx="243">
                  <c:v>168.54494427808675</c:v>
                </c:pt>
                <c:pt idx="244">
                  <c:v>168.54494427808675</c:v>
                </c:pt>
                <c:pt idx="245">
                  <c:v>168.54494427808675</c:v>
                </c:pt>
                <c:pt idx="246">
                  <c:v>168.54494427808675</c:v>
                </c:pt>
                <c:pt idx="247">
                  <c:v>168.54494427808675</c:v>
                </c:pt>
                <c:pt idx="248">
                  <c:v>168.54494427808675</c:v>
                </c:pt>
                <c:pt idx="249">
                  <c:v>168.54494427808675</c:v>
                </c:pt>
                <c:pt idx="250">
                  <c:v>168.54494427808675</c:v>
                </c:pt>
                <c:pt idx="251">
                  <c:v>168.54494427808675</c:v>
                </c:pt>
                <c:pt idx="252">
                  <c:v>168.54494427808675</c:v>
                </c:pt>
                <c:pt idx="253">
                  <c:v>168.54494427808675</c:v>
                </c:pt>
                <c:pt idx="254">
                  <c:v>168.54494427808675</c:v>
                </c:pt>
                <c:pt idx="255">
                  <c:v>168.54494427808675</c:v>
                </c:pt>
                <c:pt idx="256">
                  <c:v>168.54494427808675</c:v>
                </c:pt>
                <c:pt idx="257">
                  <c:v>168.54494427808675</c:v>
                </c:pt>
                <c:pt idx="258">
                  <c:v>168.54494427808675</c:v>
                </c:pt>
                <c:pt idx="259">
                  <c:v>168.54494427808675</c:v>
                </c:pt>
                <c:pt idx="260">
                  <c:v>168.54494427808675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41-40F0-8FF8-07BCA3849169}"/>
            </c:ext>
          </c:extLst>
        </c:ser>
        <c:ser>
          <c:idx val="4"/>
          <c:order val="4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Diagrammdaten!$C$128:$C$388</c:f>
              <c:strCache>
                <c:ptCount val="241"/>
                <c:pt idx="0">
                  <c:v>-20</c:v>
                </c:pt>
                <c:pt idx="40">
                  <c:v>0</c:v>
                </c:pt>
                <c:pt idx="80">
                  <c:v>20</c:v>
                </c:pt>
                <c:pt idx="120">
                  <c:v>40</c:v>
                </c:pt>
                <c:pt idx="160">
                  <c:v>60</c:v>
                </c:pt>
                <c:pt idx="200">
                  <c:v>80</c:v>
                </c:pt>
                <c:pt idx="240">
                  <c:v>100</c:v>
                </c:pt>
              </c:strCache>
            </c:strRef>
          </c:cat>
          <c:val>
            <c:numRef>
              <c:f>Diagrammdaten!$G$128:$G$388</c:f>
              <c:numCache>
                <c:formatCode>General</c:formatCode>
                <c:ptCount val="2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41-40F0-8FF8-07BCA3849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Diagrammdaten!$M$8:$M$77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1.2286411329180424</c:v>
                </c:pt>
                <c:pt idx="13">
                  <c:v>7.3406945606612055</c:v>
                </c:pt>
                <c:pt idx="14">
                  <c:v>13.452747988404369</c:v>
                </c:pt>
                <c:pt idx="15">
                  <c:v>19.564801416147532</c:v>
                </c:pt>
                <c:pt idx="16">
                  <c:v>25.676854843890695</c:v>
                </c:pt>
                <c:pt idx="17">
                  <c:v>31.788908271633858</c:v>
                </c:pt>
                <c:pt idx="18">
                  <c:v>37.900961699377021</c:v>
                </c:pt>
                <c:pt idx="19">
                  <c:v>44.013015127120184</c:v>
                </c:pt>
                <c:pt idx="20">
                  <c:v>50.125068554863347</c:v>
                </c:pt>
                <c:pt idx="21">
                  <c:v>56.23712198260651</c:v>
                </c:pt>
                <c:pt idx="22">
                  <c:v>62.349175410349687</c:v>
                </c:pt>
                <c:pt idx="23">
                  <c:v>68.461228838092836</c:v>
                </c:pt>
                <c:pt idx="24">
                  <c:v>74.573282265836013</c:v>
                </c:pt>
                <c:pt idx="25">
                  <c:v>80.685335693579162</c:v>
                </c:pt>
                <c:pt idx="26">
                  <c:v>86.79738912132234</c:v>
                </c:pt>
                <c:pt idx="27">
                  <c:v>92.909442549065488</c:v>
                </c:pt>
                <c:pt idx="28">
                  <c:v>93.115303345344046</c:v>
                </c:pt>
                <c:pt idx="29">
                  <c:v>95.096710873183156</c:v>
                </c:pt>
                <c:pt idx="30">
                  <c:v>96.469779968250691</c:v>
                </c:pt>
                <c:pt idx="31">
                  <c:v>97.147083729487235</c:v>
                </c:pt>
                <c:pt idx="32">
                  <c:v>97.186648700233036</c:v>
                </c:pt>
                <c:pt idx="33">
                  <c:v>97.119764583582423</c:v>
                </c:pt>
                <c:pt idx="34">
                  <c:v>96.69912051454844</c:v>
                </c:pt>
                <c:pt idx="35">
                  <c:v>96.533331288438717</c:v>
                </c:pt>
                <c:pt idx="36">
                  <c:v>96.09101257175962</c:v>
                </c:pt>
                <c:pt idx="37">
                  <c:v>95.895667133901043</c:v>
                </c:pt>
                <c:pt idx="38">
                  <c:v>95.426235986769143</c:v>
                </c:pt>
                <c:pt idx="39">
                  <c:v>94.829364704481804</c:v>
                </c:pt>
                <c:pt idx="40">
                  <c:v>93.224341909750933</c:v>
                </c:pt>
                <c:pt idx="41">
                  <c:v>92.909442549065488</c:v>
                </c:pt>
                <c:pt idx="42">
                  <c:v>87.015676743741722</c:v>
                </c:pt>
                <c:pt idx="43">
                  <c:v>81.121910938417955</c:v>
                </c:pt>
                <c:pt idx="44">
                  <c:v>75.228145133094188</c:v>
                </c:pt>
                <c:pt idx="45">
                  <c:v>69.334379327770421</c:v>
                </c:pt>
                <c:pt idx="46">
                  <c:v>63.440613522446661</c:v>
                </c:pt>
                <c:pt idx="47">
                  <c:v>57.546847717122901</c:v>
                </c:pt>
                <c:pt idx="48">
                  <c:v>51.653081911799134</c:v>
                </c:pt>
                <c:pt idx="49">
                  <c:v>45.759316106475367</c:v>
                </c:pt>
                <c:pt idx="50">
                  <c:v>39.8655503011516</c:v>
                </c:pt>
                <c:pt idx="51">
                  <c:v>33.971784495827833</c:v>
                </c:pt>
                <c:pt idx="52">
                  <c:v>28.078018690504067</c:v>
                </c:pt>
                <c:pt idx="53">
                  <c:v>22.184252885180314</c:v>
                </c:pt>
                <c:pt idx="54">
                  <c:v>16.290487079856547</c:v>
                </c:pt>
                <c:pt idx="55">
                  <c:v>10.39672127453278</c:v>
                </c:pt>
                <c:pt idx="56">
                  <c:v>4.502955469209013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5.4780051259929632</c:v>
                </c:pt>
                <c:pt idx="1">
                  <c:v>6.2465283664309963</c:v>
                </c:pt>
                <c:pt idx="2">
                  <c:v>7.094026716138905</c:v>
                </c:pt>
                <c:pt idx="3">
                  <c:v>8.0255579412624787</c:v>
                </c:pt>
                <c:pt idx="4">
                  <c:v>9.0463049806261271</c:v>
                </c:pt>
                <c:pt idx="5">
                  <c:v>10.161580260227899</c:v>
                </c:pt>
                <c:pt idx="6">
                  <c:v>11.376832494554185</c:v>
                </c:pt>
                <c:pt idx="7">
                  <c:v>12.697656236143098</c:v>
                </c:pt>
                <c:pt idx="8">
                  <c:v>14.129804656079587</c:v>
                </c:pt>
                <c:pt idx="9">
                  <c:v>15.67923451447156</c:v>
                </c:pt>
                <c:pt idx="10">
                  <c:v>17.352406968327372</c:v>
                </c:pt>
                <c:pt idx="11">
                  <c:v>19.155353708527862</c:v>
                </c:pt>
                <c:pt idx="12">
                  <c:v>21.094699875721581</c:v>
                </c:pt>
                <c:pt idx="13">
                  <c:v>23.177390130610402</c:v>
                </c:pt>
                <c:pt idx="14">
                  <c:v>25.410755922853671</c:v>
                </c:pt>
                <c:pt idx="15">
                  <c:v>27.802604003304531</c:v>
                </c:pt>
                <c:pt idx="16">
                  <c:v>30.363205999893026</c:v>
                </c:pt>
                <c:pt idx="17">
                  <c:v>33.096101826227539</c:v>
                </c:pt>
                <c:pt idx="18">
                  <c:v>36.017129110207115</c:v>
                </c:pt>
                <c:pt idx="19">
                  <c:v>39.136313339837116</c:v>
                </c:pt>
                <c:pt idx="20">
                  <c:v>42.466439159222979</c:v>
                </c:pt>
                <c:pt idx="21">
                  <c:v>46.023360530623989</c:v>
                </c:pt>
                <c:pt idx="22">
                  <c:v>49.826593298424697</c:v>
                </c:pt>
                <c:pt idx="23">
                  <c:v>53.902917038676897</c:v>
                </c:pt>
                <c:pt idx="24">
                  <c:v>58.288588500852839</c:v>
                </c:pt>
                <c:pt idx="25">
                  <c:v>63.115296932976065</c:v>
                </c:pt>
                <c:pt idx="26">
                  <c:v>68.296439810562831</c:v>
                </c:pt>
                <c:pt idx="27">
                  <c:v>74.339555460510013</c:v>
                </c:pt>
                <c:pt idx="28">
                  <c:v>74.556723930467271</c:v>
                </c:pt>
                <c:pt idx="29">
                  <c:v>76.933953502157294</c:v>
                </c:pt>
                <c:pt idx="30">
                  <c:v>78.941156502790562</c:v>
                </c:pt>
                <c:pt idx="31">
                  <c:v>80.494760566134005</c:v>
                </c:pt>
                <c:pt idx="32">
                  <c:v>80.896473762668705</c:v>
                </c:pt>
                <c:pt idx="33">
                  <c:v>81.224767037052715</c:v>
                </c:pt>
                <c:pt idx="34">
                  <c:v>81.685344406773822</c:v>
                </c:pt>
                <c:pt idx="35">
                  <c:v>81.838319578037911</c:v>
                </c:pt>
                <c:pt idx="36">
                  <c:v>82.075301596995402</c:v>
                </c:pt>
                <c:pt idx="37">
                  <c:v>82.127440129186695</c:v>
                </c:pt>
                <c:pt idx="38">
                  <c:v>82.17759431791859</c:v>
                </c:pt>
                <c:pt idx="39">
                  <c:v>82.142568673071494</c:v>
                </c:pt>
                <c:pt idx="40">
                  <c:v>81.790286378469247</c:v>
                </c:pt>
                <c:pt idx="41">
                  <c:v>81.686326049855197</c:v>
                </c:pt>
                <c:pt idx="42">
                  <c:v>79.403896306172044</c:v>
                </c:pt>
                <c:pt idx="43">
                  <c:v>76.706643047108898</c:v>
                </c:pt>
                <c:pt idx="44">
                  <c:v>73.917273160672508</c:v>
                </c:pt>
                <c:pt idx="45">
                  <c:v>71.162241328121723</c:v>
                </c:pt>
                <c:pt idx="46">
                  <c:v>68.499105449613097</c:v>
                </c:pt>
                <c:pt idx="47">
                  <c:v>65.950868682966799</c:v>
                </c:pt>
                <c:pt idx="48">
                  <c:v>63.532027644965225</c:v>
                </c:pt>
                <c:pt idx="49">
                  <c:v>61.252710857907914</c:v>
                </c:pt>
                <c:pt idx="50">
                  <c:v>59.119111530194637</c:v>
                </c:pt>
                <c:pt idx="51">
                  <c:v>57.135698205735828</c:v>
                </c:pt>
                <c:pt idx="52">
                  <c:v>55.304834874033894</c:v>
                </c:pt>
                <c:pt idx="53">
                  <c:v>53.628494465250789</c:v>
                </c:pt>
                <c:pt idx="54">
                  <c:v>52.108566858257042</c:v>
                </c:pt>
                <c:pt idx="55">
                  <c:v>50.747017816934239</c:v>
                </c:pt>
                <c:pt idx="56">
                  <c:v>49.546046180813249</c:v>
                </c:pt>
                <c:pt idx="57">
                  <c:v>48.508227960961797</c:v>
                </c:pt>
                <c:pt idx="58">
                  <c:v>47.636678138918917</c:v>
                </c:pt>
                <c:pt idx="59">
                  <c:v>46.935238191457664</c:v>
                </c:pt>
                <c:pt idx="60">
                  <c:v>46.40892779619076</c:v>
                </c:pt>
                <c:pt idx="61">
                  <c:v>46.063863329321116</c:v>
                </c:pt>
                <c:pt idx="62">
                  <c:v>45.907235940758852</c:v>
                </c:pt>
                <c:pt idx="63">
                  <c:v>45.948412119295952</c:v>
                </c:pt>
                <c:pt idx="64">
                  <c:v>46.199065481880361</c:v>
                </c:pt>
                <c:pt idx="65">
                  <c:v>46.673734775122661</c:v>
                </c:pt>
                <c:pt idx="66">
                  <c:v>47.390529862815043</c:v>
                </c:pt>
                <c:pt idx="67">
                  <c:v>48.372032320327683</c:v>
                </c:pt>
                <c:pt idx="68">
                  <c:v>49.646459563221228</c:v>
                </c:pt>
                <c:pt idx="69">
                  <c:v>51.249178858911719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41-40F0-8FF8-07BCA3849169}"/>
            </c:ext>
          </c:extLst>
        </c:ser>
        <c:ser>
          <c:idx val="17"/>
          <c:order val="6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C41-40F0-8FF8-07BCA38491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C41-40F0-8FF8-07BCA38491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C41-40F0-8FF8-07BCA38491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2C41-40F0-8FF8-07BCA38491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C41-40F0-8FF8-07BCA3849169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Diagrammdaten!$M$399:$M$402</c:f>
              <c:numCache>
                <c:formatCode>General</c:formatCode>
                <c:ptCount val="4"/>
                <c:pt idx="0">
                  <c:v>41</c:v>
                </c:pt>
                <c:pt idx="1">
                  <c:v>211</c:v>
                </c:pt>
                <c:pt idx="2">
                  <c:v>191</c:v>
                </c:pt>
                <c:pt idx="3">
                  <c:v>17</c:v>
                </c:pt>
              </c:numCache>
            </c:numRef>
          </c:xVal>
          <c:yVal>
            <c:numRef>
              <c:f>Diagrammdaten!$K$399:$K$402</c:f>
              <c:numCache>
                <c:formatCode>General</c:formatCode>
                <c:ptCount val="4"/>
                <c:pt idx="0">
                  <c:v>105</c:v>
                </c:pt>
                <c:pt idx="1">
                  <c:v>120</c:v>
                </c:pt>
                <c:pt idx="2">
                  <c:v>15</c:v>
                </c:pt>
                <c:pt idx="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C41-40F0-8FF8-07BCA3849169}"/>
            </c:ext>
          </c:extLst>
        </c:ser>
        <c:ser>
          <c:idx val="6"/>
          <c:order val="7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Diagrammdaten!$M$256:$M$296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2.2889200025337004</c:v>
                </c:pt>
                <c:pt idx="18">
                  <c:v>6.6656800026827341</c:v>
                </c:pt>
                <c:pt idx="19">
                  <c:v>11.042440002831768</c:v>
                </c:pt>
                <c:pt idx="20">
                  <c:v>15.419200002980801</c:v>
                </c:pt>
                <c:pt idx="21">
                  <c:v>19.795960003129835</c:v>
                </c:pt>
                <c:pt idx="22">
                  <c:v>24.172720003278869</c:v>
                </c:pt>
                <c:pt idx="23">
                  <c:v>28.549480003427902</c:v>
                </c:pt>
                <c:pt idx="24">
                  <c:v>32.926240003576936</c:v>
                </c:pt>
                <c:pt idx="25">
                  <c:v>37.30300000372597</c:v>
                </c:pt>
                <c:pt idx="26">
                  <c:v>41.679760003875003</c:v>
                </c:pt>
                <c:pt idx="27">
                  <c:v>46.056520004024037</c:v>
                </c:pt>
                <c:pt idx="28">
                  <c:v>50.433280004173071</c:v>
                </c:pt>
                <c:pt idx="29">
                  <c:v>54.810040004322104</c:v>
                </c:pt>
                <c:pt idx="30">
                  <c:v>59.186800004471138</c:v>
                </c:pt>
                <c:pt idx="31">
                  <c:v>63.563560004620172</c:v>
                </c:pt>
                <c:pt idx="32">
                  <c:v>67.940320004769205</c:v>
                </c:pt>
                <c:pt idx="33">
                  <c:v>72.317080004918239</c:v>
                </c:pt>
                <c:pt idx="34">
                  <c:v>76.693840005067273</c:v>
                </c:pt>
                <c:pt idx="35">
                  <c:v>81.070600005216306</c:v>
                </c:pt>
                <c:pt idx="36">
                  <c:v>85.44736000536534</c:v>
                </c:pt>
                <c:pt idx="37">
                  <c:v>89.824120005514374</c:v>
                </c:pt>
                <c:pt idx="38">
                  <c:v>94.200880005663407</c:v>
                </c:pt>
                <c:pt idx="39">
                  <c:v>98.577640005812441</c:v>
                </c:pt>
                <c:pt idx="40">
                  <c:v>102.95440000596147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41-40F0-8FF8-07BCA3849169}"/>
            </c:ext>
          </c:extLst>
        </c:ser>
        <c:ser>
          <c:idx val="7"/>
          <c:order val="8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Diagrammdaten!$M$298:$M$327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3.559743678935547</c:v>
                </c:pt>
                <c:pt idx="14">
                  <c:v>9.3809547311613528</c:v>
                </c:pt>
                <c:pt idx="15">
                  <c:v>15.202165783387159</c:v>
                </c:pt>
                <c:pt idx="16">
                  <c:v>21.023376835612964</c:v>
                </c:pt>
                <c:pt idx="17">
                  <c:v>26.84458788783877</c:v>
                </c:pt>
                <c:pt idx="18">
                  <c:v>32.665798940064576</c:v>
                </c:pt>
                <c:pt idx="19">
                  <c:v>38.487009992290382</c:v>
                </c:pt>
                <c:pt idx="20">
                  <c:v>44.308221044516188</c:v>
                </c:pt>
                <c:pt idx="21">
                  <c:v>50.129432096741994</c:v>
                </c:pt>
                <c:pt idx="22">
                  <c:v>55.950643148967799</c:v>
                </c:pt>
                <c:pt idx="23">
                  <c:v>61.771854201193605</c:v>
                </c:pt>
                <c:pt idx="24">
                  <c:v>67.593065253419411</c:v>
                </c:pt>
                <c:pt idx="25">
                  <c:v>73.414276305645217</c:v>
                </c:pt>
                <c:pt idx="26">
                  <c:v>79.235487357871023</c:v>
                </c:pt>
                <c:pt idx="27">
                  <c:v>85.056698410096828</c:v>
                </c:pt>
                <c:pt idx="28">
                  <c:v>90.877909462322634</c:v>
                </c:pt>
                <c:pt idx="29">
                  <c:v>96.69912051454844</c:v>
                </c:pt>
              </c:numCache>
            </c:numRef>
          </c:xVal>
          <c:yVal>
            <c:numRef>
              <c:f>Diagrammdaten!$K$298:$K$327</c:f>
              <c:numCache>
                <c:formatCode>General</c:formatCode>
                <c:ptCount val="30"/>
                <c:pt idx="0">
                  <c:v>54.249178858911719</c:v>
                </c:pt>
                <c:pt idx="1">
                  <c:v>52.664363407576069</c:v>
                </c:pt>
                <c:pt idx="2">
                  <c:v>51.40003231788009</c:v>
                </c:pt>
                <c:pt idx="3">
                  <c:v>50.422039629483656</c:v>
                </c:pt>
                <c:pt idx="4">
                  <c:v>49.703056462019831</c:v>
                </c:pt>
                <c:pt idx="5">
                  <c:v>49.221145655561216</c:v>
                </c:pt>
                <c:pt idx="6">
                  <c:v>48.959101170097277</c:v>
                </c:pt>
                <c:pt idx="7">
                  <c:v>48.902828994722412</c:v>
                </c:pt>
                <c:pt idx="8">
                  <c:v>49.040237729303101</c:v>
                </c:pt>
                <c:pt idx="9">
                  <c:v>49.362146363389712</c:v>
                </c:pt>
                <c:pt idx="10">
                  <c:v>49.861173471192402</c:v>
                </c:pt>
                <c:pt idx="11">
                  <c:v>50.531397928398562</c:v>
                </c:pt>
                <c:pt idx="12">
                  <c:v>51.368765341961051</c:v>
                </c:pt>
                <c:pt idx="13">
                  <c:v>52.368889762331087</c:v>
                </c:pt>
                <c:pt idx="14">
                  <c:v>53.528518650089161</c:v>
                </c:pt>
                <c:pt idx="15">
                  <c:v>54.845101014529511</c:v>
                </c:pt>
                <c:pt idx="16">
                  <c:v>56.316468002074117</c:v>
                </c:pt>
                <c:pt idx="17">
                  <c:v>57.940872900767133</c:v>
                </c:pt>
                <c:pt idx="18">
                  <c:v>59.716932633410508</c:v>
                </c:pt>
                <c:pt idx="19">
                  <c:v>61.642103419846549</c:v>
                </c:pt>
                <c:pt idx="20">
                  <c:v>63.71401451613437</c:v>
                </c:pt>
                <c:pt idx="21">
                  <c:v>65.929211829067867</c:v>
                </c:pt>
                <c:pt idx="22">
                  <c:v>68.282233623562746</c:v>
                </c:pt>
                <c:pt idx="23">
                  <c:v>70.764954852547746</c:v>
                </c:pt>
                <c:pt idx="24">
                  <c:v>73.364513310303693</c:v>
                </c:pt>
                <c:pt idx="25">
                  <c:v>76.061587611447692</c:v>
                </c:pt>
                <c:pt idx="26">
                  <c:v>78.81922862244744</c:v>
                </c:pt>
                <c:pt idx="27">
                  <c:v>81.507379398410805</c:v>
                </c:pt>
                <c:pt idx="28">
                  <c:v>84.006386183492225</c:v>
                </c:pt>
                <c:pt idx="29">
                  <c:v>84.685344406773822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41-40F0-8FF8-07BCA3849169}"/>
            </c:ext>
          </c:extLst>
        </c:ser>
        <c:ser>
          <c:idx val="8"/>
          <c:order val="9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Diagrammdaten!$M$329:$M$358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3.7782907966562362</c:v>
                </c:pt>
                <c:pt idx="14">
                  <c:v>9.6163131656297764</c:v>
                </c:pt>
                <c:pt idx="15">
                  <c:v>15.454335534603331</c:v>
                </c:pt>
                <c:pt idx="16">
                  <c:v>21.292357903576885</c:v>
                </c:pt>
                <c:pt idx="17">
                  <c:v>27.13038027255044</c:v>
                </c:pt>
                <c:pt idx="18">
                  <c:v>32.968402641523994</c:v>
                </c:pt>
                <c:pt idx="19">
                  <c:v>38.806425010497534</c:v>
                </c:pt>
                <c:pt idx="20">
                  <c:v>44.644447379471089</c:v>
                </c:pt>
                <c:pt idx="21">
                  <c:v>50.482469748444643</c:v>
                </c:pt>
                <c:pt idx="22">
                  <c:v>56.320492117418183</c:v>
                </c:pt>
                <c:pt idx="23">
                  <c:v>62.158514486391738</c:v>
                </c:pt>
                <c:pt idx="24">
                  <c:v>67.996536855365292</c:v>
                </c:pt>
                <c:pt idx="25">
                  <c:v>73.834559224338847</c:v>
                </c:pt>
                <c:pt idx="26">
                  <c:v>79.672581593312401</c:v>
                </c:pt>
                <c:pt idx="27">
                  <c:v>85.510603962285956</c:v>
                </c:pt>
                <c:pt idx="28">
                  <c:v>91.348626331259482</c:v>
                </c:pt>
                <c:pt idx="29">
                  <c:v>97.186648700233036</c:v>
                </c:pt>
              </c:numCache>
            </c:numRef>
          </c:xVal>
          <c:yVal>
            <c:numRef>
              <c:f>Diagrammdaten!$K$329:$K$358</c:f>
              <c:numCache>
                <c:formatCode>General</c:formatCode>
                <c:ptCount val="30"/>
                <c:pt idx="0">
                  <c:v>2.4780051259929632</c:v>
                </c:pt>
                <c:pt idx="1">
                  <c:v>3.2104599332675336</c:v>
                </c:pt>
                <c:pt idx="2">
                  <c:v>4.0147345983788778</c:v>
                </c:pt>
                <c:pt idx="3">
                  <c:v>4.8949818046756448</c:v>
                </c:pt>
                <c:pt idx="4">
                  <c:v>5.8564245962950601</c:v>
                </c:pt>
                <c:pt idx="5">
                  <c:v>6.9029427794701999</c:v>
                </c:pt>
                <c:pt idx="6">
                  <c:v>8.0394947701484778</c:v>
                </c:pt>
                <c:pt idx="7">
                  <c:v>9.2713091561138921</c:v>
                </c:pt>
                <c:pt idx="8">
                  <c:v>10.603085389059821</c:v>
                </c:pt>
                <c:pt idx="9">
                  <c:v>12.039852172418426</c:v>
                </c:pt>
                <c:pt idx="10">
                  <c:v>13.586873765952987</c:v>
                </c:pt>
                <c:pt idx="11">
                  <c:v>15.249592936904534</c:v>
                </c:pt>
                <c:pt idx="12">
                  <c:v>17.033658727159636</c:v>
                </c:pt>
                <c:pt idx="13">
                  <c:v>18.945376817165933</c:v>
                </c:pt>
                <c:pt idx="14">
                  <c:v>20.990785665133657</c:v>
                </c:pt>
                <c:pt idx="15">
                  <c:v>23.176208762572006</c:v>
                </c:pt>
                <c:pt idx="16">
                  <c:v>25.508607393240041</c:v>
                </c:pt>
                <c:pt idx="17">
                  <c:v>27.995474228307575</c:v>
                </c:pt>
                <c:pt idx="18">
                  <c:v>30.644973518769611</c:v>
                </c:pt>
                <c:pt idx="19">
                  <c:v>33.466550208449242</c:v>
                </c:pt>
                <c:pt idx="20">
                  <c:v>36.470502620113258</c:v>
                </c:pt>
                <c:pt idx="21">
                  <c:v>39.668178690413654</c:v>
                </c:pt>
                <c:pt idx="22">
                  <c:v>43.073587576943865</c:v>
                </c:pt>
                <c:pt idx="23">
                  <c:v>46.703908661604409</c:v>
                </c:pt>
                <c:pt idx="24">
                  <c:v>50.58211318954023</c:v>
                </c:pt>
                <c:pt idx="25">
                  <c:v>54.739597871776695</c:v>
                </c:pt>
                <c:pt idx="26">
                  <c:v>59.295247173517502</c:v>
                </c:pt>
                <c:pt idx="27">
                  <c:v>64.156072857380096</c:v>
                </c:pt>
                <c:pt idx="28">
                  <c:v>69.693005578099459</c:v>
                </c:pt>
                <c:pt idx="29">
                  <c:v>77.896473762668705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41-40F0-8FF8-07BCA3849169}"/>
            </c:ext>
          </c:extLst>
        </c:ser>
        <c:ser>
          <c:idx val="14"/>
          <c:order val="10"/>
          <c:tx>
            <c:v>S2: verdichten → überkritisch kühlen → pumpen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en-US"/>
                      <a:t>Netzübergabe 30 bar / 15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C41-40F0-8FF8-07BCA3849169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en-US"/>
                      <a:t>Verdichter 1: 65,9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C41-40F0-8FF8-07BCA3849169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en-US"/>
                      <a:t>Zwischenkühler 55 bar / 40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C41-40F0-8FF8-07BCA384916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en-US"/>
                      <a:t>Verdichter 2: 84,7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C41-40F0-8FF8-07BCA3849169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en-US"/>
                      <a:t>Kühler 91 bar / 26 °C → Pumpe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C41-40F0-8FF8-07BCA3849169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404040"/>
                        </a:solidFill>
                      </a:defRPr>
                    </a:pPr>
                    <a:r>
                      <a:rPr lang="en-US"/>
                      <a:t>Bohrlochkopf 127,3 bar (Betrieb)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C41-40F0-8FF8-07BCA384916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Diagrammdaten!$M$128:$M$133</c:f>
              <c:numCache>
                <c:formatCode>General</c:formatCode>
                <c:ptCount val="6"/>
                <c:pt idx="0">
                  <c:v>71</c:v>
                </c:pt>
                <c:pt idx="1">
                  <c:v>155.99996894817946</c:v>
                </c:pt>
                <c:pt idx="2">
                  <c:v>93</c:v>
                </c:pt>
                <c:pt idx="3">
                  <c:v>195.75429467943798</c:v>
                </c:pt>
                <c:pt idx="4">
                  <c:v>93</c:v>
                </c:pt>
                <c:pt idx="5">
                  <c:v>104.49938892528485</c:v>
                </c:pt>
              </c:numCache>
            </c:numRef>
          </c:xVal>
          <c:yVal>
            <c:numRef>
              <c:f>Diagrammdaten!$K$128:$K$133</c:f>
              <c:numCache>
                <c:formatCode>General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50</c:v>
                </c:pt>
                <c:pt idx="3">
                  <c:v>91</c:v>
                </c:pt>
                <c:pt idx="4">
                  <c:v>91</c:v>
                </c:pt>
                <c:pt idx="5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41-40F0-8FF8-07BCA3849169}"/>
            </c:ext>
          </c:extLst>
        </c:ser>
        <c:ser>
          <c:idx val="12"/>
          <c:order val="11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Diagrammdaten!$M$123</c:f>
              <c:numCache>
                <c:formatCode>General</c:formatCode>
                <c:ptCount val="1"/>
                <c:pt idx="0">
                  <c:v>96.909442549065488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81.455055721913254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41-40F0-8FF8-07BCA3849169}"/>
            </c:ext>
          </c:extLst>
        </c:ser>
        <c:ser>
          <c:idx val="20"/>
          <c:order val="12"/>
          <c:tx>
            <c:v>ρ = 500 kg/m³ (Gemisch)</c:v>
          </c:tx>
          <c:spPr>
            <a:ln w="19050" cap="rnd">
              <a:solidFill>
                <a:srgbClr val="EE7203"/>
              </a:solidFill>
              <a:prstDash val="dot"/>
            </a:ln>
          </c:spPr>
          <c:marker>
            <c:symbol val="none"/>
          </c:marker>
          <c:xVal>
            <c:numRef>
              <c:f>Diagrammdaten!$M$367:$M$378</c:f>
              <c:numCache>
                <c:formatCode>General</c:formatCode>
                <c:ptCount val="12"/>
                <c:pt idx="0">
                  <c:v>97.851343560353286</c:v>
                </c:pt>
                <c:pt idx="1">
                  <c:v>102.00349837929956</c:v>
                </c:pt>
                <c:pt idx="2">
                  <c:v>106.12709398633616</c:v>
                </c:pt>
                <c:pt idx="3">
                  <c:v>110.22967074606738</c:v>
                </c:pt>
                <c:pt idx="4">
                  <c:v>114.31034545220446</c:v>
                </c:pt>
                <c:pt idx="5">
                  <c:v>118.37850541109459</c:v>
                </c:pt>
                <c:pt idx="6">
                  <c:v>122.43380590193343</c:v>
                </c:pt>
                <c:pt idx="7">
                  <c:v>126.47248541967751</c:v>
                </c:pt>
                <c:pt idx="8">
                  <c:v>130.50384302228866</c:v>
                </c:pt>
                <c:pt idx="9">
                  <c:v>134.52588197435807</c:v>
                </c:pt>
                <c:pt idx="10">
                  <c:v>138.5395405573673</c:v>
                </c:pt>
                <c:pt idx="11">
                  <c:v>142.54403313554269</c:v>
                </c:pt>
              </c:numCache>
            </c:numRef>
          </c:xVal>
          <c:yVal>
            <c:numRef>
              <c:f>Diagrammdaten!$K$367:$K$378</c:f>
              <c:numCache>
                <c:formatCode>General</c:formatCode>
                <c:ptCount val="12"/>
                <c:pt idx="0">
                  <c:v>84</c:v>
                </c:pt>
                <c:pt idx="1">
                  <c:v>88</c:v>
                </c:pt>
                <c:pt idx="2">
                  <c:v>92</c:v>
                </c:pt>
                <c:pt idx="3">
                  <c:v>96</c:v>
                </c:pt>
                <c:pt idx="4">
                  <c:v>100</c:v>
                </c:pt>
                <c:pt idx="5">
                  <c:v>104</c:v>
                </c:pt>
                <c:pt idx="6">
                  <c:v>108</c:v>
                </c:pt>
                <c:pt idx="7">
                  <c:v>112</c:v>
                </c:pt>
                <c:pt idx="8">
                  <c:v>116</c:v>
                </c:pt>
                <c:pt idx="9">
                  <c:v>120</c:v>
                </c:pt>
                <c:pt idx="10">
                  <c:v>124</c:v>
                </c:pt>
                <c:pt idx="11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C41-40F0-8FF8-07BCA3849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4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At val="1"/>
        <c:crossBetween val="between"/>
        <c:majorUnit val="10"/>
      </c:valAx>
      <c:valAx>
        <c:axId val="60080002"/>
        <c:scaling>
          <c:orientation val="minMax"/>
          <c:max val="14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valAx>
        <c:axId val="6008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80002"/>
        <c:crosses val="autoZero"/>
        <c:crossBetween val="midCat"/>
      </c:valAx>
    </c:plotArea>
    <c:legend>
      <c:legendPos val="r"/>
      <c:legendEntry>
        <c:idx val="6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6_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Gewählter Weg B und die Alternativen A, C, D, E im Phasendiagramm (Worst-Case-Gemisch)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Diagrammdaten!$C$48:$C$388</c:f>
              <c:strCache>
                <c:ptCount val="321"/>
                <c:pt idx="0">
                  <c:v>-60</c:v>
                </c:pt>
                <c:pt idx="40">
                  <c:v>-40</c:v>
                </c:pt>
                <c:pt idx="80">
                  <c:v>-20</c:v>
                </c:pt>
                <c:pt idx="120">
                  <c:v>0</c:v>
                </c:pt>
                <c:pt idx="160">
                  <c:v>20</c:v>
                </c:pt>
                <c:pt idx="200">
                  <c:v>40</c:v>
                </c:pt>
                <c:pt idx="240">
                  <c:v>60</c:v>
                </c:pt>
                <c:pt idx="280">
                  <c:v>80</c:v>
                </c:pt>
                <c:pt idx="320">
                  <c:v>100</c:v>
                </c:pt>
              </c:strCache>
            </c:strRef>
          </c:cat>
          <c:val>
            <c:numRef>
              <c:f>Diagrammdaten!$D$48:$D$388</c:f>
              <c:numCache>
                <c:formatCode>General</c:formatCode>
                <c:ptCount val="341"/>
                <c:pt idx="0">
                  <c:v>4.0861745418042217</c:v>
                </c:pt>
                <c:pt idx="1">
                  <c:v>4.2309676583365281</c:v>
                </c:pt>
                <c:pt idx="2">
                  <c:v>4.3803158042993156</c:v>
                </c:pt>
                <c:pt idx="3">
                  <c:v>4.5343492356916677</c:v>
                </c:pt>
                <c:pt idx="4">
                  <c:v>4.6932026616762457</c:v>
                </c:pt>
                <c:pt idx="5">
                  <c:v>4.8570160489607197</c:v>
                </c:pt>
                <c:pt idx="6">
                  <c:v>5.0259364249698981</c:v>
                </c:pt>
                <c:pt idx="7">
                  <c:v>5.4919860799449749</c:v>
                </c:pt>
                <c:pt idx="8">
                  <c:v>5.6127439371801966</c:v>
                </c:pt>
                <c:pt idx="9">
                  <c:v>5.7355076682387329</c:v>
                </c:pt>
                <c:pt idx="10">
                  <c:v>5.8602987779670137</c:v>
                </c:pt>
                <c:pt idx="11">
                  <c:v>5.9871388591800443</c:v>
                </c:pt>
                <c:pt idx="12">
                  <c:v>6.1160495926643224</c:v>
                </c:pt>
                <c:pt idx="13">
                  <c:v>6.2470527471981425</c:v>
                </c:pt>
                <c:pt idx="14">
                  <c:v>6.3801701795764982</c:v>
                </c:pt>
                <c:pt idx="15">
                  <c:v>6.5154238347897238</c:v>
                </c:pt>
                <c:pt idx="16">
                  <c:v>6.6528357460767671</c:v>
                </c:pt>
                <c:pt idx="17">
                  <c:v>6.7924280351432822</c:v>
                </c:pt>
                <c:pt idx="18">
                  <c:v>6.9342229123897052</c:v>
                </c:pt>
                <c:pt idx="19">
                  <c:v>7.0782426771019722</c:v>
                </c:pt>
                <c:pt idx="20">
                  <c:v>7.2245097178489024</c:v>
                </c:pt>
                <c:pt idx="21">
                  <c:v>7.3730465127103502</c:v>
                </c:pt>
                <c:pt idx="22">
                  <c:v>7.5238756297246789</c:v>
                </c:pt>
                <c:pt idx="23">
                  <c:v>7.6770197272943728</c:v>
                </c:pt>
                <c:pt idx="24">
                  <c:v>7.8324218604236382</c:v>
                </c:pt>
                <c:pt idx="25">
                  <c:v>7.9903439524663922</c:v>
                </c:pt>
                <c:pt idx="26">
                  <c:v>8.1505698531683723</c:v>
                </c:pt>
                <c:pt idx="27">
                  <c:v>8.3132022818456477</c:v>
                </c:pt>
                <c:pt idx="28">
                  <c:v>8.4782643567241394</c:v>
                </c:pt>
                <c:pt idx="29">
                  <c:v>8.6457792899035155</c:v>
                </c:pt>
                <c:pt idx="30">
                  <c:v>8.8157703881778495</c:v>
                </c:pt>
                <c:pt idx="31">
                  <c:v>8.9882610537478094</c:v>
                </c:pt>
                <c:pt idx="32">
                  <c:v>9.1632747851362311</c:v>
                </c:pt>
                <c:pt idx="33">
                  <c:v>9.3408351781147942</c:v>
                </c:pt>
                <c:pt idx="34">
                  <c:v>9.5209659265827469</c:v>
                </c:pt>
                <c:pt idx="35">
                  <c:v>9.7036908236466317</c:v>
                </c:pt>
                <c:pt idx="36">
                  <c:v>9.889033762673316</c:v>
                </c:pt>
                <c:pt idx="37">
                  <c:v>10.077018738400762</c:v>
                </c:pt>
                <c:pt idx="38">
                  <c:v>10.267669848055281</c:v>
                </c:pt>
                <c:pt idx="39">
                  <c:v>10.461011292705777</c:v>
                </c:pt>
                <c:pt idx="40">
                  <c:v>10.65706737848825</c:v>
                </c:pt>
                <c:pt idx="41">
                  <c:v>10.855862517881613</c:v>
                </c:pt>
                <c:pt idx="42">
                  <c:v>11.057421231298767</c:v>
                </c:pt>
                <c:pt idx="43">
                  <c:v>11.261768148424618</c:v>
                </c:pt>
                <c:pt idx="44">
                  <c:v>11.46892800980112</c:v>
                </c:pt>
                <c:pt idx="45">
                  <c:v>11.678925668469054</c:v>
                </c:pt>
                <c:pt idx="46">
                  <c:v>11.891786091679583</c:v>
                </c:pt>
                <c:pt idx="47">
                  <c:v>12.107534362600649</c:v>
                </c:pt>
                <c:pt idx="48">
                  <c:v>12.326195682274205</c:v>
                </c:pt>
                <c:pt idx="49">
                  <c:v>12.547795371500028</c:v>
                </c:pt>
                <c:pt idx="50">
                  <c:v>12.772358872889802</c:v>
                </c:pt>
                <c:pt idx="51">
                  <c:v>12.999911753042955</c:v>
                </c:pt>
                <c:pt idx="52">
                  <c:v>13.230479704752533</c:v>
                </c:pt>
                <c:pt idx="53">
                  <c:v>13.464088549338307</c:v>
                </c:pt>
                <c:pt idx="54">
                  <c:v>13.700764239189271</c:v>
                </c:pt>
                <c:pt idx="55">
                  <c:v>13.940532860287671</c:v>
                </c:pt>
                <c:pt idx="56">
                  <c:v>14.183351703185131</c:v>
                </c:pt>
                <c:pt idx="57">
                  <c:v>14.429453924659507</c:v>
                </c:pt>
                <c:pt idx="58">
                  <c:v>14.678659233038044</c:v>
                </c:pt>
                <c:pt idx="59">
                  <c:v>14.931063208978326</c:v>
                </c:pt>
                <c:pt idx="60">
                  <c:v>15.186692649944018</c:v>
                </c:pt>
                <c:pt idx="61">
                  <c:v>15.445574505341019</c:v>
                </c:pt>
                <c:pt idx="62">
                  <c:v>15.707735880186359</c:v>
                </c:pt>
                <c:pt idx="63">
                  <c:v>15.973204038727578</c:v>
                </c:pt>
                <c:pt idx="64">
                  <c:v>16.242006408537232</c:v>
                </c:pt>
                <c:pt idx="65">
                  <c:v>16.514170584509827</c:v>
                </c:pt>
                <c:pt idx="66">
                  <c:v>16.789724333197771</c:v>
                </c:pt>
                <c:pt idx="67">
                  <c:v>17.06869559729407</c:v>
                </c:pt>
                <c:pt idx="68">
                  <c:v>17.351112500347501</c:v>
                </c:pt>
                <c:pt idx="69">
                  <c:v>17.637003351619452</c:v>
                </c:pt>
                <c:pt idx="70">
                  <c:v>17.926396651249259</c:v>
                </c:pt>
                <c:pt idx="71">
                  <c:v>18.219321095572891</c:v>
                </c:pt>
                <c:pt idx="72">
                  <c:v>18.515805582712161</c:v>
                </c:pt>
                <c:pt idx="73">
                  <c:v>18.815879218407041</c:v>
                </c:pt>
                <c:pt idx="74">
                  <c:v>19.119571322090206</c:v>
                </c:pt>
                <c:pt idx="75">
                  <c:v>19.426911433245074</c:v>
                </c:pt>
                <c:pt idx="76">
                  <c:v>19.737929318057201</c:v>
                </c:pt>
                <c:pt idx="77">
                  <c:v>20.052654976276475</c:v>
                </c:pt>
                <c:pt idx="78">
                  <c:v>20.371118648517893</c:v>
                </c:pt>
                <c:pt idx="79">
                  <c:v>20.693350823792674</c:v>
                </c:pt>
                <c:pt idx="80">
                  <c:v>21.019382247337123</c:v>
                </c:pt>
                <c:pt idx="81">
                  <c:v>21.349243928996074</c:v>
                </c:pt>
                <c:pt idx="82">
                  <c:v>21.682967151690651</c:v>
                </c:pt>
                <c:pt idx="83">
                  <c:v>22.020583480496693</c:v>
                </c:pt>
                <c:pt idx="84">
                  <c:v>22.362124772082222</c:v>
                </c:pt>
                <c:pt idx="85">
                  <c:v>22.707623184526081</c:v>
                </c:pt>
                <c:pt idx="86">
                  <c:v>23.057111187672984</c:v>
                </c:pt>
                <c:pt idx="87">
                  <c:v>23.410621573866361</c:v>
                </c:pt>
                <c:pt idx="88">
                  <c:v>23.768187469338002</c:v>
                </c:pt>
                <c:pt idx="89">
                  <c:v>24.12984234599627</c:v>
                </c:pt>
                <c:pt idx="90">
                  <c:v>24.495620033870402</c:v>
                </c:pt>
                <c:pt idx="91">
                  <c:v>24.865534504483001</c:v>
                </c:pt>
                <c:pt idx="92">
                  <c:v>25.239681032717183</c:v>
                </c:pt>
                <c:pt idx="93">
                  <c:v>25.618033914754317</c:v>
                </c:pt>
                <c:pt idx="94">
                  <c:v>26.000648779532593</c:v>
                </c:pt>
                <c:pt idx="95">
                  <c:v>26.387561456360864</c:v>
                </c:pt>
                <c:pt idx="96">
                  <c:v>26.77880822122118</c:v>
                </c:pt>
                <c:pt idx="97">
                  <c:v>27.174425814219134</c:v>
                </c:pt>
                <c:pt idx="98">
                  <c:v>27.574451458074829</c:v>
                </c:pt>
                <c:pt idx="99">
                  <c:v>27.978922877476542</c:v>
                </c:pt>
                <c:pt idx="100">
                  <c:v>28.387878319565097</c:v>
                </c:pt>
                <c:pt idx="101">
                  <c:v>28.801356575535983</c:v>
                </c:pt>
                <c:pt idx="102">
                  <c:v>29.21966600247509</c:v>
                </c:pt>
                <c:pt idx="103">
                  <c:v>29.644089510561468</c:v>
                </c:pt>
                <c:pt idx="104">
                  <c:v>30.069598596144392</c:v>
                </c:pt>
                <c:pt idx="105">
                  <c:v>30.503380530925153</c:v>
                </c:pt>
                <c:pt idx="106">
                  <c:v>30.937988822707315</c:v>
                </c:pt>
                <c:pt idx="107">
                  <c:v>31.379452087235325</c:v>
                </c:pt>
                <c:pt idx="108">
                  <c:v>31.82572702823888</c:v>
                </c:pt>
                <c:pt idx="109">
                  <c:v>32.276857732169212</c:v>
                </c:pt>
                <c:pt idx="110">
                  <c:v>32.732889090722054</c:v>
                </c:pt>
                <c:pt idx="111">
                  <c:v>33.193866839690045</c:v>
                </c:pt>
                <c:pt idx="112">
                  <c:v>33.659837600410995</c:v>
                </c:pt>
                <c:pt idx="113">
                  <c:v>34.130848923988133</c:v>
                </c:pt>
                <c:pt idx="114">
                  <c:v>34.606949338621241</c:v>
                </c:pt>
                <c:pt idx="115">
                  <c:v>35.088188400233264</c:v>
                </c:pt>
                <c:pt idx="116">
                  <c:v>35.574616746776918</c:v>
                </c:pt>
                <c:pt idx="117">
                  <c:v>36.066286156425733</c:v>
                </c:pt>
                <c:pt idx="118">
                  <c:v>36.563249610200728</c:v>
                </c:pt>
                <c:pt idx="119">
                  <c:v>37.065561359218584</c:v>
                </c:pt>
                <c:pt idx="120">
                  <c:v>37.573276997210179</c:v>
                </c:pt>
                <c:pt idx="121">
                  <c:v>38.086453538633471</c:v>
                </c:pt>
                <c:pt idx="122">
                  <c:v>38.60514950304249</c:v>
                </c:pt>
                <c:pt idx="123">
                  <c:v>39.129425006292543</c:v>
                </c:pt>
                <c:pt idx="124">
                  <c:v>39.659341859162808</c:v>
                </c:pt>
                <c:pt idx="125">
                  <c:v>40.19496367434504</c:v>
                </c:pt>
                <c:pt idx="126">
                  <c:v>40.736355982418857</c:v>
                </c:pt>
                <c:pt idx="127">
                  <c:v>41.283586357901441</c:v>
                </c:pt>
                <c:pt idx="128">
                  <c:v>41.836420633447588</c:v>
                </c:pt>
                <c:pt idx="129">
                  <c:v>42.3958426640854</c:v>
                </c:pt>
                <c:pt idx="130">
                  <c:v>42.961015260630354</c:v>
                </c:pt>
                <c:pt idx="131">
                  <c:v>43.532319597590259</c:v>
                </c:pt>
                <c:pt idx="132">
                  <c:v>44.109835793581581</c:v>
                </c:pt>
                <c:pt idx="133">
                  <c:v>44.693647048409758</c:v>
                </c:pt>
                <c:pt idx="134">
                  <c:v>45.283839878592119</c:v>
                </c:pt>
                <c:pt idx="135">
                  <c:v>45.880504376789766</c:v>
                </c:pt>
                <c:pt idx="136">
                  <c:v>46.483734498420105</c:v>
                </c:pt>
                <c:pt idx="137">
                  <c:v>47.093628379086717</c:v>
                </c:pt>
                <c:pt idx="138">
                  <c:v>47.710288687124077</c:v>
                </c:pt>
                <c:pt idx="139">
                  <c:v>48.333823016385388</c:v>
                </c:pt>
                <c:pt idx="140">
                  <c:v>48.964344325289865</c:v>
                </c:pt>
                <c:pt idx="141">
                  <c:v>49.601909301745991</c:v>
                </c:pt>
                <c:pt idx="142">
                  <c:v>50.246829555681302</c:v>
                </c:pt>
                <c:pt idx="143">
                  <c:v>50.899050970206332</c:v>
                </c:pt>
                <c:pt idx="144">
                  <c:v>51.558775689360345</c:v>
                </c:pt>
                <c:pt idx="145">
                  <c:v>52.226152292085246</c:v>
                </c:pt>
                <c:pt idx="146">
                  <c:v>52.901338850141386</c:v>
                </c:pt>
                <c:pt idx="147">
                  <c:v>53.584503999302882</c:v>
                </c:pt>
                <c:pt idx="148">
                  <c:v>54.275828179093409</c:v>
                </c:pt>
                <c:pt idx="149">
                  <c:v>54.975505075157592</c:v>
                </c:pt>
                <c:pt idx="150">
                  <c:v>55.683743306690538</c:v>
                </c:pt>
                <c:pt idx="151">
                  <c:v>56.400768411846606</c:v>
                </c:pt>
                <c:pt idx="152">
                  <c:v>57.126825197876414</c:v>
                </c:pt>
                <c:pt idx="153">
                  <c:v>57.862180540579779</c:v>
                </c:pt>
                <c:pt idx="154">
                  <c:v>58.607126741337744</c:v>
                </c:pt>
                <c:pt idx="155">
                  <c:v>59.361985581713512</c:v>
                </c:pt>
                <c:pt idx="156">
                  <c:v>60.131197783688393</c:v>
                </c:pt>
                <c:pt idx="157">
                  <c:v>60.94092026147699</c:v>
                </c:pt>
                <c:pt idx="158">
                  <c:v>61.750642739265587</c:v>
                </c:pt>
                <c:pt idx="159">
                  <c:v>62.560365217054184</c:v>
                </c:pt>
                <c:pt idx="160">
                  <c:v>63.37008769484278</c:v>
                </c:pt>
                <c:pt idx="161">
                  <c:v>64.179810172631377</c:v>
                </c:pt>
                <c:pt idx="162">
                  <c:v>64.989532650419974</c:v>
                </c:pt>
                <c:pt idx="163">
                  <c:v>65.817354559425965</c:v>
                </c:pt>
                <c:pt idx="164">
                  <c:v>66.703568505223032</c:v>
                </c:pt>
                <c:pt idx="165">
                  <c:v>67.589782451020099</c:v>
                </c:pt>
                <c:pt idx="166">
                  <c:v>68.475996396817166</c:v>
                </c:pt>
                <c:pt idx="167">
                  <c:v>69.40522495773665</c:v>
                </c:pt>
                <c:pt idx="168">
                  <c:v>70.363800093024707</c:v>
                </c:pt>
                <c:pt idx="169">
                  <c:v>71.322375228312765</c:v>
                </c:pt>
                <c:pt idx="170">
                  <c:v>72.325229642539654</c:v>
                </c:pt>
                <c:pt idx="171">
                  <c:v>73.38015838022605</c:v>
                </c:pt>
                <c:pt idx="172">
                  <c:v>74.43508711791246</c:v>
                </c:pt>
                <c:pt idx="173">
                  <c:v>75.61815476681673</c:v>
                </c:pt>
                <c:pt idx="174">
                  <c:v>76.817922880286346</c:v>
                </c:pt>
                <c:pt idx="175">
                  <c:v>78.254414833855236</c:v>
                </c:pt>
                <c:pt idx="176">
                  <c:v>81.455055721913254</c:v>
                </c:pt>
                <c:pt idx="177">
                  <c:v>81.455055721913254</c:v>
                </c:pt>
                <c:pt idx="178">
                  <c:v>81.455055721913254</c:v>
                </c:pt>
                <c:pt idx="179">
                  <c:v>81.455055721913254</c:v>
                </c:pt>
                <c:pt idx="180">
                  <c:v>81.455055721913254</c:v>
                </c:pt>
                <c:pt idx="181">
                  <c:v>81.455055721913254</c:v>
                </c:pt>
                <c:pt idx="182">
                  <c:v>81.455055721913254</c:v>
                </c:pt>
                <c:pt idx="183">
                  <c:v>81.455055721913254</c:v>
                </c:pt>
                <c:pt idx="184">
                  <c:v>81.455055721913254</c:v>
                </c:pt>
                <c:pt idx="185">
                  <c:v>81.455055721913254</c:v>
                </c:pt>
                <c:pt idx="186">
                  <c:v>81.455055721913254</c:v>
                </c:pt>
                <c:pt idx="187">
                  <c:v>81.455055721913254</c:v>
                </c:pt>
                <c:pt idx="188">
                  <c:v>81.455055721913254</c:v>
                </c:pt>
                <c:pt idx="189">
                  <c:v>81.455055721913254</c:v>
                </c:pt>
                <c:pt idx="190">
                  <c:v>81.455055721913254</c:v>
                </c:pt>
                <c:pt idx="191">
                  <c:v>81.455055721913254</c:v>
                </c:pt>
                <c:pt idx="192">
                  <c:v>81.455055721913254</c:v>
                </c:pt>
                <c:pt idx="193">
                  <c:v>81.455055721913254</c:v>
                </c:pt>
                <c:pt idx="194">
                  <c:v>81.455055721913254</c:v>
                </c:pt>
                <c:pt idx="195">
                  <c:v>81.455055721913254</c:v>
                </c:pt>
                <c:pt idx="196">
                  <c:v>81.455055721913254</c:v>
                </c:pt>
                <c:pt idx="197">
                  <c:v>81.455055721913254</c:v>
                </c:pt>
                <c:pt idx="198">
                  <c:v>81.455055721913254</c:v>
                </c:pt>
                <c:pt idx="199">
                  <c:v>81.455055721913254</c:v>
                </c:pt>
                <c:pt idx="200">
                  <c:v>81.455055721913254</c:v>
                </c:pt>
                <c:pt idx="201">
                  <c:v>81.455055721913254</c:v>
                </c:pt>
                <c:pt idx="202">
                  <c:v>81.455055721913254</c:v>
                </c:pt>
                <c:pt idx="203">
                  <c:v>81.455055721913254</c:v>
                </c:pt>
                <c:pt idx="204">
                  <c:v>81.455055721913254</c:v>
                </c:pt>
                <c:pt idx="205">
                  <c:v>81.455055721913254</c:v>
                </c:pt>
                <c:pt idx="206">
                  <c:v>81.455055721913254</c:v>
                </c:pt>
                <c:pt idx="207">
                  <c:v>81.455055721913254</c:v>
                </c:pt>
                <c:pt idx="208">
                  <c:v>81.455055721913254</c:v>
                </c:pt>
                <c:pt idx="209">
                  <c:v>81.455055721913254</c:v>
                </c:pt>
                <c:pt idx="210">
                  <c:v>81.455055721913254</c:v>
                </c:pt>
                <c:pt idx="211">
                  <c:v>81.455055721913254</c:v>
                </c:pt>
                <c:pt idx="212">
                  <c:v>81.455055721913254</c:v>
                </c:pt>
                <c:pt idx="213">
                  <c:v>81.455055721913254</c:v>
                </c:pt>
                <c:pt idx="214">
                  <c:v>81.455055721913254</c:v>
                </c:pt>
                <c:pt idx="215">
                  <c:v>81.455055721913254</c:v>
                </c:pt>
                <c:pt idx="216">
                  <c:v>81.455055721913254</c:v>
                </c:pt>
                <c:pt idx="217">
                  <c:v>81.455055721913254</c:v>
                </c:pt>
                <c:pt idx="218">
                  <c:v>81.455055721913254</c:v>
                </c:pt>
                <c:pt idx="219">
                  <c:v>81.455055721913254</c:v>
                </c:pt>
                <c:pt idx="220">
                  <c:v>81.455055721913254</c:v>
                </c:pt>
                <c:pt idx="221">
                  <c:v>81.455055721913254</c:v>
                </c:pt>
                <c:pt idx="222">
                  <c:v>81.455055721913254</c:v>
                </c:pt>
                <c:pt idx="223">
                  <c:v>81.455055721913254</c:v>
                </c:pt>
                <c:pt idx="224">
                  <c:v>81.455055721913254</c:v>
                </c:pt>
                <c:pt idx="225">
                  <c:v>81.455055721913254</c:v>
                </c:pt>
                <c:pt idx="226">
                  <c:v>81.455055721913254</c:v>
                </c:pt>
                <c:pt idx="227">
                  <c:v>81.455055721913254</c:v>
                </c:pt>
                <c:pt idx="228">
                  <c:v>81.455055721913254</c:v>
                </c:pt>
                <c:pt idx="229">
                  <c:v>81.455055721913254</c:v>
                </c:pt>
                <c:pt idx="230">
                  <c:v>81.455055721913254</c:v>
                </c:pt>
                <c:pt idx="231">
                  <c:v>81.455055721913254</c:v>
                </c:pt>
                <c:pt idx="232">
                  <c:v>81.455055721913254</c:v>
                </c:pt>
                <c:pt idx="233">
                  <c:v>81.455055721913254</c:v>
                </c:pt>
                <c:pt idx="234">
                  <c:v>81.455055721913254</c:v>
                </c:pt>
                <c:pt idx="235">
                  <c:v>81.455055721913254</c:v>
                </c:pt>
                <c:pt idx="236">
                  <c:v>81.455055721913254</c:v>
                </c:pt>
                <c:pt idx="237">
                  <c:v>81.455055721913254</c:v>
                </c:pt>
                <c:pt idx="238">
                  <c:v>81.455055721913254</c:v>
                </c:pt>
                <c:pt idx="239">
                  <c:v>81.455055721913254</c:v>
                </c:pt>
                <c:pt idx="240">
                  <c:v>81.455055721913254</c:v>
                </c:pt>
                <c:pt idx="241">
                  <c:v>81.455055721913254</c:v>
                </c:pt>
                <c:pt idx="242">
                  <c:v>81.455055721913254</c:v>
                </c:pt>
                <c:pt idx="243">
                  <c:v>81.455055721913254</c:v>
                </c:pt>
                <c:pt idx="244">
                  <c:v>81.455055721913254</c:v>
                </c:pt>
                <c:pt idx="245">
                  <c:v>81.455055721913254</c:v>
                </c:pt>
                <c:pt idx="246">
                  <c:v>81.455055721913254</c:v>
                </c:pt>
                <c:pt idx="247">
                  <c:v>81.455055721913254</c:v>
                </c:pt>
                <c:pt idx="248">
                  <c:v>81.455055721913254</c:v>
                </c:pt>
                <c:pt idx="249">
                  <c:v>81.455055721913254</c:v>
                </c:pt>
                <c:pt idx="250">
                  <c:v>81.455055721913254</c:v>
                </c:pt>
                <c:pt idx="251">
                  <c:v>81.455055721913254</c:v>
                </c:pt>
                <c:pt idx="252">
                  <c:v>81.455055721913254</c:v>
                </c:pt>
                <c:pt idx="253">
                  <c:v>81.455055721913254</c:v>
                </c:pt>
                <c:pt idx="254">
                  <c:v>81.455055721913254</c:v>
                </c:pt>
                <c:pt idx="255">
                  <c:v>81.455055721913254</c:v>
                </c:pt>
                <c:pt idx="256">
                  <c:v>81.455055721913254</c:v>
                </c:pt>
                <c:pt idx="257">
                  <c:v>81.455055721913254</c:v>
                </c:pt>
                <c:pt idx="258">
                  <c:v>81.455055721913254</c:v>
                </c:pt>
                <c:pt idx="259">
                  <c:v>81.455055721913254</c:v>
                </c:pt>
                <c:pt idx="260">
                  <c:v>81.455055721913254</c:v>
                </c:pt>
                <c:pt idx="261">
                  <c:v>81.455055721913254</c:v>
                </c:pt>
                <c:pt idx="262">
                  <c:v>81.455055721913254</c:v>
                </c:pt>
                <c:pt idx="263">
                  <c:v>81.455055721913254</c:v>
                </c:pt>
                <c:pt idx="264">
                  <c:v>81.455055721913254</c:v>
                </c:pt>
                <c:pt idx="265">
                  <c:v>81.455055721913254</c:v>
                </c:pt>
                <c:pt idx="266">
                  <c:v>81.455055721913254</c:v>
                </c:pt>
                <c:pt idx="267">
                  <c:v>81.455055721913254</c:v>
                </c:pt>
                <c:pt idx="268">
                  <c:v>81.455055721913254</c:v>
                </c:pt>
                <c:pt idx="269">
                  <c:v>81.455055721913254</c:v>
                </c:pt>
                <c:pt idx="270">
                  <c:v>81.455055721913254</c:v>
                </c:pt>
                <c:pt idx="271">
                  <c:v>81.455055721913254</c:v>
                </c:pt>
                <c:pt idx="272">
                  <c:v>81.455055721913254</c:v>
                </c:pt>
                <c:pt idx="273">
                  <c:v>81.455055721913254</c:v>
                </c:pt>
                <c:pt idx="274">
                  <c:v>81.455055721913254</c:v>
                </c:pt>
                <c:pt idx="275">
                  <c:v>81.455055721913254</c:v>
                </c:pt>
                <c:pt idx="276">
                  <c:v>81.455055721913254</c:v>
                </c:pt>
                <c:pt idx="277">
                  <c:v>81.455055721913254</c:v>
                </c:pt>
                <c:pt idx="278">
                  <c:v>81.455055721913254</c:v>
                </c:pt>
                <c:pt idx="279">
                  <c:v>81.455055721913254</c:v>
                </c:pt>
                <c:pt idx="280">
                  <c:v>81.455055721913254</c:v>
                </c:pt>
                <c:pt idx="281">
                  <c:v>81.455055721913254</c:v>
                </c:pt>
                <c:pt idx="282">
                  <c:v>81.455055721913254</c:v>
                </c:pt>
                <c:pt idx="283">
                  <c:v>81.455055721913254</c:v>
                </c:pt>
                <c:pt idx="284">
                  <c:v>81.455055721913254</c:v>
                </c:pt>
                <c:pt idx="285">
                  <c:v>81.455055721913254</c:v>
                </c:pt>
                <c:pt idx="286">
                  <c:v>81.455055721913254</c:v>
                </c:pt>
                <c:pt idx="287">
                  <c:v>81.455055721913254</c:v>
                </c:pt>
                <c:pt idx="288">
                  <c:v>81.455055721913254</c:v>
                </c:pt>
                <c:pt idx="289">
                  <c:v>81.455055721913254</c:v>
                </c:pt>
                <c:pt idx="290">
                  <c:v>81.455055721913254</c:v>
                </c:pt>
                <c:pt idx="291">
                  <c:v>81.455055721913254</c:v>
                </c:pt>
                <c:pt idx="292">
                  <c:v>81.455055721913254</c:v>
                </c:pt>
                <c:pt idx="293">
                  <c:v>81.455055721913254</c:v>
                </c:pt>
                <c:pt idx="294">
                  <c:v>81.455055721913254</c:v>
                </c:pt>
                <c:pt idx="295">
                  <c:v>81.455055721913254</c:v>
                </c:pt>
                <c:pt idx="296">
                  <c:v>81.455055721913254</c:v>
                </c:pt>
                <c:pt idx="297">
                  <c:v>81.455055721913254</c:v>
                </c:pt>
                <c:pt idx="298">
                  <c:v>81.455055721913254</c:v>
                </c:pt>
                <c:pt idx="299">
                  <c:v>81.455055721913254</c:v>
                </c:pt>
                <c:pt idx="300">
                  <c:v>81.455055721913254</c:v>
                </c:pt>
                <c:pt idx="301">
                  <c:v>81.455055721913254</c:v>
                </c:pt>
                <c:pt idx="302">
                  <c:v>81.455055721913254</c:v>
                </c:pt>
                <c:pt idx="303">
                  <c:v>81.455055721913254</c:v>
                </c:pt>
                <c:pt idx="304">
                  <c:v>81.455055721913254</c:v>
                </c:pt>
                <c:pt idx="305">
                  <c:v>81.455055721913254</c:v>
                </c:pt>
                <c:pt idx="306">
                  <c:v>81.455055721913254</c:v>
                </c:pt>
                <c:pt idx="307">
                  <c:v>81.455055721913254</c:v>
                </c:pt>
                <c:pt idx="308">
                  <c:v>81.455055721913254</c:v>
                </c:pt>
                <c:pt idx="309">
                  <c:v>81.455055721913254</c:v>
                </c:pt>
                <c:pt idx="310">
                  <c:v>81.455055721913254</c:v>
                </c:pt>
                <c:pt idx="311">
                  <c:v>81.455055721913254</c:v>
                </c:pt>
                <c:pt idx="312">
                  <c:v>81.455055721913254</c:v>
                </c:pt>
                <c:pt idx="313">
                  <c:v>81.455055721913254</c:v>
                </c:pt>
                <c:pt idx="314">
                  <c:v>81.455055721913254</c:v>
                </c:pt>
                <c:pt idx="315">
                  <c:v>81.455055721913254</c:v>
                </c:pt>
                <c:pt idx="316">
                  <c:v>81.455055721913254</c:v>
                </c:pt>
                <c:pt idx="317">
                  <c:v>81.455055721913254</c:v>
                </c:pt>
                <c:pt idx="318">
                  <c:v>81.455055721913254</c:v>
                </c:pt>
                <c:pt idx="319">
                  <c:v>81.455055721913254</c:v>
                </c:pt>
                <c:pt idx="320">
                  <c:v>81.455055721913254</c:v>
                </c:pt>
                <c:pt idx="321">
                  <c:v>81.455055721913254</c:v>
                </c:pt>
                <c:pt idx="322">
                  <c:v>81.455055721913254</c:v>
                </c:pt>
                <c:pt idx="323">
                  <c:v>81.455055721913254</c:v>
                </c:pt>
                <c:pt idx="324">
                  <c:v>81.455055721913254</c:v>
                </c:pt>
                <c:pt idx="325">
                  <c:v>81.455055721913254</c:v>
                </c:pt>
                <c:pt idx="326">
                  <c:v>81.455055721913254</c:v>
                </c:pt>
                <c:pt idx="327">
                  <c:v>81.455055721913254</c:v>
                </c:pt>
                <c:pt idx="328">
                  <c:v>81.455055721913254</c:v>
                </c:pt>
                <c:pt idx="329">
                  <c:v>81.455055721913254</c:v>
                </c:pt>
                <c:pt idx="330">
                  <c:v>81.455055721913254</c:v>
                </c:pt>
                <c:pt idx="331">
                  <c:v>81.455055721913254</c:v>
                </c:pt>
                <c:pt idx="332">
                  <c:v>81.455055721913254</c:v>
                </c:pt>
                <c:pt idx="333">
                  <c:v>81.455055721913254</c:v>
                </c:pt>
                <c:pt idx="334">
                  <c:v>81.455055721913254</c:v>
                </c:pt>
                <c:pt idx="335">
                  <c:v>81.455055721913254</c:v>
                </c:pt>
                <c:pt idx="336">
                  <c:v>81.455055721913254</c:v>
                </c:pt>
                <c:pt idx="337">
                  <c:v>81.455055721913254</c:v>
                </c:pt>
                <c:pt idx="338">
                  <c:v>81.455055721913254</c:v>
                </c:pt>
                <c:pt idx="339">
                  <c:v>81.455055721913254</c:v>
                </c:pt>
                <c:pt idx="340">
                  <c:v>81.455055721913254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A-4469-B13C-D32A0CB217DF}"/>
            </c:ext>
          </c:extLst>
        </c:ser>
        <c:ser>
          <c:idx val="1"/>
          <c:order val="1"/>
          <c:tx>
            <c:strRef>
              <c:f>Diagrammdaten!$H$7</c:f>
              <c:strCache>
                <c:ptCount val="1"/>
                <c:pt idx="0">
                  <c:v>zweiphasig [bar]</c:v>
                </c:pt>
              </c:strCache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Diagrammdaten!$C$48:$C$388</c:f>
              <c:strCache>
                <c:ptCount val="321"/>
                <c:pt idx="0">
                  <c:v>-60</c:v>
                </c:pt>
                <c:pt idx="40">
                  <c:v>-40</c:v>
                </c:pt>
                <c:pt idx="80">
                  <c:v>-20</c:v>
                </c:pt>
                <c:pt idx="120">
                  <c:v>0</c:v>
                </c:pt>
                <c:pt idx="160">
                  <c:v>20</c:v>
                </c:pt>
                <c:pt idx="200">
                  <c:v>40</c:v>
                </c:pt>
                <c:pt idx="240">
                  <c:v>60</c:v>
                </c:pt>
                <c:pt idx="280">
                  <c:v>80</c:v>
                </c:pt>
                <c:pt idx="320">
                  <c:v>100</c:v>
                </c:pt>
              </c:strCache>
            </c:strRef>
          </c:cat>
          <c:val>
            <c:numRef>
              <c:f>Diagrammdaten!$H$48:$H$388</c:f>
              <c:numCache>
                <c:formatCode>General</c:formatCode>
                <c:ptCount val="3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45.722748286743055</c:v>
                </c:pt>
                <c:pt idx="8">
                  <c:v>45.306270291151449</c:v>
                </c:pt>
                <c:pt idx="9">
                  <c:v>44.898235173784293</c:v>
                </c:pt>
                <c:pt idx="10">
                  <c:v>44.498393260020549</c:v>
                </c:pt>
                <c:pt idx="11">
                  <c:v>44.106503675875182</c:v>
                </c:pt>
                <c:pt idx="12">
                  <c:v>43.722333963520306</c:v>
                </c:pt>
                <c:pt idx="13">
                  <c:v>43.345659478670214</c:v>
                </c:pt>
                <c:pt idx="14">
                  <c:v>42.976262222351501</c:v>
                </c:pt>
                <c:pt idx="15">
                  <c:v>42.6139365062973</c:v>
                </c:pt>
                <c:pt idx="16">
                  <c:v>42.25847791084562</c:v>
                </c:pt>
                <c:pt idx="17">
                  <c:v>41.909690947254987</c:v>
                </c:pt>
                <c:pt idx="18">
                  <c:v>41.567386607581334</c:v>
                </c:pt>
                <c:pt idx="19">
                  <c:v>41.231141055279281</c:v>
                </c:pt>
                <c:pt idx="20">
                  <c:v>40.901500569575866</c:v>
                </c:pt>
                <c:pt idx="21">
                  <c:v>40.577570899131587</c:v>
                </c:pt>
                <c:pt idx="22">
                  <c:v>40.25942743081113</c:v>
                </c:pt>
                <c:pt idx="23">
                  <c:v>39.946909766333974</c:v>
                </c:pt>
                <c:pt idx="24">
                  <c:v>39.639942244418144</c:v>
                </c:pt>
                <c:pt idx="25">
                  <c:v>39.33813526683506</c:v>
                </c:pt>
                <c:pt idx="26">
                  <c:v>39.04158204727181</c:v>
                </c:pt>
                <c:pt idx="27">
                  <c:v>38.750061483626425</c:v>
                </c:pt>
                <c:pt idx="28">
                  <c:v>38.463436452320316</c:v>
                </c:pt>
                <c:pt idx="29">
                  <c:v>38.181573944657551</c:v>
                </c:pt>
                <c:pt idx="30">
                  <c:v>37.904344904643793</c:v>
                </c:pt>
                <c:pt idx="31">
                  <c:v>37.631624073852237</c:v>
                </c:pt>
                <c:pt idx="32">
                  <c:v>37.36328984263298</c:v>
                </c:pt>
                <c:pt idx="33">
                  <c:v>37.099224107551983</c:v>
                </c:pt>
                <c:pt idx="34">
                  <c:v>36.839312134809603</c:v>
                </c:pt>
                <c:pt idx="35">
                  <c:v>36.583442429088898</c:v>
                </c:pt>
                <c:pt idx="36">
                  <c:v>36.331506607769825</c:v>
                </c:pt>
                <c:pt idx="37">
                  <c:v>36.083399280192502</c:v>
                </c:pt>
                <c:pt idx="38">
                  <c:v>35.839017931772077</c:v>
                </c:pt>
                <c:pt idx="39">
                  <c:v>35.598262812509311</c:v>
                </c:pt>
                <c:pt idx="40">
                  <c:v>35.361036830034898</c:v>
                </c:pt>
                <c:pt idx="41">
                  <c:v>35.127245446821036</c:v>
                </c:pt>
                <c:pt idx="42">
                  <c:v>34.896796581102883</c:v>
                </c:pt>
                <c:pt idx="43">
                  <c:v>34.669600511912378</c:v>
                </c:pt>
                <c:pt idx="44">
                  <c:v>34.445569787533124</c:v>
                </c:pt>
                <c:pt idx="45">
                  <c:v>34.224619137410848</c:v>
                </c:pt>
                <c:pt idx="46">
                  <c:v>34.006665387376245</c:v>
                </c:pt>
                <c:pt idx="47">
                  <c:v>33.791627378081984</c:v>
                </c:pt>
                <c:pt idx="48">
                  <c:v>33.579425886285762</c:v>
                </c:pt>
                <c:pt idx="49">
                  <c:v>33.369983549139207</c:v>
                </c:pt>
                <c:pt idx="50">
                  <c:v>33.163224791116974</c:v>
                </c:pt>
                <c:pt idx="51">
                  <c:v>32.959075753560001</c:v>
                </c:pt>
                <c:pt idx="52">
                  <c:v>32.757464226709367</c:v>
                </c:pt>
                <c:pt idx="53">
                  <c:v>32.558319584086718</c:v>
                </c:pt>
                <c:pt idx="54">
                  <c:v>32.361572719033006</c:v>
                </c:pt>
                <c:pt idx="55">
                  <c:v>32.167155983437041</c:v>
                </c:pt>
                <c:pt idx="56">
                  <c:v>31.975072060162574</c:v>
                </c:pt>
                <c:pt idx="57">
                  <c:v>31.785049246815383</c:v>
                </c:pt>
                <c:pt idx="58">
                  <c:v>31.597230717687562</c:v>
                </c:pt>
                <c:pt idx="59">
                  <c:v>31.411485152131501</c:v>
                </c:pt>
                <c:pt idx="60">
                  <c:v>31.22775134086918</c:v>
                </c:pt>
                <c:pt idx="61">
                  <c:v>31.045969203280194</c:v>
                </c:pt>
                <c:pt idx="62">
                  <c:v>30.866079737680554</c:v>
                </c:pt>
                <c:pt idx="63">
                  <c:v>30.688024973069787</c:v>
                </c:pt>
                <c:pt idx="64">
                  <c:v>30.511747837508988</c:v>
                </c:pt>
                <c:pt idx="65">
                  <c:v>30.337191814848332</c:v>
                </c:pt>
                <c:pt idx="66">
                  <c:v>30.164302996482316</c:v>
                </c:pt>
                <c:pt idx="67">
                  <c:v>29.993024995588339</c:v>
                </c:pt>
                <c:pt idx="68">
                  <c:v>29.823308954804144</c:v>
                </c:pt>
                <c:pt idx="69">
                  <c:v>29.65509689830397</c:v>
                </c:pt>
                <c:pt idx="70">
                  <c:v>29.488338763241014</c:v>
                </c:pt>
                <c:pt idx="71">
                  <c:v>29.322983206880078</c:v>
                </c:pt>
                <c:pt idx="72">
                  <c:v>29.158979519316084</c:v>
                </c:pt>
                <c:pt idx="73">
                  <c:v>28.996277459847995</c:v>
                </c:pt>
                <c:pt idx="74">
                  <c:v>28.834826720754894</c:v>
                </c:pt>
                <c:pt idx="75">
                  <c:v>28.674580252176824</c:v>
                </c:pt>
                <c:pt idx="76">
                  <c:v>28.515488540561048</c:v>
                </c:pt>
                <c:pt idx="77">
                  <c:v>28.357504110865033</c:v>
                </c:pt>
                <c:pt idx="78">
                  <c:v>28.20057764630419</c:v>
                </c:pt>
                <c:pt idx="79">
                  <c:v>28.044662753537356</c:v>
                </c:pt>
                <c:pt idx="80">
                  <c:v>27.889712345938602</c:v>
                </c:pt>
                <c:pt idx="81">
                  <c:v>27.7356797829489</c:v>
                </c:pt>
                <c:pt idx="82">
                  <c:v>27.582518633945266</c:v>
                </c:pt>
                <c:pt idx="83">
                  <c:v>27.430182685894895</c:v>
                </c:pt>
                <c:pt idx="84">
                  <c:v>27.278625924175163</c:v>
                </c:pt>
                <c:pt idx="85">
                  <c:v>27.127802485424557</c:v>
                </c:pt>
                <c:pt idx="86">
                  <c:v>26.977666626624814</c:v>
                </c:pt>
                <c:pt idx="87">
                  <c:v>26.828172689814085</c:v>
                </c:pt>
                <c:pt idx="88">
                  <c:v>26.679275067686859</c:v>
                </c:pt>
                <c:pt idx="89">
                  <c:v>26.530928169258171</c:v>
                </c:pt>
                <c:pt idx="90">
                  <c:v>26.383086385531215</c:v>
                </c:pt>
                <c:pt idx="91">
                  <c:v>26.235724284797229</c:v>
                </c:pt>
                <c:pt idx="92">
                  <c:v>26.088735429977124</c:v>
                </c:pt>
                <c:pt idx="93">
                  <c:v>25.942134640404841</c:v>
                </c:pt>
                <c:pt idx="94">
                  <c:v>25.795855660508817</c:v>
                </c:pt>
                <c:pt idx="95">
                  <c:v>25.649852272701452</c:v>
                </c:pt>
                <c:pt idx="96">
                  <c:v>25.504078031716734</c:v>
                </c:pt>
                <c:pt idx="97">
                  <c:v>25.358486228024951</c:v>
                </c:pt>
                <c:pt idx="98">
                  <c:v>25.213029850092948</c:v>
                </c:pt>
                <c:pt idx="99">
                  <c:v>25.067661545601041</c:v>
                </c:pt>
                <c:pt idx="100">
                  <c:v>24.922333581097384</c:v>
                </c:pt>
                <c:pt idx="101">
                  <c:v>24.776997799896648</c:v>
                </c:pt>
                <c:pt idx="102">
                  <c:v>24.631336578838134</c:v>
                </c:pt>
                <c:pt idx="103">
                  <c:v>24.484057818450818</c:v>
                </c:pt>
                <c:pt idx="104">
                  <c:v>24.339976664075426</c:v>
                </c:pt>
                <c:pt idx="105">
                  <c:v>24.192509398302992</c:v>
                </c:pt>
                <c:pt idx="106">
                  <c:v>24.048480736166471</c:v>
                </c:pt>
                <c:pt idx="107">
                  <c:v>23.902057137392948</c:v>
                </c:pt>
                <c:pt idx="108">
                  <c:v>23.755272683840936</c:v>
                </c:pt>
                <c:pt idx="109">
                  <c:v>23.608073967583614</c:v>
                </c:pt>
                <c:pt idx="110">
                  <c:v>23.460406625214745</c:v>
                </c:pt>
                <c:pt idx="111">
                  <c:v>23.312215250677021</c:v>
                </c:pt>
                <c:pt idx="112">
                  <c:v>23.163443299727874</c:v>
                </c:pt>
                <c:pt idx="113">
                  <c:v>23.014032985302606</c:v>
                </c:pt>
                <c:pt idx="114">
                  <c:v>22.86392516272636</c:v>
                </c:pt>
                <c:pt idx="115">
                  <c:v>22.713059204025228</c:v>
                </c:pt>
                <c:pt idx="116">
                  <c:v>22.561372860469525</c:v>
                </c:pt>
                <c:pt idx="117">
                  <c:v>22.408802112505327</c:v>
                </c:pt>
                <c:pt idx="118">
                  <c:v>22.255281006314725</c:v>
                </c:pt>
                <c:pt idx="119">
                  <c:v>22.100741476466304</c:v>
                </c:pt>
                <c:pt idx="120">
                  <c:v>21.945113153903144</c:v>
                </c:pt>
                <c:pt idx="121">
                  <c:v>21.788323159090801</c:v>
                </c:pt>
                <c:pt idx="122">
                  <c:v>21.630295879975947</c:v>
                </c:pt>
                <c:pt idx="123">
                  <c:v>21.470952734567852</c:v>
                </c:pt>
                <c:pt idx="124">
                  <c:v>21.310211918655718</c:v>
                </c:pt>
                <c:pt idx="125">
                  <c:v>21.147988138551462</c:v>
                </c:pt>
                <c:pt idx="126">
                  <c:v>20.984192329795583</c:v>
                </c:pt>
                <c:pt idx="127">
                  <c:v>20.818731362358008</c:v>
                </c:pt>
                <c:pt idx="128">
                  <c:v>20.651811656141327</c:v>
                </c:pt>
                <c:pt idx="129">
                  <c:v>20.482419247103287</c:v>
                </c:pt>
                <c:pt idx="130">
                  <c:v>20.311161067758604</c:v>
                </c:pt>
                <c:pt idx="131">
                  <c:v>20.138213473714643</c:v>
                </c:pt>
                <c:pt idx="132">
                  <c:v>19.962865316287264</c:v>
                </c:pt>
                <c:pt idx="133">
                  <c:v>19.785189851884226</c:v>
                </c:pt>
                <c:pt idx="134">
                  <c:v>19.605056274126355</c:v>
                </c:pt>
                <c:pt idx="135">
                  <c:v>19.422326947044688</c:v>
                </c:pt>
                <c:pt idx="136">
                  <c:v>19.236856999637254</c:v>
                </c:pt>
                <c:pt idx="137">
                  <c:v>19.048493893594831</c:v>
                </c:pt>
                <c:pt idx="138">
                  <c:v>18.857076953167322</c:v>
                </c:pt>
                <c:pt idx="139">
                  <c:v>18.662436841669852</c:v>
                </c:pt>
                <c:pt idx="140">
                  <c:v>18.464394963440107</c:v>
                </c:pt>
                <c:pt idx="141">
                  <c:v>18.262824890968815</c:v>
                </c:pt>
                <c:pt idx="142">
                  <c:v>18.057340887726184</c:v>
                </c:pt>
                <c:pt idx="143">
                  <c:v>17.847918159776697</c:v>
                </c:pt>
                <c:pt idx="144">
                  <c:v>17.634270313168798</c:v>
                </c:pt>
                <c:pt idx="145">
                  <c:v>17.416158411818969</c:v>
                </c:pt>
                <c:pt idx="146">
                  <c:v>17.193326871870781</c:v>
                </c:pt>
                <c:pt idx="147">
                  <c:v>16.965496087201018</c:v>
                </c:pt>
                <c:pt idx="148">
                  <c:v>16.732383826169155</c:v>
                </c:pt>
                <c:pt idx="149">
                  <c:v>16.493652415254395</c:v>
                </c:pt>
                <c:pt idx="150">
                  <c:v>16.248952980994012</c:v>
                </c:pt>
                <c:pt idx="151">
                  <c:v>15.997895168462172</c:v>
                </c:pt>
                <c:pt idx="152">
                  <c:v>15.740045012259728</c:v>
                </c:pt>
                <c:pt idx="153">
                  <c:v>15.474916485412827</c:v>
                </c:pt>
                <c:pt idx="154">
                  <c:v>15.202028549938014</c:v>
                </c:pt>
                <c:pt idx="155">
                  <c:v>14.921069231022145</c:v>
                </c:pt>
                <c:pt idx="156">
                  <c:v>14.62589851865242</c:v>
                </c:pt>
                <c:pt idx="157">
                  <c:v>14.291299425644738</c:v>
                </c:pt>
                <c:pt idx="158">
                  <c:v>13.956700332637055</c:v>
                </c:pt>
                <c:pt idx="159">
                  <c:v>13.622101239629387</c:v>
                </c:pt>
                <c:pt idx="160">
                  <c:v>13.280763404159487</c:v>
                </c:pt>
                <c:pt idx="161">
                  <c:v>12.928686063309783</c:v>
                </c:pt>
                <c:pt idx="162">
                  <c:v>12.576608722460065</c:v>
                </c:pt>
                <c:pt idx="163">
                  <c:v>12.206431950392968</c:v>
                </c:pt>
                <c:pt idx="164">
                  <c:v>11.777863141534795</c:v>
                </c:pt>
                <c:pt idx="165">
                  <c:v>11.349294332676607</c:v>
                </c:pt>
                <c:pt idx="166">
                  <c:v>10.920725523818433</c:v>
                </c:pt>
                <c:pt idx="167">
                  <c:v>10.449142099837843</c:v>
                </c:pt>
                <c:pt idx="168">
                  <c:v>9.8918304676368791</c:v>
                </c:pt>
                <c:pt idx="169">
                  <c:v>9.3330379831599544</c:v>
                </c:pt>
                <c:pt idx="170">
                  <c:v>8.7299662197441847</c:v>
                </c:pt>
                <c:pt idx="171">
                  <c:v>8.0059258842833714</c:v>
                </c:pt>
                <c:pt idx="172">
                  <c:v>7.2811354116850566</c:v>
                </c:pt>
                <c:pt idx="173">
                  <c:v>6.3423787961515785</c:v>
                </c:pt>
                <c:pt idx="174">
                  <c:v>5.334659025849902</c:v>
                </c:pt>
                <c:pt idx="175">
                  <c:v>3.8451784074934778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A-4469-B13C-D32A0CB217DF}"/>
            </c:ext>
          </c:extLst>
        </c:ser>
        <c:ser>
          <c:idx val="2"/>
          <c:order val="2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Diagrammdaten!$C$48:$C$388</c:f>
              <c:strCache>
                <c:ptCount val="321"/>
                <c:pt idx="0">
                  <c:v>-60</c:v>
                </c:pt>
                <c:pt idx="40">
                  <c:v>-40</c:v>
                </c:pt>
                <c:pt idx="80">
                  <c:v>-20</c:v>
                </c:pt>
                <c:pt idx="120">
                  <c:v>0</c:v>
                </c:pt>
                <c:pt idx="160">
                  <c:v>20</c:v>
                </c:pt>
                <c:pt idx="200">
                  <c:v>40</c:v>
                </c:pt>
                <c:pt idx="240">
                  <c:v>60</c:v>
                </c:pt>
                <c:pt idx="280">
                  <c:v>80</c:v>
                </c:pt>
                <c:pt idx="320">
                  <c:v>100</c:v>
                </c:pt>
              </c:strCache>
            </c:strRef>
          </c:cat>
          <c:val>
            <c:numRef>
              <c:f>Diagrammdaten!$E$48:$E$388</c:f>
              <c:numCache>
                <c:formatCode>General</c:formatCode>
                <c:ptCount val="3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-43.321938775399936</c:v>
                </c:pt>
                <c:pt idx="8">
                  <c:v>-19.573657769234739</c:v>
                </c:pt>
                <c:pt idx="9">
                  <c:v>4.2776478480946309</c:v>
                </c:pt>
                <c:pt idx="10">
                  <c:v>28.232206246358245</c:v>
                </c:pt>
                <c:pt idx="11">
                  <c:v>52.290236706728436</c:v>
                </c:pt>
                <c:pt idx="12">
                  <c:v>76.451950006248808</c:v>
                </c:pt>
                <c:pt idx="13">
                  <c:v>100.71754902042227</c:v>
                </c:pt>
                <c:pt idx="14">
                  <c:v>125.08722989143178</c:v>
                </c:pt>
                <c:pt idx="15">
                  <c:v>149.56117636254928</c:v>
                </c:pt>
                <c:pt idx="16">
                  <c:v>174.13957082020011</c:v>
                </c:pt>
                <c:pt idx="17">
                  <c:v>198.82258663142241</c:v>
                </c:pt>
                <c:pt idx="18">
                  <c:v>201.49839048002895</c:v>
                </c:pt>
                <c:pt idx="19">
                  <c:v>201.69061626761874</c:v>
                </c:pt>
                <c:pt idx="20">
                  <c:v>201.87398971257522</c:v>
                </c:pt>
                <c:pt idx="21">
                  <c:v>202.04938258815807</c:v>
                </c:pt>
                <c:pt idx="22">
                  <c:v>202.21669693946419</c:v>
                </c:pt>
                <c:pt idx="23">
                  <c:v>202.37607050637166</c:v>
                </c:pt>
                <c:pt idx="24">
                  <c:v>202.52763589515823</c:v>
                </c:pt>
                <c:pt idx="25">
                  <c:v>202.67152078069856</c:v>
                </c:pt>
                <c:pt idx="26">
                  <c:v>202.80784809955981</c:v>
                </c:pt>
                <c:pt idx="27">
                  <c:v>202.93673623452793</c:v>
                </c:pt>
                <c:pt idx="28">
                  <c:v>203.05829919095555</c:v>
                </c:pt>
                <c:pt idx="29">
                  <c:v>203.17264676543894</c:v>
                </c:pt>
                <c:pt idx="30">
                  <c:v>203.27988470717835</c:v>
                </c:pt>
                <c:pt idx="31">
                  <c:v>203.38011487239996</c:v>
                </c:pt>
                <c:pt idx="32">
                  <c:v>203.4734353722308</c:v>
                </c:pt>
                <c:pt idx="33">
                  <c:v>203.55994071433321</c:v>
                </c:pt>
                <c:pt idx="34">
                  <c:v>203.63972193860764</c:v>
                </c:pt>
                <c:pt idx="35">
                  <c:v>203.71286674726446</c:v>
                </c:pt>
                <c:pt idx="36">
                  <c:v>203.77945962955687</c:v>
                </c:pt>
                <c:pt idx="37">
                  <c:v>203.83958198140675</c:v>
                </c:pt>
                <c:pt idx="38">
                  <c:v>203.89331222017265</c:v>
                </c:pt>
                <c:pt idx="39">
                  <c:v>203.94072589478492</c:v>
                </c:pt>
                <c:pt idx="40">
                  <c:v>203.98189579147686</c:v>
                </c:pt>
                <c:pt idx="41">
                  <c:v>204.01689203529736</c:v>
                </c:pt>
                <c:pt idx="42">
                  <c:v>204.04578218759835</c:v>
                </c:pt>
                <c:pt idx="43">
                  <c:v>204.068631339663</c:v>
                </c:pt>
                <c:pt idx="44">
                  <c:v>204.08550220266577</c:v>
                </c:pt>
                <c:pt idx="45">
                  <c:v>204.0964551941201</c:v>
                </c:pt>
                <c:pt idx="46">
                  <c:v>204.10154852094416</c:v>
                </c:pt>
                <c:pt idx="47">
                  <c:v>204.10083825931736</c:v>
                </c:pt>
                <c:pt idx="48">
                  <c:v>204.09437843144002</c:v>
                </c:pt>
                <c:pt idx="49">
                  <c:v>204.08222107936075</c:v>
                </c:pt>
                <c:pt idx="50">
                  <c:v>204.06441633599323</c:v>
                </c:pt>
                <c:pt idx="51">
                  <c:v>204.04101249339703</c:v>
                </c:pt>
                <c:pt idx="52">
                  <c:v>204.0120560685381</c:v>
                </c:pt>
                <c:pt idx="53">
                  <c:v>203.97759186657498</c:v>
                </c:pt>
                <c:pt idx="54">
                  <c:v>203.93766304177774</c:v>
                </c:pt>
                <c:pt idx="55">
                  <c:v>203.8923111562753</c:v>
                </c:pt>
                <c:pt idx="56">
                  <c:v>203.84157623665229</c:v>
                </c:pt>
                <c:pt idx="57">
                  <c:v>203.78549682852511</c:v>
                </c:pt>
                <c:pt idx="58">
                  <c:v>203.7241100492744</c:v>
                </c:pt>
                <c:pt idx="59">
                  <c:v>203.65745163889017</c:v>
                </c:pt>
                <c:pt idx="60">
                  <c:v>203.5855560091868</c:v>
                </c:pt>
                <c:pt idx="61">
                  <c:v>203.50845629137879</c:v>
                </c:pt>
                <c:pt idx="62">
                  <c:v>203.4261843821331</c:v>
                </c:pt>
                <c:pt idx="63">
                  <c:v>203.33877098820264</c:v>
                </c:pt>
                <c:pt idx="64">
                  <c:v>203.24624575395379</c:v>
                </c:pt>
                <c:pt idx="65">
                  <c:v>203.14863760064185</c:v>
                </c:pt>
                <c:pt idx="66">
                  <c:v>203.04597267031991</c:v>
                </c:pt>
                <c:pt idx="67">
                  <c:v>202.93827940711759</c:v>
                </c:pt>
                <c:pt idx="68">
                  <c:v>202.82557854484836</c:v>
                </c:pt>
                <c:pt idx="69">
                  <c:v>202.70789975007659</c:v>
                </c:pt>
                <c:pt idx="70">
                  <c:v>202.58526458550972</c:v>
                </c:pt>
                <c:pt idx="71">
                  <c:v>202.45769569754702</c:v>
                </c:pt>
                <c:pt idx="72">
                  <c:v>202.32521489797176</c:v>
                </c:pt>
                <c:pt idx="73">
                  <c:v>202.18784332174496</c:v>
                </c:pt>
                <c:pt idx="74">
                  <c:v>202.0456019571549</c:v>
                </c:pt>
                <c:pt idx="75">
                  <c:v>201.89850831457809</c:v>
                </c:pt>
                <c:pt idx="76">
                  <c:v>201.74658214138174</c:v>
                </c:pt>
                <c:pt idx="77">
                  <c:v>201.58984091285851</c:v>
                </c:pt>
                <c:pt idx="78">
                  <c:v>201.42830370517791</c:v>
                </c:pt>
                <c:pt idx="79">
                  <c:v>201.26198642266996</c:v>
                </c:pt>
                <c:pt idx="80">
                  <c:v>201.09090540672429</c:v>
                </c:pt>
                <c:pt idx="81">
                  <c:v>200.91507628805502</c:v>
                </c:pt>
                <c:pt idx="82">
                  <c:v>200.73451421436408</c:v>
                </c:pt>
                <c:pt idx="83">
                  <c:v>200.54923383360841</c:v>
                </c:pt>
                <c:pt idx="84">
                  <c:v>200.35924930374262</c:v>
                </c:pt>
                <c:pt idx="85">
                  <c:v>200.16457433004936</c:v>
                </c:pt>
                <c:pt idx="86">
                  <c:v>199.9652221857022</c:v>
                </c:pt>
                <c:pt idx="87">
                  <c:v>199.76120573631954</c:v>
                </c:pt>
                <c:pt idx="88">
                  <c:v>199.55253746297512</c:v>
                </c:pt>
                <c:pt idx="89">
                  <c:v>199.33922948474554</c:v>
                </c:pt>
                <c:pt idx="90">
                  <c:v>199.12129358059838</c:v>
                </c:pt>
                <c:pt idx="91">
                  <c:v>198.89874121071978</c:v>
                </c:pt>
                <c:pt idx="92">
                  <c:v>198.67158353730571</c:v>
                </c:pt>
                <c:pt idx="93">
                  <c:v>198.43983144484085</c:v>
                </c:pt>
                <c:pt idx="94">
                  <c:v>198.20349555995858</c:v>
                </c:pt>
                <c:pt idx="95">
                  <c:v>197.96258627093769</c:v>
                </c:pt>
                <c:pt idx="96">
                  <c:v>197.71711374706209</c:v>
                </c:pt>
                <c:pt idx="97">
                  <c:v>197.46708795775592</c:v>
                </c:pt>
                <c:pt idx="98">
                  <c:v>197.21251869183223</c:v>
                </c:pt>
                <c:pt idx="99">
                  <c:v>196.95341557692242</c:v>
                </c:pt>
                <c:pt idx="100">
                  <c:v>196.68978809933753</c:v>
                </c:pt>
                <c:pt idx="101">
                  <c:v>196.42164562456736</c:v>
                </c:pt>
                <c:pt idx="102">
                  <c:v>196.14899741868678</c:v>
                </c:pt>
                <c:pt idx="103">
                  <c:v>195.87185267098772</c:v>
                </c:pt>
                <c:pt idx="104">
                  <c:v>195.59042473978019</c:v>
                </c:pt>
                <c:pt idx="105">
                  <c:v>195.30411007077186</c:v>
                </c:pt>
                <c:pt idx="106">
                  <c:v>195.01353044112622</c:v>
                </c:pt>
                <c:pt idx="107">
                  <c:v>194.71849077537172</c:v>
                </c:pt>
                <c:pt idx="108">
                  <c:v>194.4190002879202</c:v>
                </c:pt>
                <c:pt idx="109">
                  <c:v>194.11506830024717</c:v>
                </c:pt>
                <c:pt idx="110">
                  <c:v>193.80670428406319</c:v>
                </c:pt>
                <c:pt idx="111">
                  <c:v>193.49391790963293</c:v>
                </c:pt>
                <c:pt idx="112">
                  <c:v>193.17671909986115</c:v>
                </c:pt>
                <c:pt idx="113">
                  <c:v>192.85511809070925</c:v>
                </c:pt>
                <c:pt idx="114">
                  <c:v>192.52912549865241</c:v>
                </c:pt>
                <c:pt idx="115">
                  <c:v>192.19875239574151</c:v>
                </c:pt>
                <c:pt idx="116">
                  <c:v>191.86401039275356</c:v>
                </c:pt>
                <c:pt idx="117">
                  <c:v>191.52491173106893</c:v>
                </c:pt>
                <c:pt idx="118">
                  <c:v>191.18146938348454</c:v>
                </c:pt>
                <c:pt idx="119">
                  <c:v>190.83369716431511</c:v>
                </c:pt>
                <c:pt idx="120">
                  <c:v>190.48160984888668</c:v>
                </c:pt>
                <c:pt idx="121">
                  <c:v>190.12522330227574</c:v>
                </c:pt>
                <c:pt idx="122">
                  <c:v>189.76455461698157</c:v>
                </c:pt>
                <c:pt idx="123">
                  <c:v>189.39962225913962</c:v>
                </c:pt>
                <c:pt idx="124">
                  <c:v>189.03044622218147</c:v>
                </c:pt>
                <c:pt idx="125">
                  <c:v>188.6570481871035</c:v>
                </c:pt>
                <c:pt idx="126">
                  <c:v>188.27945168778555</c:v>
                </c:pt>
                <c:pt idx="127">
                  <c:v>187.89768227974054</c:v>
                </c:pt>
                <c:pt idx="128">
                  <c:v>187.51176771041108</c:v>
                </c:pt>
                <c:pt idx="129">
                  <c:v>187.1217380888113</c:v>
                </c:pt>
                <c:pt idx="130">
                  <c:v>186.72782367161105</c:v>
                </c:pt>
                <c:pt idx="131">
                  <c:v>186.3294669286951</c:v>
                </c:pt>
                <c:pt idx="132">
                  <c:v>185.92729889013117</c:v>
                </c:pt>
                <c:pt idx="133">
                  <c:v>185.52116309970603</c:v>
                </c:pt>
                <c:pt idx="134">
                  <c:v>185.11110384728153</c:v>
                </c:pt>
                <c:pt idx="135">
                  <c:v>184.69716867616555</c:v>
                </c:pt>
                <c:pt idx="136">
                  <c:v>184.27940850194264</c:v>
                </c:pt>
                <c:pt idx="137">
                  <c:v>183.85787772731845</c:v>
                </c:pt>
                <c:pt idx="138">
                  <c:v>183.4326343597086</c:v>
                </c:pt>
                <c:pt idx="139">
                  <c:v>183.00374014194477</c:v>
                </c:pt>
                <c:pt idx="140">
                  <c:v>182.57126071127004</c:v>
                </c:pt>
                <c:pt idx="141">
                  <c:v>182.13526580728518</c:v>
                </c:pt>
                <c:pt idx="142">
                  <c:v>181.69582955659251</c:v>
                </c:pt>
                <c:pt idx="143">
                  <c:v>181.25303087001697</c:v>
                </c:pt>
                <c:pt idx="144">
                  <c:v>180.80695399747086</c:v>
                </c:pt>
                <c:pt idx="145">
                  <c:v>180.35768929609577</c:v>
                </c:pt>
                <c:pt idx="146">
                  <c:v>179.90533427798783</c:v>
                </c:pt>
                <c:pt idx="147">
                  <c:v>179.4499999134961</c:v>
                </c:pt>
                <c:pt idx="148">
                  <c:v>178.99178799473742</c:v>
                </c:pt>
                <c:pt idx="149">
                  <c:v>178.53084250958801</c:v>
                </c:pt>
                <c:pt idx="150">
                  <c:v>178.06730371231544</c:v>
                </c:pt>
                <c:pt idx="151">
                  <c:v>177.60133641969122</c:v>
                </c:pt>
                <c:pt idx="152">
                  <c:v>177.13312978986386</c:v>
                </c:pt>
                <c:pt idx="153">
                  <c:v>176.66290297400741</c:v>
                </c:pt>
                <c:pt idx="154">
                  <c:v>176.19084470872423</c:v>
                </c:pt>
                <c:pt idx="155">
                  <c:v>175.71694518726434</c:v>
                </c:pt>
                <c:pt idx="156">
                  <c:v>175.24290369765919</c:v>
                </c:pt>
                <c:pt idx="157">
                  <c:v>174.76778031287827</c:v>
                </c:pt>
                <c:pt idx="158">
                  <c:v>174.29265692809736</c:v>
                </c:pt>
                <c:pt idx="159">
                  <c:v>173.81753354331642</c:v>
                </c:pt>
                <c:pt idx="160">
                  <c:v>173.34914890099773</c:v>
                </c:pt>
                <c:pt idx="161">
                  <c:v>172.89150376405883</c:v>
                </c:pt>
                <c:pt idx="162">
                  <c:v>172.43385862711995</c:v>
                </c:pt>
                <c:pt idx="163">
                  <c:v>171.97621349018107</c:v>
                </c:pt>
                <c:pt idx="164">
                  <c:v>171.51856835324219</c:v>
                </c:pt>
                <c:pt idx="165">
                  <c:v>171.06092321630331</c:v>
                </c:pt>
                <c:pt idx="166">
                  <c:v>170.6032780793644</c:v>
                </c:pt>
                <c:pt idx="167">
                  <c:v>170.14563294242549</c:v>
                </c:pt>
                <c:pt idx="168">
                  <c:v>169.74436943933841</c:v>
                </c:pt>
                <c:pt idx="169">
                  <c:v>169.34458678852729</c:v>
                </c:pt>
                <c:pt idx="170">
                  <c:v>168.94480413771618</c:v>
                </c:pt>
                <c:pt idx="171">
                  <c:v>168.61391573549059</c:v>
                </c:pt>
                <c:pt idx="172">
                  <c:v>168.28377747040247</c:v>
                </c:pt>
                <c:pt idx="173">
                  <c:v>168.03946643703171</c:v>
                </c:pt>
                <c:pt idx="174">
                  <c:v>167.84741809386375</c:v>
                </c:pt>
                <c:pt idx="175">
                  <c:v>167.90040675865129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DA-4469-B13C-D32A0CB217DF}"/>
            </c:ext>
          </c:extLst>
        </c:ser>
        <c:ser>
          <c:idx val="3"/>
          <c:order val="3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Diagrammdaten!$C$48:$C$388</c:f>
              <c:strCache>
                <c:ptCount val="321"/>
                <c:pt idx="0">
                  <c:v>-60</c:v>
                </c:pt>
                <c:pt idx="40">
                  <c:v>-40</c:v>
                </c:pt>
                <c:pt idx="80">
                  <c:v>-20</c:v>
                </c:pt>
                <c:pt idx="120">
                  <c:v>0</c:v>
                </c:pt>
                <c:pt idx="160">
                  <c:v>20</c:v>
                </c:pt>
                <c:pt idx="200">
                  <c:v>40</c:v>
                </c:pt>
                <c:pt idx="240">
                  <c:v>60</c:v>
                </c:pt>
                <c:pt idx="280">
                  <c:v>80</c:v>
                </c:pt>
                <c:pt idx="320">
                  <c:v>100</c:v>
                </c:pt>
              </c:strCache>
            </c:strRef>
          </c:cat>
          <c:val>
            <c:numRef>
              <c:f>Diagrammdaten!$F$48:$F$388</c:f>
              <c:numCache>
                <c:formatCode>General</c:formatCode>
                <c:ptCount val="3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168.54494427808675</c:v>
                </c:pt>
                <c:pt idx="177">
                  <c:v>168.54494427808675</c:v>
                </c:pt>
                <c:pt idx="178">
                  <c:v>168.54494427808675</c:v>
                </c:pt>
                <c:pt idx="179">
                  <c:v>168.54494427808675</c:v>
                </c:pt>
                <c:pt idx="180">
                  <c:v>168.54494427808675</c:v>
                </c:pt>
                <c:pt idx="181">
                  <c:v>168.54494427808675</c:v>
                </c:pt>
                <c:pt idx="182">
                  <c:v>168.54494427808675</c:v>
                </c:pt>
                <c:pt idx="183">
                  <c:v>168.54494427808675</c:v>
                </c:pt>
                <c:pt idx="184">
                  <c:v>168.54494427808675</c:v>
                </c:pt>
                <c:pt idx="185">
                  <c:v>168.54494427808675</c:v>
                </c:pt>
                <c:pt idx="186">
                  <c:v>168.54494427808675</c:v>
                </c:pt>
                <c:pt idx="187">
                  <c:v>168.54494427808675</c:v>
                </c:pt>
                <c:pt idx="188">
                  <c:v>168.54494427808675</c:v>
                </c:pt>
                <c:pt idx="189">
                  <c:v>168.54494427808675</c:v>
                </c:pt>
                <c:pt idx="190">
                  <c:v>168.54494427808675</c:v>
                </c:pt>
                <c:pt idx="191">
                  <c:v>168.54494427808675</c:v>
                </c:pt>
                <c:pt idx="192">
                  <c:v>168.54494427808675</c:v>
                </c:pt>
                <c:pt idx="193">
                  <c:v>168.54494427808675</c:v>
                </c:pt>
                <c:pt idx="194">
                  <c:v>168.54494427808675</c:v>
                </c:pt>
                <c:pt idx="195">
                  <c:v>168.54494427808675</c:v>
                </c:pt>
                <c:pt idx="196">
                  <c:v>168.54494427808675</c:v>
                </c:pt>
                <c:pt idx="197">
                  <c:v>168.54494427808675</c:v>
                </c:pt>
                <c:pt idx="198">
                  <c:v>168.54494427808675</c:v>
                </c:pt>
                <c:pt idx="199">
                  <c:v>168.54494427808675</c:v>
                </c:pt>
                <c:pt idx="200">
                  <c:v>168.54494427808675</c:v>
                </c:pt>
                <c:pt idx="201">
                  <c:v>168.54494427808675</c:v>
                </c:pt>
                <c:pt idx="202">
                  <c:v>168.54494427808675</c:v>
                </c:pt>
                <c:pt idx="203">
                  <c:v>168.54494427808675</c:v>
                </c:pt>
                <c:pt idx="204">
                  <c:v>168.54494427808675</c:v>
                </c:pt>
                <c:pt idx="205">
                  <c:v>168.54494427808675</c:v>
                </c:pt>
                <c:pt idx="206">
                  <c:v>168.54494427808675</c:v>
                </c:pt>
                <c:pt idx="207">
                  <c:v>168.54494427808675</c:v>
                </c:pt>
                <c:pt idx="208">
                  <c:v>168.54494427808675</c:v>
                </c:pt>
                <c:pt idx="209">
                  <c:v>168.54494427808675</c:v>
                </c:pt>
                <c:pt idx="210">
                  <c:v>168.54494427808675</c:v>
                </c:pt>
                <c:pt idx="211">
                  <c:v>168.54494427808675</c:v>
                </c:pt>
                <c:pt idx="212">
                  <c:v>168.54494427808675</c:v>
                </c:pt>
                <c:pt idx="213">
                  <c:v>168.54494427808675</c:v>
                </c:pt>
                <c:pt idx="214">
                  <c:v>168.54494427808675</c:v>
                </c:pt>
                <c:pt idx="215">
                  <c:v>168.54494427808675</c:v>
                </c:pt>
                <c:pt idx="216">
                  <c:v>168.54494427808675</c:v>
                </c:pt>
                <c:pt idx="217">
                  <c:v>168.54494427808675</c:v>
                </c:pt>
                <c:pt idx="218">
                  <c:v>168.54494427808675</c:v>
                </c:pt>
                <c:pt idx="219">
                  <c:v>168.54494427808675</c:v>
                </c:pt>
                <c:pt idx="220">
                  <c:v>168.54494427808675</c:v>
                </c:pt>
                <c:pt idx="221">
                  <c:v>168.54494427808675</c:v>
                </c:pt>
                <c:pt idx="222">
                  <c:v>168.54494427808675</c:v>
                </c:pt>
                <c:pt idx="223">
                  <c:v>168.54494427808675</c:v>
                </c:pt>
                <c:pt idx="224">
                  <c:v>168.54494427808675</c:v>
                </c:pt>
                <c:pt idx="225">
                  <c:v>168.54494427808675</c:v>
                </c:pt>
                <c:pt idx="226">
                  <c:v>168.54494427808675</c:v>
                </c:pt>
                <c:pt idx="227">
                  <c:v>168.54494427808675</c:v>
                </c:pt>
                <c:pt idx="228">
                  <c:v>168.54494427808675</c:v>
                </c:pt>
                <c:pt idx="229">
                  <c:v>168.54494427808675</c:v>
                </c:pt>
                <c:pt idx="230">
                  <c:v>168.54494427808675</c:v>
                </c:pt>
                <c:pt idx="231">
                  <c:v>168.54494427808675</c:v>
                </c:pt>
                <c:pt idx="232">
                  <c:v>168.54494427808675</c:v>
                </c:pt>
                <c:pt idx="233">
                  <c:v>168.54494427808675</c:v>
                </c:pt>
                <c:pt idx="234">
                  <c:v>168.54494427808675</c:v>
                </c:pt>
                <c:pt idx="235">
                  <c:v>168.54494427808675</c:v>
                </c:pt>
                <c:pt idx="236">
                  <c:v>168.54494427808675</c:v>
                </c:pt>
                <c:pt idx="237">
                  <c:v>168.54494427808675</c:v>
                </c:pt>
                <c:pt idx="238">
                  <c:v>168.54494427808675</c:v>
                </c:pt>
                <c:pt idx="239">
                  <c:v>168.54494427808675</c:v>
                </c:pt>
                <c:pt idx="240">
                  <c:v>168.54494427808675</c:v>
                </c:pt>
                <c:pt idx="241">
                  <c:v>168.54494427808675</c:v>
                </c:pt>
                <c:pt idx="242">
                  <c:v>168.54494427808675</c:v>
                </c:pt>
                <c:pt idx="243">
                  <c:v>168.54494427808675</c:v>
                </c:pt>
                <c:pt idx="244">
                  <c:v>168.54494427808675</c:v>
                </c:pt>
                <c:pt idx="245">
                  <c:v>168.54494427808675</c:v>
                </c:pt>
                <c:pt idx="246">
                  <c:v>168.54494427808675</c:v>
                </c:pt>
                <c:pt idx="247">
                  <c:v>168.54494427808675</c:v>
                </c:pt>
                <c:pt idx="248">
                  <c:v>168.54494427808675</c:v>
                </c:pt>
                <c:pt idx="249">
                  <c:v>168.54494427808675</c:v>
                </c:pt>
                <c:pt idx="250">
                  <c:v>168.54494427808675</c:v>
                </c:pt>
                <c:pt idx="251">
                  <c:v>168.54494427808675</c:v>
                </c:pt>
                <c:pt idx="252">
                  <c:v>168.54494427808675</c:v>
                </c:pt>
                <c:pt idx="253">
                  <c:v>168.54494427808675</c:v>
                </c:pt>
                <c:pt idx="254">
                  <c:v>168.54494427808675</c:v>
                </c:pt>
                <c:pt idx="255">
                  <c:v>168.54494427808675</c:v>
                </c:pt>
                <c:pt idx="256">
                  <c:v>168.54494427808675</c:v>
                </c:pt>
                <c:pt idx="257">
                  <c:v>168.54494427808675</c:v>
                </c:pt>
                <c:pt idx="258">
                  <c:v>168.54494427808675</c:v>
                </c:pt>
                <c:pt idx="259">
                  <c:v>168.54494427808675</c:v>
                </c:pt>
                <c:pt idx="260">
                  <c:v>168.54494427808675</c:v>
                </c:pt>
                <c:pt idx="261">
                  <c:v>168.54494427808675</c:v>
                </c:pt>
                <c:pt idx="262">
                  <c:v>168.54494427808675</c:v>
                </c:pt>
                <c:pt idx="263">
                  <c:v>168.54494427808675</c:v>
                </c:pt>
                <c:pt idx="264">
                  <c:v>168.54494427808675</c:v>
                </c:pt>
                <c:pt idx="265">
                  <c:v>168.54494427808675</c:v>
                </c:pt>
                <c:pt idx="266">
                  <c:v>168.54494427808675</c:v>
                </c:pt>
                <c:pt idx="267">
                  <c:v>168.54494427808675</c:v>
                </c:pt>
                <c:pt idx="268">
                  <c:v>168.54494427808675</c:v>
                </c:pt>
                <c:pt idx="269">
                  <c:v>168.54494427808675</c:v>
                </c:pt>
                <c:pt idx="270">
                  <c:v>168.54494427808675</c:v>
                </c:pt>
                <c:pt idx="271">
                  <c:v>168.54494427808675</c:v>
                </c:pt>
                <c:pt idx="272">
                  <c:v>168.54494427808675</c:v>
                </c:pt>
                <c:pt idx="273">
                  <c:v>168.54494427808675</c:v>
                </c:pt>
                <c:pt idx="274">
                  <c:v>168.54494427808675</c:v>
                </c:pt>
                <c:pt idx="275">
                  <c:v>168.54494427808675</c:v>
                </c:pt>
                <c:pt idx="276">
                  <c:v>168.54494427808675</c:v>
                </c:pt>
                <c:pt idx="277">
                  <c:v>168.54494427808675</c:v>
                </c:pt>
                <c:pt idx="278">
                  <c:v>168.54494427808675</c:v>
                </c:pt>
                <c:pt idx="279">
                  <c:v>168.54494427808675</c:v>
                </c:pt>
                <c:pt idx="280">
                  <c:v>168.54494427808675</c:v>
                </c:pt>
                <c:pt idx="281">
                  <c:v>168.54494427808675</c:v>
                </c:pt>
                <c:pt idx="282">
                  <c:v>168.54494427808675</c:v>
                </c:pt>
                <c:pt idx="283">
                  <c:v>168.54494427808675</c:v>
                </c:pt>
                <c:pt idx="284">
                  <c:v>168.54494427808675</c:v>
                </c:pt>
                <c:pt idx="285">
                  <c:v>168.54494427808675</c:v>
                </c:pt>
                <c:pt idx="286">
                  <c:v>168.54494427808675</c:v>
                </c:pt>
                <c:pt idx="287">
                  <c:v>168.54494427808675</c:v>
                </c:pt>
                <c:pt idx="288">
                  <c:v>168.54494427808675</c:v>
                </c:pt>
                <c:pt idx="289">
                  <c:v>168.54494427808675</c:v>
                </c:pt>
                <c:pt idx="290">
                  <c:v>168.54494427808675</c:v>
                </c:pt>
                <c:pt idx="291">
                  <c:v>168.54494427808675</c:v>
                </c:pt>
                <c:pt idx="292">
                  <c:v>168.54494427808675</c:v>
                </c:pt>
                <c:pt idx="293">
                  <c:v>168.54494427808675</c:v>
                </c:pt>
                <c:pt idx="294">
                  <c:v>168.54494427808675</c:v>
                </c:pt>
                <c:pt idx="295">
                  <c:v>168.54494427808675</c:v>
                </c:pt>
                <c:pt idx="296">
                  <c:v>168.54494427808675</c:v>
                </c:pt>
                <c:pt idx="297">
                  <c:v>168.54494427808675</c:v>
                </c:pt>
                <c:pt idx="298">
                  <c:v>168.54494427808675</c:v>
                </c:pt>
                <c:pt idx="299">
                  <c:v>168.54494427808675</c:v>
                </c:pt>
                <c:pt idx="300">
                  <c:v>168.54494427808675</c:v>
                </c:pt>
                <c:pt idx="301">
                  <c:v>168.54494427808675</c:v>
                </c:pt>
                <c:pt idx="302">
                  <c:v>168.54494427808675</c:v>
                </c:pt>
                <c:pt idx="303">
                  <c:v>168.54494427808675</c:v>
                </c:pt>
                <c:pt idx="304">
                  <c:v>168.54494427808675</c:v>
                </c:pt>
                <c:pt idx="305">
                  <c:v>168.54494427808675</c:v>
                </c:pt>
                <c:pt idx="306">
                  <c:v>168.54494427808675</c:v>
                </c:pt>
                <c:pt idx="307">
                  <c:v>168.54494427808675</c:v>
                </c:pt>
                <c:pt idx="308">
                  <c:v>168.54494427808675</c:v>
                </c:pt>
                <c:pt idx="309">
                  <c:v>168.54494427808675</c:v>
                </c:pt>
                <c:pt idx="310">
                  <c:v>168.54494427808675</c:v>
                </c:pt>
                <c:pt idx="311">
                  <c:v>168.54494427808675</c:v>
                </c:pt>
                <c:pt idx="312">
                  <c:v>168.54494427808675</c:v>
                </c:pt>
                <c:pt idx="313">
                  <c:v>168.54494427808675</c:v>
                </c:pt>
                <c:pt idx="314">
                  <c:v>168.54494427808675</c:v>
                </c:pt>
                <c:pt idx="315">
                  <c:v>168.54494427808675</c:v>
                </c:pt>
                <c:pt idx="316">
                  <c:v>168.54494427808675</c:v>
                </c:pt>
                <c:pt idx="317">
                  <c:v>168.54494427808675</c:v>
                </c:pt>
                <c:pt idx="318">
                  <c:v>168.54494427808675</c:v>
                </c:pt>
                <c:pt idx="319">
                  <c:v>168.54494427808675</c:v>
                </c:pt>
                <c:pt idx="320">
                  <c:v>168.54494427808675</c:v>
                </c:pt>
                <c:pt idx="321">
                  <c:v>168.54494427808675</c:v>
                </c:pt>
                <c:pt idx="322">
                  <c:v>168.54494427808675</c:v>
                </c:pt>
                <c:pt idx="323">
                  <c:v>168.54494427808675</c:v>
                </c:pt>
                <c:pt idx="324">
                  <c:v>168.54494427808675</c:v>
                </c:pt>
                <c:pt idx="325">
                  <c:v>168.54494427808675</c:v>
                </c:pt>
                <c:pt idx="326">
                  <c:v>168.54494427808675</c:v>
                </c:pt>
                <c:pt idx="327">
                  <c:v>168.54494427808675</c:v>
                </c:pt>
                <c:pt idx="328">
                  <c:v>168.54494427808675</c:v>
                </c:pt>
                <c:pt idx="329">
                  <c:v>168.54494427808675</c:v>
                </c:pt>
                <c:pt idx="330">
                  <c:v>168.54494427808675</c:v>
                </c:pt>
                <c:pt idx="331">
                  <c:v>168.54494427808675</c:v>
                </c:pt>
                <c:pt idx="332">
                  <c:v>168.54494427808675</c:v>
                </c:pt>
                <c:pt idx="333">
                  <c:v>168.54494427808675</c:v>
                </c:pt>
                <c:pt idx="334">
                  <c:v>168.54494427808675</c:v>
                </c:pt>
                <c:pt idx="335">
                  <c:v>168.54494427808675</c:v>
                </c:pt>
                <c:pt idx="336">
                  <c:v>168.54494427808675</c:v>
                </c:pt>
                <c:pt idx="337">
                  <c:v>168.54494427808675</c:v>
                </c:pt>
                <c:pt idx="338">
                  <c:v>168.54494427808675</c:v>
                </c:pt>
                <c:pt idx="339">
                  <c:v>168.54494427808675</c:v>
                </c:pt>
                <c:pt idx="340">
                  <c:v>168.54494427808675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DA-4469-B13C-D32A0CB217DF}"/>
            </c:ext>
          </c:extLst>
        </c:ser>
        <c:ser>
          <c:idx val="4"/>
          <c:order val="4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Diagrammdaten!$C$48:$C$388</c:f>
              <c:strCache>
                <c:ptCount val="321"/>
                <c:pt idx="0">
                  <c:v>-60</c:v>
                </c:pt>
                <c:pt idx="40">
                  <c:v>-40</c:v>
                </c:pt>
                <c:pt idx="80">
                  <c:v>-20</c:v>
                </c:pt>
                <c:pt idx="120">
                  <c:v>0</c:v>
                </c:pt>
                <c:pt idx="160">
                  <c:v>20</c:v>
                </c:pt>
                <c:pt idx="200">
                  <c:v>40</c:v>
                </c:pt>
                <c:pt idx="240">
                  <c:v>60</c:v>
                </c:pt>
                <c:pt idx="280">
                  <c:v>80</c:v>
                </c:pt>
                <c:pt idx="320">
                  <c:v>100</c:v>
                </c:pt>
              </c:strCache>
            </c:strRef>
          </c:cat>
          <c:val>
            <c:numRef>
              <c:f>Diagrammdaten!$G$48:$G$388</c:f>
              <c:numCache>
                <c:formatCode>General</c:formatCode>
                <c:ptCount val="341"/>
                <c:pt idx="0">
                  <c:v>245.91382545819579</c:v>
                </c:pt>
                <c:pt idx="1">
                  <c:v>245.76903234166346</c:v>
                </c:pt>
                <c:pt idx="2">
                  <c:v>245.61968419570067</c:v>
                </c:pt>
                <c:pt idx="3">
                  <c:v>245.46565076430832</c:v>
                </c:pt>
                <c:pt idx="4">
                  <c:v>245.30679733832375</c:v>
                </c:pt>
                <c:pt idx="5">
                  <c:v>245.14298395103927</c:v>
                </c:pt>
                <c:pt idx="6">
                  <c:v>244.9740635750301</c:v>
                </c:pt>
                <c:pt idx="7">
                  <c:v>242.10720440871191</c:v>
                </c:pt>
                <c:pt idx="8">
                  <c:v>218.65464354090309</c:v>
                </c:pt>
                <c:pt idx="9">
                  <c:v>195.08860930988234</c:v>
                </c:pt>
                <c:pt idx="10">
                  <c:v>171.40910171565417</c:v>
                </c:pt>
                <c:pt idx="11">
                  <c:v>147.61612075821634</c:v>
                </c:pt>
                <c:pt idx="12">
                  <c:v>123.70966643756657</c:v>
                </c:pt>
                <c:pt idx="13">
                  <c:v>99.689738753709378</c:v>
                </c:pt>
                <c:pt idx="14">
                  <c:v>75.556337706640221</c:v>
                </c:pt>
                <c:pt idx="15">
                  <c:v>51.309463296363703</c:v>
                </c:pt>
                <c:pt idx="16">
                  <c:v>26.94911552287752</c:v>
                </c:pt>
                <c:pt idx="17">
                  <c:v>2.4752943861793142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DA-4469-B13C-D32A0CB2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Diagrammdaten!$N$8:$N$77</c:f>
              <c:numCache>
                <c:formatCode>General</c:formatCode>
                <c:ptCount val="70"/>
                <c:pt idx="0">
                  <c:v>7.8840000000000714</c:v>
                </c:pt>
                <c:pt idx="1">
                  <c:v>13.996053427743234</c:v>
                </c:pt>
                <c:pt idx="2">
                  <c:v>20.108106855486398</c:v>
                </c:pt>
                <c:pt idx="3">
                  <c:v>26.220160283229561</c:v>
                </c:pt>
                <c:pt idx="4">
                  <c:v>32.332213710972724</c:v>
                </c:pt>
                <c:pt idx="5">
                  <c:v>38.444267138715887</c:v>
                </c:pt>
                <c:pt idx="6">
                  <c:v>44.55632056645905</c:v>
                </c:pt>
                <c:pt idx="7">
                  <c:v>50.668373994202227</c:v>
                </c:pt>
                <c:pt idx="8">
                  <c:v>56.780427421945376</c:v>
                </c:pt>
                <c:pt idx="9">
                  <c:v>62.892480849688546</c:v>
                </c:pt>
                <c:pt idx="10">
                  <c:v>69.004534277431702</c:v>
                </c:pt>
                <c:pt idx="11">
                  <c:v>75.116587705174879</c:v>
                </c:pt>
                <c:pt idx="12">
                  <c:v>81.228641132918042</c:v>
                </c:pt>
                <c:pt idx="13">
                  <c:v>87.340694560661206</c:v>
                </c:pt>
                <c:pt idx="14">
                  <c:v>93.452747988404369</c:v>
                </c:pt>
                <c:pt idx="15">
                  <c:v>99.564801416147532</c:v>
                </c:pt>
                <c:pt idx="16">
                  <c:v>105.67685484389069</c:v>
                </c:pt>
                <c:pt idx="17">
                  <c:v>111.78890827163386</c:v>
                </c:pt>
                <c:pt idx="18">
                  <c:v>117.90096169937702</c:v>
                </c:pt>
                <c:pt idx="19">
                  <c:v>124.01301512712018</c:v>
                </c:pt>
                <c:pt idx="20">
                  <c:v>130.12506855486333</c:v>
                </c:pt>
                <c:pt idx="21">
                  <c:v>136.23712198260651</c:v>
                </c:pt>
                <c:pt idx="22">
                  <c:v>142.34917541034969</c:v>
                </c:pt>
                <c:pt idx="23">
                  <c:v>148.46122883809284</c:v>
                </c:pt>
                <c:pt idx="24">
                  <c:v>154.57328226583601</c:v>
                </c:pt>
                <c:pt idx="25">
                  <c:v>160.68533569357916</c:v>
                </c:pt>
                <c:pt idx="26">
                  <c:v>166.79738912132234</c:v>
                </c:pt>
                <c:pt idx="27">
                  <c:v>172.90944254906549</c:v>
                </c:pt>
                <c:pt idx="28">
                  <c:v>173.11530334534405</c:v>
                </c:pt>
                <c:pt idx="29">
                  <c:v>175.09671087318316</c:v>
                </c:pt>
                <c:pt idx="30">
                  <c:v>176.46977996825069</c:v>
                </c:pt>
                <c:pt idx="31">
                  <c:v>177.14708372948724</c:v>
                </c:pt>
                <c:pt idx="32">
                  <c:v>177.18664870023304</c:v>
                </c:pt>
                <c:pt idx="33">
                  <c:v>177.11976458358242</c:v>
                </c:pt>
                <c:pt idx="34">
                  <c:v>176.69912051454844</c:v>
                </c:pt>
                <c:pt idx="35">
                  <c:v>176.53333128843872</c:v>
                </c:pt>
                <c:pt idx="36">
                  <c:v>176.09101257175962</c:v>
                </c:pt>
                <c:pt idx="37">
                  <c:v>175.89566713390104</c:v>
                </c:pt>
                <c:pt idx="38">
                  <c:v>175.42623598676914</c:v>
                </c:pt>
                <c:pt idx="39">
                  <c:v>174.8293647044818</c:v>
                </c:pt>
                <c:pt idx="40">
                  <c:v>173.22434190975093</c:v>
                </c:pt>
                <c:pt idx="41">
                  <c:v>172.90944254906549</c:v>
                </c:pt>
                <c:pt idx="42">
                  <c:v>167.01567674374172</c:v>
                </c:pt>
                <c:pt idx="43">
                  <c:v>161.12191093841795</c:v>
                </c:pt>
                <c:pt idx="44">
                  <c:v>155.22814513309419</c:v>
                </c:pt>
                <c:pt idx="45">
                  <c:v>149.33437932777042</c:v>
                </c:pt>
                <c:pt idx="46">
                  <c:v>143.44061352244665</c:v>
                </c:pt>
                <c:pt idx="47">
                  <c:v>137.54684771712289</c:v>
                </c:pt>
                <c:pt idx="48">
                  <c:v>131.65308191179912</c:v>
                </c:pt>
                <c:pt idx="49">
                  <c:v>125.75931610647537</c:v>
                </c:pt>
                <c:pt idx="50">
                  <c:v>119.8655503011516</c:v>
                </c:pt>
                <c:pt idx="51">
                  <c:v>113.97178449582783</c:v>
                </c:pt>
                <c:pt idx="52">
                  <c:v>108.07801869050407</c:v>
                </c:pt>
                <c:pt idx="53">
                  <c:v>102.18425288518031</c:v>
                </c:pt>
                <c:pt idx="54">
                  <c:v>96.290487079856547</c:v>
                </c:pt>
                <c:pt idx="55">
                  <c:v>90.39672127453278</c:v>
                </c:pt>
                <c:pt idx="56">
                  <c:v>84.502955469209013</c:v>
                </c:pt>
                <c:pt idx="57">
                  <c:v>78.609189663885246</c:v>
                </c:pt>
                <c:pt idx="58">
                  <c:v>72.715423858561479</c:v>
                </c:pt>
                <c:pt idx="59">
                  <c:v>66.821658053237712</c:v>
                </c:pt>
                <c:pt idx="60">
                  <c:v>60.927892247913945</c:v>
                </c:pt>
                <c:pt idx="61">
                  <c:v>55.034126442590178</c:v>
                </c:pt>
                <c:pt idx="62">
                  <c:v>49.140360637266426</c:v>
                </c:pt>
                <c:pt idx="63">
                  <c:v>43.246594831942645</c:v>
                </c:pt>
                <c:pt idx="64">
                  <c:v>37.352829026618878</c:v>
                </c:pt>
                <c:pt idx="65">
                  <c:v>31.459063221295139</c:v>
                </c:pt>
                <c:pt idx="66">
                  <c:v>25.565297415971372</c:v>
                </c:pt>
                <c:pt idx="67">
                  <c:v>19.671531610647605</c:v>
                </c:pt>
                <c:pt idx="68">
                  <c:v>13.777765805323838</c:v>
                </c:pt>
                <c:pt idx="69">
                  <c:v>7.8840000000000714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5.4780051259929632</c:v>
                </c:pt>
                <c:pt idx="1">
                  <c:v>6.2465283664309963</c:v>
                </c:pt>
                <c:pt idx="2">
                  <c:v>7.094026716138905</c:v>
                </c:pt>
                <c:pt idx="3">
                  <c:v>8.0255579412624787</c:v>
                </c:pt>
                <c:pt idx="4">
                  <c:v>9.0463049806261271</c:v>
                </c:pt>
                <c:pt idx="5">
                  <c:v>10.161580260227899</c:v>
                </c:pt>
                <c:pt idx="6">
                  <c:v>11.376832494554185</c:v>
                </c:pt>
                <c:pt idx="7">
                  <c:v>12.697656236143098</c:v>
                </c:pt>
                <c:pt idx="8">
                  <c:v>14.129804656079587</c:v>
                </c:pt>
                <c:pt idx="9">
                  <c:v>15.67923451447156</c:v>
                </c:pt>
                <c:pt idx="10">
                  <c:v>17.352406968327372</c:v>
                </c:pt>
                <c:pt idx="11">
                  <c:v>19.155353708527862</c:v>
                </c:pt>
                <c:pt idx="12">
                  <c:v>21.094699875721581</c:v>
                </c:pt>
                <c:pt idx="13">
                  <c:v>23.177390130610402</c:v>
                </c:pt>
                <c:pt idx="14">
                  <c:v>25.410755922853671</c:v>
                </c:pt>
                <c:pt idx="15">
                  <c:v>27.802604003304531</c:v>
                </c:pt>
                <c:pt idx="16">
                  <c:v>30.363205999893026</c:v>
                </c:pt>
                <c:pt idx="17">
                  <c:v>33.096101826227539</c:v>
                </c:pt>
                <c:pt idx="18">
                  <c:v>36.017129110207115</c:v>
                </c:pt>
                <c:pt idx="19">
                  <c:v>39.136313339837116</c:v>
                </c:pt>
                <c:pt idx="20">
                  <c:v>42.466439159222979</c:v>
                </c:pt>
                <c:pt idx="21">
                  <c:v>46.023360530623989</c:v>
                </c:pt>
                <c:pt idx="22">
                  <c:v>49.826593298424697</c:v>
                </c:pt>
                <c:pt idx="23">
                  <c:v>53.902917038676897</c:v>
                </c:pt>
                <c:pt idx="24">
                  <c:v>58.288588500852839</c:v>
                </c:pt>
                <c:pt idx="25">
                  <c:v>63.115296932976065</c:v>
                </c:pt>
                <c:pt idx="26">
                  <c:v>68.296439810562831</c:v>
                </c:pt>
                <c:pt idx="27">
                  <c:v>74.339555460510013</c:v>
                </c:pt>
                <c:pt idx="28">
                  <c:v>74.556723930467271</c:v>
                </c:pt>
                <c:pt idx="29">
                  <c:v>76.933953502157294</c:v>
                </c:pt>
                <c:pt idx="30">
                  <c:v>78.941156502790562</c:v>
                </c:pt>
                <c:pt idx="31">
                  <c:v>80.494760566134005</c:v>
                </c:pt>
                <c:pt idx="32">
                  <c:v>80.896473762668705</c:v>
                </c:pt>
                <c:pt idx="33">
                  <c:v>81.224767037052715</c:v>
                </c:pt>
                <c:pt idx="34">
                  <c:v>81.685344406773822</c:v>
                </c:pt>
                <c:pt idx="35">
                  <c:v>81.838319578037911</c:v>
                </c:pt>
                <c:pt idx="36">
                  <c:v>82.075301596995402</c:v>
                </c:pt>
                <c:pt idx="37">
                  <c:v>82.127440129186695</c:v>
                </c:pt>
                <c:pt idx="38">
                  <c:v>82.17759431791859</c:v>
                </c:pt>
                <c:pt idx="39">
                  <c:v>82.142568673071494</c:v>
                </c:pt>
                <c:pt idx="40">
                  <c:v>81.790286378469247</c:v>
                </c:pt>
                <c:pt idx="41">
                  <c:v>81.686326049855197</c:v>
                </c:pt>
                <c:pt idx="42">
                  <c:v>79.403896306172044</c:v>
                </c:pt>
                <c:pt idx="43">
                  <c:v>76.706643047108898</c:v>
                </c:pt>
                <c:pt idx="44">
                  <c:v>73.917273160672508</c:v>
                </c:pt>
                <c:pt idx="45">
                  <c:v>71.162241328121723</c:v>
                </c:pt>
                <c:pt idx="46">
                  <c:v>68.499105449613097</c:v>
                </c:pt>
                <c:pt idx="47">
                  <c:v>65.950868682966799</c:v>
                </c:pt>
                <c:pt idx="48">
                  <c:v>63.532027644965225</c:v>
                </c:pt>
                <c:pt idx="49">
                  <c:v>61.252710857907914</c:v>
                </c:pt>
                <c:pt idx="50">
                  <c:v>59.119111530194637</c:v>
                </c:pt>
                <c:pt idx="51">
                  <c:v>57.135698205735828</c:v>
                </c:pt>
                <c:pt idx="52">
                  <c:v>55.304834874033894</c:v>
                </c:pt>
                <c:pt idx="53">
                  <c:v>53.628494465250789</c:v>
                </c:pt>
                <c:pt idx="54">
                  <c:v>52.108566858257042</c:v>
                </c:pt>
                <c:pt idx="55">
                  <c:v>50.747017816934239</c:v>
                </c:pt>
                <c:pt idx="56">
                  <c:v>49.546046180813249</c:v>
                </c:pt>
                <c:pt idx="57">
                  <c:v>48.508227960961797</c:v>
                </c:pt>
                <c:pt idx="58">
                  <c:v>47.636678138918917</c:v>
                </c:pt>
                <c:pt idx="59">
                  <c:v>46.935238191457664</c:v>
                </c:pt>
                <c:pt idx="60">
                  <c:v>46.40892779619076</c:v>
                </c:pt>
                <c:pt idx="61">
                  <c:v>46.063863329321116</c:v>
                </c:pt>
                <c:pt idx="62">
                  <c:v>45.907235940758852</c:v>
                </c:pt>
                <c:pt idx="63">
                  <c:v>45.948412119295952</c:v>
                </c:pt>
                <c:pt idx="64">
                  <c:v>46.199065481880361</c:v>
                </c:pt>
                <c:pt idx="65">
                  <c:v>46.673734775122661</c:v>
                </c:pt>
                <c:pt idx="66">
                  <c:v>47.390529862815043</c:v>
                </c:pt>
                <c:pt idx="67">
                  <c:v>48.372032320327683</c:v>
                </c:pt>
                <c:pt idx="68">
                  <c:v>49.646459563221228</c:v>
                </c:pt>
                <c:pt idx="69">
                  <c:v>51.249178858911719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DA-4469-B13C-D32A0CB217DF}"/>
            </c:ext>
          </c:extLst>
        </c:ser>
        <c:ser>
          <c:idx val="6"/>
          <c:order val="6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Diagrammdaten!$N$256:$N$296</c:f>
              <c:numCache>
                <c:formatCode>General</c:formatCode>
                <c:ptCount val="41"/>
                <c:pt idx="0">
                  <c:v>7.8840000000000714</c:v>
                </c:pt>
                <c:pt idx="1">
                  <c:v>12.260760000149105</c:v>
                </c:pt>
                <c:pt idx="2">
                  <c:v>16.637520000298139</c:v>
                </c:pt>
                <c:pt idx="3">
                  <c:v>21.014280000447172</c:v>
                </c:pt>
                <c:pt idx="4">
                  <c:v>25.391040000596206</c:v>
                </c:pt>
                <c:pt idx="5">
                  <c:v>29.76780000074524</c:v>
                </c:pt>
                <c:pt idx="6">
                  <c:v>34.144560000894273</c:v>
                </c:pt>
                <c:pt idx="7">
                  <c:v>38.521320001043307</c:v>
                </c:pt>
                <c:pt idx="8">
                  <c:v>42.898080001192341</c:v>
                </c:pt>
                <c:pt idx="9">
                  <c:v>47.274840001341374</c:v>
                </c:pt>
                <c:pt idx="10">
                  <c:v>51.651600001490408</c:v>
                </c:pt>
                <c:pt idx="11">
                  <c:v>56.028360001639442</c:v>
                </c:pt>
                <c:pt idx="12">
                  <c:v>60.405120001788475</c:v>
                </c:pt>
                <c:pt idx="13">
                  <c:v>64.781880001937509</c:v>
                </c:pt>
                <c:pt idx="14">
                  <c:v>69.158640002086599</c:v>
                </c:pt>
                <c:pt idx="15">
                  <c:v>73.535400002235633</c:v>
                </c:pt>
                <c:pt idx="16">
                  <c:v>77.912160002384667</c:v>
                </c:pt>
                <c:pt idx="17">
                  <c:v>82.2889200025337</c:v>
                </c:pt>
                <c:pt idx="18">
                  <c:v>86.665680002682734</c:v>
                </c:pt>
                <c:pt idx="19">
                  <c:v>91.042440002831768</c:v>
                </c:pt>
                <c:pt idx="20">
                  <c:v>95.419200002980801</c:v>
                </c:pt>
                <c:pt idx="21">
                  <c:v>99.795960003129835</c:v>
                </c:pt>
                <c:pt idx="22">
                  <c:v>104.17272000327887</c:v>
                </c:pt>
                <c:pt idx="23">
                  <c:v>108.5494800034279</c:v>
                </c:pt>
                <c:pt idx="24">
                  <c:v>112.92624000357694</c:v>
                </c:pt>
                <c:pt idx="25">
                  <c:v>117.30300000372597</c:v>
                </c:pt>
                <c:pt idx="26">
                  <c:v>121.679760003875</c:v>
                </c:pt>
                <c:pt idx="27">
                  <c:v>126.05652000402404</c:v>
                </c:pt>
                <c:pt idx="28">
                  <c:v>130.43328000417307</c:v>
                </c:pt>
                <c:pt idx="29">
                  <c:v>134.8100400043221</c:v>
                </c:pt>
                <c:pt idx="30">
                  <c:v>139.18680000447114</c:v>
                </c:pt>
                <c:pt idx="31">
                  <c:v>143.56356000462017</c:v>
                </c:pt>
                <c:pt idx="32">
                  <c:v>147.94032000476921</c:v>
                </c:pt>
                <c:pt idx="33">
                  <c:v>152.31708000491824</c:v>
                </c:pt>
                <c:pt idx="34">
                  <c:v>156.69384000506727</c:v>
                </c:pt>
                <c:pt idx="35">
                  <c:v>161.07060000521631</c:v>
                </c:pt>
                <c:pt idx="36">
                  <c:v>165.44736000536534</c:v>
                </c:pt>
                <c:pt idx="37">
                  <c:v>169.82412000551437</c:v>
                </c:pt>
                <c:pt idx="38">
                  <c:v>174.20088000566341</c:v>
                </c:pt>
                <c:pt idx="39">
                  <c:v>178.57764000581244</c:v>
                </c:pt>
                <c:pt idx="40">
                  <c:v>182.95440000596147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DA-4469-B13C-D32A0CB217DF}"/>
            </c:ext>
          </c:extLst>
        </c:ser>
        <c:ser>
          <c:idx val="17"/>
          <c:order val="7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394-47D9-9F9B-144D2EC3467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394-47D9-9F9B-144D2EC3467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394-47D9-9F9B-144D2EC3467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394-47D9-9F9B-144D2EC3467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394-47D9-9F9B-144D2EC3467D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Diagrammdaten!$N$145:$N$148</c:f>
              <c:numCache>
                <c:formatCode>General</c:formatCode>
                <c:ptCount val="4"/>
                <c:pt idx="0">
                  <c:v>61</c:v>
                </c:pt>
                <c:pt idx="1">
                  <c:v>265</c:v>
                </c:pt>
                <c:pt idx="2">
                  <c:v>291</c:v>
                </c:pt>
                <c:pt idx="3">
                  <c:v>77</c:v>
                </c:pt>
              </c:numCache>
            </c:numRef>
          </c:xVal>
          <c:yVal>
            <c:numRef>
              <c:f>Diagrammdaten!$K$145:$K$148</c:f>
              <c:numCache>
                <c:formatCode>General</c:formatCode>
                <c:ptCount val="4"/>
                <c:pt idx="0">
                  <c:v>105</c:v>
                </c:pt>
                <c:pt idx="1">
                  <c:v>12</c:v>
                </c:pt>
                <c:pt idx="2">
                  <c:v>120</c:v>
                </c:pt>
                <c:pt idx="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DDA-4469-B13C-D32A0CB217DF}"/>
            </c:ext>
          </c:extLst>
        </c:ser>
        <c:ser>
          <c:idx val="7"/>
          <c:order val="8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Diagrammdaten!$N$298:$N$327</c:f>
              <c:numCache>
                <c:formatCode>General</c:formatCode>
                <c:ptCount val="30"/>
                <c:pt idx="0">
                  <c:v>7.8840000000000714</c:v>
                </c:pt>
                <c:pt idx="1">
                  <c:v>13.705211052225877</c:v>
                </c:pt>
                <c:pt idx="2">
                  <c:v>19.526422104451683</c:v>
                </c:pt>
                <c:pt idx="3">
                  <c:v>25.347633156677489</c:v>
                </c:pt>
                <c:pt idx="4">
                  <c:v>31.168844208903295</c:v>
                </c:pt>
                <c:pt idx="5">
                  <c:v>36.9900552611291</c:v>
                </c:pt>
                <c:pt idx="6">
                  <c:v>42.811266313354906</c:v>
                </c:pt>
                <c:pt idx="7">
                  <c:v>48.632477365580712</c:v>
                </c:pt>
                <c:pt idx="8">
                  <c:v>54.453688417806518</c:v>
                </c:pt>
                <c:pt idx="9">
                  <c:v>60.274899470032324</c:v>
                </c:pt>
                <c:pt idx="10">
                  <c:v>66.09611052225813</c:v>
                </c:pt>
                <c:pt idx="11">
                  <c:v>71.917321574483935</c:v>
                </c:pt>
                <c:pt idx="12">
                  <c:v>77.738532626709741</c:v>
                </c:pt>
                <c:pt idx="13">
                  <c:v>83.559743678935547</c:v>
                </c:pt>
                <c:pt idx="14">
                  <c:v>89.380954731161353</c:v>
                </c:pt>
                <c:pt idx="15">
                  <c:v>95.202165783387159</c:v>
                </c:pt>
                <c:pt idx="16">
                  <c:v>101.02337683561296</c:v>
                </c:pt>
                <c:pt idx="17">
                  <c:v>106.84458788783877</c:v>
                </c:pt>
                <c:pt idx="18">
                  <c:v>112.66579894006458</c:v>
                </c:pt>
                <c:pt idx="19">
                  <c:v>118.48700999229038</c:v>
                </c:pt>
                <c:pt idx="20">
                  <c:v>124.30822104451619</c:v>
                </c:pt>
                <c:pt idx="21">
                  <c:v>130.12943209674199</c:v>
                </c:pt>
                <c:pt idx="22">
                  <c:v>135.9506431489678</c:v>
                </c:pt>
                <c:pt idx="23">
                  <c:v>141.77185420119361</c:v>
                </c:pt>
                <c:pt idx="24">
                  <c:v>147.59306525341941</c:v>
                </c:pt>
                <c:pt idx="25">
                  <c:v>153.41427630564522</c:v>
                </c:pt>
                <c:pt idx="26">
                  <c:v>159.23548735787102</c:v>
                </c:pt>
                <c:pt idx="27">
                  <c:v>165.05669841009683</c:v>
                </c:pt>
                <c:pt idx="28">
                  <c:v>170.87790946232263</c:v>
                </c:pt>
                <c:pt idx="29">
                  <c:v>176.69912051454844</c:v>
                </c:pt>
              </c:numCache>
            </c:numRef>
          </c:xVal>
          <c:yVal>
            <c:numRef>
              <c:f>Diagrammdaten!$K$298:$K$327</c:f>
              <c:numCache>
                <c:formatCode>General</c:formatCode>
                <c:ptCount val="30"/>
                <c:pt idx="0">
                  <c:v>54.249178858911719</c:v>
                </c:pt>
                <c:pt idx="1">
                  <c:v>52.664363407576069</c:v>
                </c:pt>
                <c:pt idx="2">
                  <c:v>51.40003231788009</c:v>
                </c:pt>
                <c:pt idx="3">
                  <c:v>50.422039629483656</c:v>
                </c:pt>
                <c:pt idx="4">
                  <c:v>49.703056462019831</c:v>
                </c:pt>
                <c:pt idx="5">
                  <c:v>49.221145655561216</c:v>
                </c:pt>
                <c:pt idx="6">
                  <c:v>48.959101170097277</c:v>
                </c:pt>
                <c:pt idx="7">
                  <c:v>48.902828994722412</c:v>
                </c:pt>
                <c:pt idx="8">
                  <c:v>49.040237729303101</c:v>
                </c:pt>
                <c:pt idx="9">
                  <c:v>49.362146363389712</c:v>
                </c:pt>
                <c:pt idx="10">
                  <c:v>49.861173471192402</c:v>
                </c:pt>
                <c:pt idx="11">
                  <c:v>50.531397928398562</c:v>
                </c:pt>
                <c:pt idx="12">
                  <c:v>51.368765341961051</c:v>
                </c:pt>
                <c:pt idx="13">
                  <c:v>52.368889762331087</c:v>
                </c:pt>
                <c:pt idx="14">
                  <c:v>53.528518650089161</c:v>
                </c:pt>
                <c:pt idx="15">
                  <c:v>54.845101014529511</c:v>
                </c:pt>
                <c:pt idx="16">
                  <c:v>56.316468002074117</c:v>
                </c:pt>
                <c:pt idx="17">
                  <c:v>57.940872900767133</c:v>
                </c:pt>
                <c:pt idx="18">
                  <c:v>59.716932633410508</c:v>
                </c:pt>
                <c:pt idx="19">
                  <c:v>61.642103419846549</c:v>
                </c:pt>
                <c:pt idx="20">
                  <c:v>63.71401451613437</c:v>
                </c:pt>
                <c:pt idx="21">
                  <c:v>65.929211829067867</c:v>
                </c:pt>
                <c:pt idx="22">
                  <c:v>68.282233623562746</c:v>
                </c:pt>
                <c:pt idx="23">
                  <c:v>70.764954852547746</c:v>
                </c:pt>
                <c:pt idx="24">
                  <c:v>73.364513310303693</c:v>
                </c:pt>
                <c:pt idx="25">
                  <c:v>76.061587611447692</c:v>
                </c:pt>
                <c:pt idx="26">
                  <c:v>78.81922862244744</c:v>
                </c:pt>
                <c:pt idx="27">
                  <c:v>81.507379398410805</c:v>
                </c:pt>
                <c:pt idx="28">
                  <c:v>84.006386183492225</c:v>
                </c:pt>
                <c:pt idx="29">
                  <c:v>84.685344406773822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DA-4469-B13C-D32A0CB217DF}"/>
            </c:ext>
          </c:extLst>
        </c:ser>
        <c:ser>
          <c:idx val="8"/>
          <c:order val="9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Diagrammdaten!$N$329:$N$358</c:f>
              <c:numCache>
                <c:formatCode>General</c:formatCode>
                <c:ptCount val="30"/>
                <c:pt idx="0">
                  <c:v>7.8840000000000714</c:v>
                </c:pt>
                <c:pt idx="1">
                  <c:v>13.722022368973626</c:v>
                </c:pt>
                <c:pt idx="2">
                  <c:v>19.56004473794718</c:v>
                </c:pt>
                <c:pt idx="3">
                  <c:v>25.39806710692072</c:v>
                </c:pt>
                <c:pt idx="4">
                  <c:v>31.236089475894275</c:v>
                </c:pt>
                <c:pt idx="5">
                  <c:v>37.074111844867829</c:v>
                </c:pt>
                <c:pt idx="6">
                  <c:v>42.91213421384137</c:v>
                </c:pt>
                <c:pt idx="7">
                  <c:v>48.750156582814924</c:v>
                </c:pt>
                <c:pt idx="8">
                  <c:v>54.588178951788478</c:v>
                </c:pt>
                <c:pt idx="9">
                  <c:v>60.426201320762033</c:v>
                </c:pt>
                <c:pt idx="10">
                  <c:v>66.264223689735587</c:v>
                </c:pt>
                <c:pt idx="11">
                  <c:v>72.102246058709127</c:v>
                </c:pt>
                <c:pt idx="12">
                  <c:v>77.940268427682682</c:v>
                </c:pt>
                <c:pt idx="13">
                  <c:v>83.778290796656236</c:v>
                </c:pt>
                <c:pt idx="14">
                  <c:v>89.616313165629776</c:v>
                </c:pt>
                <c:pt idx="15">
                  <c:v>95.454335534603331</c:v>
                </c:pt>
                <c:pt idx="16">
                  <c:v>101.29235790357689</c:v>
                </c:pt>
                <c:pt idx="17">
                  <c:v>107.13038027255044</c:v>
                </c:pt>
                <c:pt idx="18">
                  <c:v>112.96840264152399</c:v>
                </c:pt>
                <c:pt idx="19">
                  <c:v>118.80642501049753</c:v>
                </c:pt>
                <c:pt idx="20">
                  <c:v>124.64444737947109</c:v>
                </c:pt>
                <c:pt idx="21">
                  <c:v>130.48246974844466</c:v>
                </c:pt>
                <c:pt idx="22">
                  <c:v>136.32049211741818</c:v>
                </c:pt>
                <c:pt idx="23">
                  <c:v>142.15851448639174</c:v>
                </c:pt>
                <c:pt idx="24">
                  <c:v>147.99653685536529</c:v>
                </c:pt>
                <c:pt idx="25">
                  <c:v>153.83455922433885</c:v>
                </c:pt>
                <c:pt idx="26">
                  <c:v>159.6725815933124</c:v>
                </c:pt>
                <c:pt idx="27">
                  <c:v>165.51060396228596</c:v>
                </c:pt>
                <c:pt idx="28">
                  <c:v>171.34862633125948</c:v>
                </c:pt>
                <c:pt idx="29">
                  <c:v>177.18664870023304</c:v>
                </c:pt>
              </c:numCache>
            </c:numRef>
          </c:xVal>
          <c:yVal>
            <c:numRef>
              <c:f>Diagrammdaten!$K$329:$K$358</c:f>
              <c:numCache>
                <c:formatCode>General</c:formatCode>
                <c:ptCount val="30"/>
                <c:pt idx="0">
                  <c:v>2.4780051259929632</c:v>
                </c:pt>
                <c:pt idx="1">
                  <c:v>3.2104599332675336</c:v>
                </c:pt>
                <c:pt idx="2">
                  <c:v>4.0147345983788778</c:v>
                </c:pt>
                <c:pt idx="3">
                  <c:v>4.8949818046756448</c:v>
                </c:pt>
                <c:pt idx="4">
                  <c:v>5.8564245962950601</c:v>
                </c:pt>
                <c:pt idx="5">
                  <c:v>6.9029427794701999</c:v>
                </c:pt>
                <c:pt idx="6">
                  <c:v>8.0394947701484778</c:v>
                </c:pt>
                <c:pt idx="7">
                  <c:v>9.2713091561138921</c:v>
                </c:pt>
                <c:pt idx="8">
                  <c:v>10.603085389059821</c:v>
                </c:pt>
                <c:pt idx="9">
                  <c:v>12.039852172418426</c:v>
                </c:pt>
                <c:pt idx="10">
                  <c:v>13.586873765952987</c:v>
                </c:pt>
                <c:pt idx="11">
                  <c:v>15.249592936904534</c:v>
                </c:pt>
                <c:pt idx="12">
                  <c:v>17.033658727159636</c:v>
                </c:pt>
                <c:pt idx="13">
                  <c:v>18.945376817165933</c:v>
                </c:pt>
                <c:pt idx="14">
                  <c:v>20.990785665133657</c:v>
                </c:pt>
                <c:pt idx="15">
                  <c:v>23.176208762572006</c:v>
                </c:pt>
                <c:pt idx="16">
                  <c:v>25.508607393240041</c:v>
                </c:pt>
                <c:pt idx="17">
                  <c:v>27.995474228307575</c:v>
                </c:pt>
                <c:pt idx="18">
                  <c:v>30.644973518769611</c:v>
                </c:pt>
                <c:pt idx="19">
                  <c:v>33.466550208449242</c:v>
                </c:pt>
                <c:pt idx="20">
                  <c:v>36.470502620113258</c:v>
                </c:pt>
                <c:pt idx="21">
                  <c:v>39.668178690413654</c:v>
                </c:pt>
                <c:pt idx="22">
                  <c:v>43.073587576943865</c:v>
                </c:pt>
                <c:pt idx="23">
                  <c:v>46.703908661604409</c:v>
                </c:pt>
                <c:pt idx="24">
                  <c:v>50.58211318954023</c:v>
                </c:pt>
                <c:pt idx="25">
                  <c:v>54.739597871776695</c:v>
                </c:pt>
                <c:pt idx="26">
                  <c:v>59.295247173517502</c:v>
                </c:pt>
                <c:pt idx="27">
                  <c:v>64.156072857380096</c:v>
                </c:pt>
                <c:pt idx="28">
                  <c:v>69.693005578099459</c:v>
                </c:pt>
                <c:pt idx="29">
                  <c:v>77.896473762668705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DA-4469-B13C-D32A0CB217DF}"/>
            </c:ext>
          </c:extLst>
        </c:ser>
        <c:ser>
          <c:idx val="14"/>
          <c:order val="10"/>
          <c:tx>
            <c:v>B überkritisch kühlen (91 bar) – gewählt</c:v>
          </c:tx>
          <c:spPr>
            <a:ln w="38100">
              <a:solidFill>
                <a:srgbClr val="00A0A0"/>
              </a:solidFill>
            </a:ln>
          </c:spPr>
          <c:marker>
            <c:symbol val="circle"/>
            <c:size val="7"/>
            <c:spPr>
              <a:solidFill>
                <a:srgbClr val="00A0A0"/>
              </a:solidFill>
              <a:ln w="38100">
                <a:solidFill>
                  <a:srgbClr val="00A0A0"/>
                </a:solidFill>
                <a:prstDash val="solid"/>
              </a:ln>
            </c:spPr>
          </c:marker>
          <c:dLbls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008080"/>
                        </a:solidFill>
                      </a:defRPr>
                    </a:pPr>
                    <a:r>
                      <a:rPr lang="en-US"/>
                      <a:t>B: Kühler 91 bar / 26 °C → Pumpe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394-47D9-9F9B-144D2EC346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Diagrammdaten!$N$128:$N$133</c:f>
              <c:numCache>
                <c:formatCode>General</c:formatCode>
                <c:ptCount val="6"/>
                <c:pt idx="0">
                  <c:v>151</c:v>
                </c:pt>
                <c:pt idx="1">
                  <c:v>235.99996894817946</c:v>
                </c:pt>
                <c:pt idx="2">
                  <c:v>173</c:v>
                </c:pt>
                <c:pt idx="3">
                  <c:v>275.75429467943798</c:v>
                </c:pt>
                <c:pt idx="4">
                  <c:v>173</c:v>
                </c:pt>
                <c:pt idx="5">
                  <c:v>184.49938892528485</c:v>
                </c:pt>
              </c:numCache>
            </c:numRef>
          </c:xVal>
          <c:yVal>
            <c:numRef>
              <c:f>Diagrammdaten!$K$128:$K$133</c:f>
              <c:numCache>
                <c:formatCode>General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50</c:v>
                </c:pt>
                <c:pt idx="3">
                  <c:v>91</c:v>
                </c:pt>
                <c:pt idx="4">
                  <c:v>91</c:v>
                </c:pt>
                <c:pt idx="5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DA-4469-B13C-D32A0CB217DF}"/>
            </c:ext>
          </c:extLst>
        </c:ser>
        <c:ser>
          <c:idx val="12"/>
          <c:order val="11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Diagrammdaten!$N$123</c:f>
              <c:numCache>
                <c:formatCode>General</c:formatCode>
                <c:ptCount val="1"/>
                <c:pt idx="0">
                  <c:v>176.90944254906549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81.455055721913254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DDA-4469-B13C-D32A0CB217DF}"/>
            </c:ext>
          </c:extLst>
        </c:ser>
        <c:ser>
          <c:idx val="16"/>
          <c:order val="12"/>
          <c:tx>
            <c:v>C durchverdichten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circl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dLbls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7030A0"/>
                        </a:solidFill>
                      </a:defRPr>
                    </a:pPr>
                    <a:r>
                      <a:rPr lang="en-US"/>
                      <a:t>C: 104,2 °C (über 95 °C), keine Pumpe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4394-47D9-9F9B-144D2EC346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Diagrammdaten!$N$138:$N$142</c:f>
              <c:numCache>
                <c:formatCode>General</c:formatCode>
                <c:ptCount val="5"/>
                <c:pt idx="0">
                  <c:v>151</c:v>
                </c:pt>
                <c:pt idx="1">
                  <c:v>242.87678547992414</c:v>
                </c:pt>
                <c:pt idx="2">
                  <c:v>173</c:v>
                </c:pt>
                <c:pt idx="3">
                  <c:v>310.49146766260105</c:v>
                </c:pt>
                <c:pt idx="4">
                  <c:v>184.49938892528485</c:v>
                </c:pt>
              </c:numCache>
            </c:numRef>
          </c:xVal>
          <c:yVal>
            <c:numRef>
              <c:f>Diagrammdaten!$K$138:$K$142</c:f>
              <c:numCache>
                <c:formatCode>General</c:formatCode>
                <c:ptCount val="5"/>
                <c:pt idx="0">
                  <c:v>30</c:v>
                </c:pt>
                <c:pt idx="1">
                  <c:v>52</c:v>
                </c:pt>
                <c:pt idx="2">
                  <c:v>52</c:v>
                </c:pt>
                <c:pt idx="3">
                  <c:v>114.93130198208927</c:v>
                </c:pt>
                <c:pt idx="4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DDA-4469-B13C-D32A0CB217DF}"/>
            </c:ext>
          </c:extLst>
        </c:ser>
        <c:ser>
          <c:idx val="20"/>
          <c:order val="13"/>
          <c:tx>
            <c:v>ρ = 500 kg/m³ (Gemisch)</c:v>
          </c:tx>
          <c:spPr>
            <a:ln w="19050" cap="rnd">
              <a:solidFill>
                <a:srgbClr val="EE7203"/>
              </a:solidFill>
              <a:prstDash val="dot"/>
            </a:ln>
          </c:spPr>
          <c:marker>
            <c:symbol val="none"/>
          </c:marker>
          <c:xVal>
            <c:numRef>
              <c:f>Diagrammdaten!$N$367:$N$378</c:f>
              <c:numCache>
                <c:formatCode>General</c:formatCode>
                <c:ptCount val="12"/>
                <c:pt idx="0">
                  <c:v>177.85134356035329</c:v>
                </c:pt>
                <c:pt idx="1">
                  <c:v>182.00349837929957</c:v>
                </c:pt>
                <c:pt idx="2">
                  <c:v>186.12709398633615</c:v>
                </c:pt>
                <c:pt idx="3">
                  <c:v>190.22967074606737</c:v>
                </c:pt>
                <c:pt idx="4">
                  <c:v>194.31034545220444</c:v>
                </c:pt>
                <c:pt idx="5">
                  <c:v>198.37850541109458</c:v>
                </c:pt>
                <c:pt idx="6">
                  <c:v>202.43380590193343</c:v>
                </c:pt>
                <c:pt idx="7">
                  <c:v>206.47248541967753</c:v>
                </c:pt>
                <c:pt idx="8">
                  <c:v>210.50384302228866</c:v>
                </c:pt>
                <c:pt idx="9">
                  <c:v>214.52588197435807</c:v>
                </c:pt>
                <c:pt idx="10">
                  <c:v>218.5395405573673</c:v>
                </c:pt>
                <c:pt idx="11">
                  <c:v>222.54403313554269</c:v>
                </c:pt>
              </c:numCache>
            </c:numRef>
          </c:xVal>
          <c:yVal>
            <c:numRef>
              <c:f>Diagrammdaten!$K$367:$K$378</c:f>
              <c:numCache>
                <c:formatCode>General</c:formatCode>
                <c:ptCount val="12"/>
                <c:pt idx="0">
                  <c:v>84</c:v>
                </c:pt>
                <c:pt idx="1">
                  <c:v>88</c:v>
                </c:pt>
                <c:pt idx="2">
                  <c:v>92</c:v>
                </c:pt>
                <c:pt idx="3">
                  <c:v>96</c:v>
                </c:pt>
                <c:pt idx="4">
                  <c:v>100</c:v>
                </c:pt>
                <c:pt idx="5">
                  <c:v>104</c:v>
                </c:pt>
                <c:pt idx="6">
                  <c:v>108</c:v>
                </c:pt>
                <c:pt idx="7">
                  <c:v>112</c:v>
                </c:pt>
                <c:pt idx="8">
                  <c:v>116</c:v>
                </c:pt>
                <c:pt idx="9">
                  <c:v>120</c:v>
                </c:pt>
                <c:pt idx="10">
                  <c:v>124</c:v>
                </c:pt>
                <c:pt idx="11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DDA-4469-B13C-D32A0CB217DF}"/>
            </c:ext>
          </c:extLst>
        </c:ser>
        <c:ser>
          <c:idx val="9"/>
          <c:order val="14"/>
          <c:tx>
            <c:v>A verflüssigen bei 80 bar (nur mit Kältemaschine)</c:v>
          </c:tx>
          <c:spPr>
            <a:ln w="22225">
              <a:solidFill>
                <a:srgbClr val="0476D9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476D9"/>
              </a:solidFill>
              <a:ln w="22225">
                <a:solidFill>
                  <a:srgbClr val="0476D9"/>
                </a:solidFill>
                <a:prstDash val="lgDash"/>
              </a:ln>
            </c:spPr>
          </c:marker>
          <c:dLbls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0476D9"/>
                        </a:solidFill>
                      </a:defRPr>
                    </a:pPr>
                    <a:r>
                      <a:rPr lang="en-US"/>
                      <a:t>A: Verflüssiger 80 bar / 20 °C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394-47D9-9F9B-144D2EC346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Diagrammdaten!$N$382:$N$387</c:f>
              <c:numCache>
                <c:formatCode>General</c:formatCode>
                <c:ptCount val="6"/>
                <c:pt idx="0">
                  <c:v>151</c:v>
                </c:pt>
                <c:pt idx="1">
                  <c:v>232.44095620380403</c:v>
                </c:pt>
                <c:pt idx="2">
                  <c:v>161</c:v>
                </c:pt>
                <c:pt idx="3">
                  <c:v>242.30997732996298</c:v>
                </c:pt>
                <c:pt idx="4">
                  <c:v>161</c:v>
                </c:pt>
                <c:pt idx="5">
                  <c:v>174.98641653520292</c:v>
                </c:pt>
              </c:numCache>
            </c:numRef>
          </c:xVal>
          <c:yVal>
            <c:numRef>
              <c:f>Diagrammdaten!$K$382:$K$387</c:f>
              <c:numCache>
                <c:formatCode>General</c:formatCode>
                <c:ptCount val="6"/>
                <c:pt idx="0">
                  <c:v>30</c:v>
                </c:pt>
                <c:pt idx="1">
                  <c:v>48.989794855663561</c:v>
                </c:pt>
                <c:pt idx="2">
                  <c:v>48.989794855663561</c:v>
                </c:pt>
                <c:pt idx="3">
                  <c:v>80</c:v>
                </c:pt>
                <c:pt idx="4">
                  <c:v>80</c:v>
                </c:pt>
                <c:pt idx="5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394-47D9-9F9B-144D2EC3467D}"/>
            </c:ext>
          </c:extLst>
        </c:ser>
        <c:ser>
          <c:idx val="10"/>
          <c:order val="15"/>
          <c:tx>
            <c:v>D tiefkalt bei 30 bar (bleibt zweiphasig)</c:v>
          </c:tx>
          <c:spPr>
            <a:ln w="22225">
              <a:solidFill>
                <a:srgbClr val="7F7F7F"/>
              </a:solidFill>
              <a:prstDash val="dashDot"/>
            </a:ln>
          </c:spPr>
          <c:marker>
            <c:symbol val="circle"/>
            <c:size val="5"/>
            <c:spPr>
              <a:solidFill>
                <a:srgbClr val="7F7F7F"/>
              </a:solidFill>
              <a:ln w="22225">
                <a:solidFill>
                  <a:srgbClr val="7F7F7F"/>
                </a:solidFill>
                <a:prstDash val="lgDashDot"/>
              </a:ln>
            </c:spPr>
          </c:marker>
          <c:dLbls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D: −40 °C, noch 31 Vol-% Gas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394-47D9-9F9B-144D2EC346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Diagrammdaten!$N$389:$N$390</c:f>
              <c:numCache>
                <c:formatCode>General</c:formatCode>
                <c:ptCount val="2"/>
                <c:pt idx="0">
                  <c:v>151</c:v>
                </c:pt>
                <c:pt idx="1">
                  <c:v>41</c:v>
                </c:pt>
              </c:numCache>
            </c:numRef>
          </c:xVal>
          <c:yVal>
            <c:numRef>
              <c:f>Diagrammdaten!$K$389:$K$390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394-47D9-9F9B-144D2EC3467D}"/>
            </c:ext>
          </c:extLst>
        </c:ser>
        <c:ser>
          <c:idx val="11"/>
          <c:order val="16"/>
          <c:tx>
            <c:v>E Pumpe im Zweiphasengebiet</c:v>
          </c:tx>
          <c:spPr>
            <a:ln w="95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rnd" cmpd="sng" algn="ctr">
                  <a:solidFill>
                    <a:srgbClr val="CA220E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11"/>
            <c:spPr>
              <a:solidFill>
                <a:srgbClr val="CA220E"/>
              </a:solidFill>
              <a:ln w="9525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CA220E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b="1">
                        <a:solidFill>
                          <a:srgbClr val="CA220E"/>
                        </a:solidFill>
                      </a:defRPr>
                    </a:pPr>
                    <a:r>
                      <a:rPr lang="en-US"/>
                      <a:t>E: 18 Vol-% Gas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394-47D9-9F9B-144D2EC346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Diagrammdaten!$N$392:$N$392</c:f>
              <c:numCache>
                <c:formatCode>General</c:formatCode>
                <c:ptCount val="1"/>
                <c:pt idx="0">
                  <c:v>171</c:v>
                </c:pt>
              </c:numCache>
            </c:numRef>
          </c:xVal>
          <c:yVal>
            <c:numRef>
              <c:f>Diagrammdaten!$K$392:$K$392</c:f>
              <c:numCache>
                <c:formatCode>General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394-47D9-9F9B-144D2EC34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4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At val="1"/>
        <c:crossBetween val="between"/>
        <c:majorUnit val="10"/>
      </c:valAx>
      <c:valAx>
        <c:axId val="60080002"/>
        <c:scaling>
          <c:orientation val="minMax"/>
          <c:max val="14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valAx>
        <c:axId val="6008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80002"/>
        <c:crosses val="autoZero"/>
        <c:crossBetween val="midCat"/>
      </c:valAx>
    </c:plotArea>
    <c:legend>
      <c:legendPos val="r"/>
      <c:legendEntry>
        <c:idx val="7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7_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Einspeicherung: Prozesspfade S1, S2 und Vergleich Durchverdichten (bis Bohrlochkopf) – Worst-Case-Gemisch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Diagrammdaten!$D$8:$D$388</c:f>
              <c:numCache>
                <c:formatCode>General</c:formatCode>
                <c:ptCount val="381"/>
                <c:pt idx="0">
                  <c:v>0.89241567971802016</c:v>
                </c:pt>
                <c:pt idx="1">
                  <c:v>0.93029797403040304</c:v>
                </c:pt>
                <c:pt idx="2">
                  <c:v>0.96958837381022944</c:v>
                </c:pt>
                <c:pt idx="3">
                  <c:v>1.010331934508877</c:v>
                </c:pt>
                <c:pt idx="4">
                  <c:v>1.0525749397826214</c:v>
                </c:pt>
                <c:pt idx="5">
                  <c:v>1.0963649308553405</c:v>
                </c:pt>
                <c:pt idx="6">
                  <c:v>1.1417507366031867</c:v>
                </c:pt>
                <c:pt idx="7">
                  <c:v>1.1887825043863187</c:v>
                </c:pt>
                <c:pt idx="8">
                  <c:v>1.2375117316542428</c:v>
                </c:pt>
                <c:pt idx="9">
                  <c:v>1.2879912983528754</c:v>
                </c:pt>
                <c:pt idx="10">
                  <c:v>1.340275500163288</c:v>
                </c:pt>
                <c:pt idx="11">
                  <c:v>1.3944200826039743</c:v>
                </c:pt>
                <c:pt idx="12">
                  <c:v>1.4504822760307026</c:v>
                </c:pt>
                <c:pt idx="13">
                  <c:v>1.5085208315704552</c:v>
                </c:pt>
                <c:pt idx="14">
                  <c:v>1.5685960580286391</c:v>
                </c:pt>
                <c:pt idx="15">
                  <c:v>1.6307698598119242</c:v>
                </c:pt>
                <c:pt idx="16">
                  <c:v>1.6951057759124981</c:v>
                </c:pt>
                <c:pt idx="17">
                  <c:v>1.7616690200035732</c:v>
                </c:pt>
                <c:pt idx="18">
                  <c:v>1.8305265217005857</c:v>
                </c:pt>
                <c:pt idx="19">
                  <c:v>1.901746969047835</c:v>
                </c:pt>
                <c:pt idx="20">
                  <c:v>1.9754008522965969</c:v>
                </c:pt>
                <c:pt idx="21">
                  <c:v>2.0515605090479743</c:v>
                </c:pt>
                <c:pt idx="22">
                  <c:v>2.1303001708424727</c:v>
                </c:pt>
                <c:pt idx="23">
                  <c:v>2.2116960112886028</c:v>
                </c:pt>
                <c:pt idx="24">
                  <c:v>2.2958261958352479</c:v>
                </c:pt>
                <c:pt idx="25">
                  <c:v>2.3827709333077967</c:v>
                </c:pt>
                <c:pt idx="26">
                  <c:v>2.4726125293466135</c:v>
                </c:pt>
                <c:pt idx="27">
                  <c:v>2.5654354419096896</c:v>
                </c:pt>
                <c:pt idx="28">
                  <c:v>2.6613263390304978</c:v>
                </c:pt>
                <c:pt idx="29">
                  <c:v>2.7603741590594004</c:v>
                </c:pt>
                <c:pt idx="30">
                  <c:v>2.862670173664994</c:v>
                </c:pt>
                <c:pt idx="31">
                  <c:v>2.9683080539352531</c:v>
                </c:pt>
                <c:pt idx="32">
                  <c:v>3.0773839400026244</c:v>
                </c:pt>
                <c:pt idx="33">
                  <c:v>3.1899965147323135</c:v>
                </c:pt>
                <c:pt idx="34">
                  <c:v>3.3062470821726935</c:v>
                </c:pt>
                <c:pt idx="35">
                  <c:v>3.426239651693705</c:v>
                </c:pt>
                <c:pt idx="36">
                  <c:v>3.5500810290707134</c:v>
                </c:pt>
                <c:pt idx="37">
                  <c:v>3.6778809162695403</c:v>
                </c:pt>
                <c:pt idx="38">
                  <c:v>3.8097520224647976</c:v>
                </c:pt>
                <c:pt idx="39">
                  <c:v>3.9458101900827693</c:v>
                </c:pt>
                <c:pt idx="40">
                  <c:v>4.0861745418042217</c:v>
                </c:pt>
                <c:pt idx="41">
                  <c:v>4.2309676583365281</c:v>
                </c:pt>
                <c:pt idx="42">
                  <c:v>4.3803158042993156</c:v>
                </c:pt>
                <c:pt idx="43">
                  <c:v>4.5343492356916677</c:v>
                </c:pt>
                <c:pt idx="44">
                  <c:v>4.6932026616762457</c:v>
                </c:pt>
                <c:pt idx="45">
                  <c:v>4.8570160489607197</c:v>
                </c:pt>
                <c:pt idx="46">
                  <c:v>5.0259364249698981</c:v>
                </c:pt>
                <c:pt idx="47">
                  <c:v>5.4919860799449749</c:v>
                </c:pt>
                <c:pt idx="48">
                  <c:v>5.6127439371801966</c:v>
                </c:pt>
                <c:pt idx="49">
                  <c:v>5.7355076682387329</c:v>
                </c:pt>
                <c:pt idx="50">
                  <c:v>5.8602987779670137</c:v>
                </c:pt>
                <c:pt idx="51">
                  <c:v>5.9871388591800443</c:v>
                </c:pt>
                <c:pt idx="52">
                  <c:v>6.1160495926643224</c:v>
                </c:pt>
                <c:pt idx="53">
                  <c:v>6.2470527471981425</c:v>
                </c:pt>
                <c:pt idx="54">
                  <c:v>6.3801701795764982</c:v>
                </c:pt>
                <c:pt idx="55">
                  <c:v>6.5154238347897238</c:v>
                </c:pt>
                <c:pt idx="56">
                  <c:v>6.6528357460767671</c:v>
                </c:pt>
                <c:pt idx="57">
                  <c:v>6.7924280351432822</c:v>
                </c:pt>
                <c:pt idx="58">
                  <c:v>6.9342229123897052</c:v>
                </c:pt>
                <c:pt idx="59">
                  <c:v>7.0782426771019722</c:v>
                </c:pt>
                <c:pt idx="60">
                  <c:v>7.2245097178489024</c:v>
                </c:pt>
                <c:pt idx="61">
                  <c:v>7.3730465127103502</c:v>
                </c:pt>
                <c:pt idx="62">
                  <c:v>7.5238756297246789</c:v>
                </c:pt>
                <c:pt idx="63">
                  <c:v>7.6770197272943728</c:v>
                </c:pt>
                <c:pt idx="64">
                  <c:v>7.8324218604236382</c:v>
                </c:pt>
                <c:pt idx="65">
                  <c:v>7.9903439524663922</c:v>
                </c:pt>
                <c:pt idx="66">
                  <c:v>8.1505698531683723</c:v>
                </c:pt>
                <c:pt idx="67">
                  <c:v>8.3132022818456477</c:v>
                </c:pt>
                <c:pt idx="68">
                  <c:v>8.4782643567241394</c:v>
                </c:pt>
                <c:pt idx="69">
                  <c:v>8.6457792899035155</c:v>
                </c:pt>
                <c:pt idx="70">
                  <c:v>8.8157703881778495</c:v>
                </c:pt>
                <c:pt idx="71">
                  <c:v>8.9882610537478094</c:v>
                </c:pt>
                <c:pt idx="72">
                  <c:v>9.1632747851362311</c:v>
                </c:pt>
                <c:pt idx="73">
                  <c:v>9.3408351781147942</c:v>
                </c:pt>
                <c:pt idx="74">
                  <c:v>9.5209659265827469</c:v>
                </c:pt>
                <c:pt idx="75">
                  <c:v>9.7036908236466317</c:v>
                </c:pt>
                <c:pt idx="76">
                  <c:v>9.889033762673316</c:v>
                </c:pt>
                <c:pt idx="77">
                  <c:v>10.077018738400762</c:v>
                </c:pt>
                <c:pt idx="78">
                  <c:v>10.267669848055281</c:v>
                </c:pt>
                <c:pt idx="79">
                  <c:v>10.461011292705777</c:v>
                </c:pt>
                <c:pt idx="80">
                  <c:v>10.65706737848825</c:v>
                </c:pt>
                <c:pt idx="81">
                  <c:v>10.855862517881613</c:v>
                </c:pt>
                <c:pt idx="82">
                  <c:v>11.057421231298767</c:v>
                </c:pt>
                <c:pt idx="83">
                  <c:v>11.261768148424618</c:v>
                </c:pt>
                <c:pt idx="84">
                  <c:v>11.46892800980112</c:v>
                </c:pt>
                <c:pt idx="85">
                  <c:v>11.678925668469054</c:v>
                </c:pt>
                <c:pt idx="86">
                  <c:v>11.891786091679583</c:v>
                </c:pt>
                <c:pt idx="87">
                  <c:v>12.107534362600649</c:v>
                </c:pt>
                <c:pt idx="88">
                  <c:v>12.326195682274205</c:v>
                </c:pt>
                <c:pt idx="89">
                  <c:v>12.547795371500028</c:v>
                </c:pt>
                <c:pt idx="90">
                  <c:v>12.772358872889802</c:v>
                </c:pt>
                <c:pt idx="91">
                  <c:v>12.999911753042955</c:v>
                </c:pt>
                <c:pt idx="92">
                  <c:v>13.230479704752533</c:v>
                </c:pt>
                <c:pt idx="93">
                  <c:v>13.464088549338307</c:v>
                </c:pt>
                <c:pt idx="94">
                  <c:v>13.700764239189271</c:v>
                </c:pt>
                <c:pt idx="95">
                  <c:v>13.940532860287671</c:v>
                </c:pt>
                <c:pt idx="96">
                  <c:v>14.183351703185131</c:v>
                </c:pt>
                <c:pt idx="97">
                  <c:v>14.429453924659507</c:v>
                </c:pt>
                <c:pt idx="98">
                  <c:v>14.678659233038044</c:v>
                </c:pt>
                <c:pt idx="99">
                  <c:v>14.931063208978326</c:v>
                </c:pt>
                <c:pt idx="100">
                  <c:v>15.186692649944018</c:v>
                </c:pt>
                <c:pt idx="101">
                  <c:v>15.445574505341019</c:v>
                </c:pt>
                <c:pt idx="102">
                  <c:v>15.707735880186359</c:v>
                </c:pt>
                <c:pt idx="103">
                  <c:v>15.973204038727578</c:v>
                </c:pt>
                <c:pt idx="104">
                  <c:v>16.242006408537232</c:v>
                </c:pt>
                <c:pt idx="105">
                  <c:v>16.514170584509827</c:v>
                </c:pt>
                <c:pt idx="106">
                  <c:v>16.789724333197771</c:v>
                </c:pt>
                <c:pt idx="107">
                  <c:v>17.06869559729407</c:v>
                </c:pt>
                <c:pt idx="108">
                  <c:v>17.351112500347501</c:v>
                </c:pt>
                <c:pt idx="109">
                  <c:v>17.637003351619452</c:v>
                </c:pt>
                <c:pt idx="110">
                  <c:v>17.926396651249259</c:v>
                </c:pt>
                <c:pt idx="111">
                  <c:v>18.219321095572891</c:v>
                </c:pt>
                <c:pt idx="112">
                  <c:v>18.515805582712161</c:v>
                </c:pt>
                <c:pt idx="113">
                  <c:v>18.815879218407041</c:v>
                </c:pt>
                <c:pt idx="114">
                  <c:v>19.119571322090206</c:v>
                </c:pt>
                <c:pt idx="115">
                  <c:v>19.426911433245074</c:v>
                </c:pt>
                <c:pt idx="116">
                  <c:v>19.737929318057201</c:v>
                </c:pt>
                <c:pt idx="117">
                  <c:v>20.052654976276475</c:v>
                </c:pt>
                <c:pt idx="118">
                  <c:v>20.371118648517893</c:v>
                </c:pt>
                <c:pt idx="119">
                  <c:v>20.693350823792674</c:v>
                </c:pt>
                <c:pt idx="120">
                  <c:v>21.019382247337123</c:v>
                </c:pt>
                <c:pt idx="121">
                  <c:v>21.349243928996074</c:v>
                </c:pt>
                <c:pt idx="122">
                  <c:v>21.682967151690651</c:v>
                </c:pt>
                <c:pt idx="123">
                  <c:v>22.020583480496693</c:v>
                </c:pt>
                <c:pt idx="124">
                  <c:v>22.362124772082222</c:v>
                </c:pt>
                <c:pt idx="125">
                  <c:v>22.707623184526081</c:v>
                </c:pt>
                <c:pt idx="126">
                  <c:v>23.057111187672984</c:v>
                </c:pt>
                <c:pt idx="127">
                  <c:v>23.410621573866361</c:v>
                </c:pt>
                <c:pt idx="128">
                  <c:v>23.768187469338002</c:v>
                </c:pt>
                <c:pt idx="129">
                  <c:v>24.12984234599627</c:v>
                </c:pt>
                <c:pt idx="130">
                  <c:v>24.495620033870402</c:v>
                </c:pt>
                <c:pt idx="131">
                  <c:v>24.865534504483001</c:v>
                </c:pt>
                <c:pt idx="132">
                  <c:v>25.239681032717183</c:v>
                </c:pt>
                <c:pt idx="133">
                  <c:v>25.618033914754317</c:v>
                </c:pt>
                <c:pt idx="134">
                  <c:v>26.000648779532593</c:v>
                </c:pt>
                <c:pt idx="135">
                  <c:v>26.387561456360864</c:v>
                </c:pt>
                <c:pt idx="136">
                  <c:v>26.77880822122118</c:v>
                </c:pt>
                <c:pt idx="137">
                  <c:v>27.174425814219134</c:v>
                </c:pt>
                <c:pt idx="138">
                  <c:v>27.574451458074829</c:v>
                </c:pt>
                <c:pt idx="139">
                  <c:v>27.978922877476542</c:v>
                </c:pt>
                <c:pt idx="140">
                  <c:v>28.387878319565097</c:v>
                </c:pt>
                <c:pt idx="141">
                  <c:v>28.801356575535983</c:v>
                </c:pt>
                <c:pt idx="142">
                  <c:v>29.21966600247509</c:v>
                </c:pt>
                <c:pt idx="143">
                  <c:v>29.644089510561468</c:v>
                </c:pt>
                <c:pt idx="144">
                  <c:v>30.069598596144392</c:v>
                </c:pt>
                <c:pt idx="145">
                  <c:v>30.503380530925153</c:v>
                </c:pt>
                <c:pt idx="146">
                  <c:v>30.937988822707315</c:v>
                </c:pt>
                <c:pt idx="147">
                  <c:v>31.379452087235325</c:v>
                </c:pt>
                <c:pt idx="148">
                  <c:v>31.82572702823888</c:v>
                </c:pt>
                <c:pt idx="149">
                  <c:v>32.276857732169212</c:v>
                </c:pt>
                <c:pt idx="150">
                  <c:v>32.732889090722054</c:v>
                </c:pt>
                <c:pt idx="151">
                  <c:v>33.193866839690045</c:v>
                </c:pt>
                <c:pt idx="152">
                  <c:v>33.659837600410995</c:v>
                </c:pt>
                <c:pt idx="153">
                  <c:v>34.130848923988133</c:v>
                </c:pt>
                <c:pt idx="154">
                  <c:v>34.606949338621241</c:v>
                </c:pt>
                <c:pt idx="155">
                  <c:v>35.088188400233264</c:v>
                </c:pt>
                <c:pt idx="156">
                  <c:v>35.574616746776918</c:v>
                </c:pt>
                <c:pt idx="157">
                  <c:v>36.066286156425733</c:v>
                </c:pt>
                <c:pt idx="158">
                  <c:v>36.563249610200728</c:v>
                </c:pt>
                <c:pt idx="159">
                  <c:v>37.065561359218584</c:v>
                </c:pt>
                <c:pt idx="160">
                  <c:v>37.573276997210179</c:v>
                </c:pt>
                <c:pt idx="161">
                  <c:v>38.086453538633471</c:v>
                </c:pt>
                <c:pt idx="162">
                  <c:v>38.60514950304249</c:v>
                </c:pt>
                <c:pt idx="163">
                  <c:v>39.129425006292543</c:v>
                </c:pt>
                <c:pt idx="164">
                  <c:v>39.659341859162808</c:v>
                </c:pt>
                <c:pt idx="165">
                  <c:v>40.19496367434504</c:v>
                </c:pt>
                <c:pt idx="166">
                  <c:v>40.736355982418857</c:v>
                </c:pt>
                <c:pt idx="167">
                  <c:v>41.283586357901441</c:v>
                </c:pt>
                <c:pt idx="168">
                  <c:v>41.836420633447588</c:v>
                </c:pt>
                <c:pt idx="169">
                  <c:v>42.3958426640854</c:v>
                </c:pt>
                <c:pt idx="170">
                  <c:v>42.961015260630354</c:v>
                </c:pt>
                <c:pt idx="171">
                  <c:v>43.532319597590259</c:v>
                </c:pt>
                <c:pt idx="172">
                  <c:v>44.109835793581581</c:v>
                </c:pt>
                <c:pt idx="173">
                  <c:v>44.693647048409758</c:v>
                </c:pt>
                <c:pt idx="174">
                  <c:v>45.283839878592119</c:v>
                </c:pt>
                <c:pt idx="175">
                  <c:v>45.880504376789766</c:v>
                </c:pt>
                <c:pt idx="176">
                  <c:v>46.483734498420105</c:v>
                </c:pt>
                <c:pt idx="177">
                  <c:v>47.093628379086717</c:v>
                </c:pt>
                <c:pt idx="178">
                  <c:v>47.710288687124077</c:v>
                </c:pt>
                <c:pt idx="179">
                  <c:v>48.333823016385388</c:v>
                </c:pt>
                <c:pt idx="180">
                  <c:v>48.964344325289865</c:v>
                </c:pt>
                <c:pt idx="181">
                  <c:v>49.601909301745991</c:v>
                </c:pt>
                <c:pt idx="182">
                  <c:v>50.246829555681302</c:v>
                </c:pt>
                <c:pt idx="183">
                  <c:v>50.899050970206332</c:v>
                </c:pt>
                <c:pt idx="184">
                  <c:v>51.558775689360345</c:v>
                </c:pt>
                <c:pt idx="185">
                  <c:v>52.226152292085246</c:v>
                </c:pt>
                <c:pt idx="186">
                  <c:v>52.901338850141386</c:v>
                </c:pt>
                <c:pt idx="187">
                  <c:v>53.584503999302882</c:v>
                </c:pt>
                <c:pt idx="188">
                  <c:v>54.275828179093409</c:v>
                </c:pt>
                <c:pt idx="189">
                  <c:v>54.975505075157592</c:v>
                </c:pt>
                <c:pt idx="190">
                  <c:v>55.683743306690538</c:v>
                </c:pt>
                <c:pt idx="191">
                  <c:v>56.400768411846606</c:v>
                </c:pt>
                <c:pt idx="192">
                  <c:v>57.126825197876414</c:v>
                </c:pt>
                <c:pt idx="193">
                  <c:v>57.862180540579779</c:v>
                </c:pt>
                <c:pt idx="194">
                  <c:v>58.607126741337744</c:v>
                </c:pt>
                <c:pt idx="195">
                  <c:v>59.361985581713512</c:v>
                </c:pt>
                <c:pt idx="196">
                  <c:v>60.131197783688393</c:v>
                </c:pt>
                <c:pt idx="197">
                  <c:v>60.94092026147699</c:v>
                </c:pt>
                <c:pt idx="198">
                  <c:v>61.750642739265587</c:v>
                </c:pt>
                <c:pt idx="199">
                  <c:v>62.560365217054184</c:v>
                </c:pt>
                <c:pt idx="200">
                  <c:v>63.37008769484278</c:v>
                </c:pt>
                <c:pt idx="201">
                  <c:v>64.179810172631377</c:v>
                </c:pt>
                <c:pt idx="202">
                  <c:v>64.989532650419974</c:v>
                </c:pt>
                <c:pt idx="203">
                  <c:v>65.817354559425965</c:v>
                </c:pt>
                <c:pt idx="204">
                  <c:v>66.703568505223032</c:v>
                </c:pt>
                <c:pt idx="205">
                  <c:v>67.589782451020099</c:v>
                </c:pt>
                <c:pt idx="206">
                  <c:v>68.475996396817166</c:v>
                </c:pt>
                <c:pt idx="207">
                  <c:v>69.40522495773665</c:v>
                </c:pt>
                <c:pt idx="208">
                  <c:v>70.363800093024707</c:v>
                </c:pt>
                <c:pt idx="209">
                  <c:v>71.322375228312765</c:v>
                </c:pt>
                <c:pt idx="210">
                  <c:v>72.325229642539654</c:v>
                </c:pt>
                <c:pt idx="211">
                  <c:v>73.38015838022605</c:v>
                </c:pt>
                <c:pt idx="212">
                  <c:v>74.43508711791246</c:v>
                </c:pt>
                <c:pt idx="213">
                  <c:v>75.61815476681673</c:v>
                </c:pt>
                <c:pt idx="214">
                  <c:v>76.817922880286346</c:v>
                </c:pt>
                <c:pt idx="215">
                  <c:v>78.254414833855236</c:v>
                </c:pt>
                <c:pt idx="216">
                  <c:v>81.455055721913254</c:v>
                </c:pt>
                <c:pt idx="217">
                  <c:v>81.455055721913254</c:v>
                </c:pt>
                <c:pt idx="218">
                  <c:v>81.455055721913254</c:v>
                </c:pt>
                <c:pt idx="219">
                  <c:v>81.455055721913254</c:v>
                </c:pt>
                <c:pt idx="220">
                  <c:v>81.455055721913254</c:v>
                </c:pt>
                <c:pt idx="221">
                  <c:v>81.455055721913254</c:v>
                </c:pt>
                <c:pt idx="222">
                  <c:v>81.455055721913254</c:v>
                </c:pt>
                <c:pt idx="223">
                  <c:v>81.455055721913254</c:v>
                </c:pt>
                <c:pt idx="224">
                  <c:v>81.455055721913254</c:v>
                </c:pt>
                <c:pt idx="225">
                  <c:v>81.455055721913254</c:v>
                </c:pt>
                <c:pt idx="226">
                  <c:v>81.455055721913254</c:v>
                </c:pt>
                <c:pt idx="227">
                  <c:v>81.455055721913254</c:v>
                </c:pt>
                <c:pt idx="228">
                  <c:v>81.455055721913254</c:v>
                </c:pt>
                <c:pt idx="229">
                  <c:v>81.455055721913254</c:v>
                </c:pt>
                <c:pt idx="230">
                  <c:v>81.455055721913254</c:v>
                </c:pt>
                <c:pt idx="231">
                  <c:v>81.455055721913254</c:v>
                </c:pt>
                <c:pt idx="232">
                  <c:v>81.455055721913254</c:v>
                </c:pt>
                <c:pt idx="233">
                  <c:v>81.455055721913254</c:v>
                </c:pt>
                <c:pt idx="234">
                  <c:v>81.455055721913254</c:v>
                </c:pt>
                <c:pt idx="235">
                  <c:v>81.455055721913254</c:v>
                </c:pt>
                <c:pt idx="236">
                  <c:v>81.455055721913254</c:v>
                </c:pt>
                <c:pt idx="237">
                  <c:v>81.455055721913254</c:v>
                </c:pt>
                <c:pt idx="238">
                  <c:v>81.455055721913254</c:v>
                </c:pt>
                <c:pt idx="239">
                  <c:v>81.455055721913254</c:v>
                </c:pt>
                <c:pt idx="240">
                  <c:v>81.455055721913254</c:v>
                </c:pt>
                <c:pt idx="241">
                  <c:v>81.455055721913254</c:v>
                </c:pt>
                <c:pt idx="242">
                  <c:v>81.455055721913254</c:v>
                </c:pt>
                <c:pt idx="243">
                  <c:v>81.455055721913254</c:v>
                </c:pt>
                <c:pt idx="244">
                  <c:v>81.455055721913254</c:v>
                </c:pt>
                <c:pt idx="245">
                  <c:v>81.455055721913254</c:v>
                </c:pt>
                <c:pt idx="246">
                  <c:v>81.455055721913254</c:v>
                </c:pt>
                <c:pt idx="247">
                  <c:v>81.455055721913254</c:v>
                </c:pt>
                <c:pt idx="248">
                  <c:v>81.455055721913254</c:v>
                </c:pt>
                <c:pt idx="249">
                  <c:v>81.455055721913254</c:v>
                </c:pt>
                <c:pt idx="250">
                  <c:v>81.455055721913254</c:v>
                </c:pt>
                <c:pt idx="251">
                  <c:v>81.455055721913254</c:v>
                </c:pt>
                <c:pt idx="252">
                  <c:v>81.455055721913254</c:v>
                </c:pt>
                <c:pt idx="253">
                  <c:v>81.455055721913254</c:v>
                </c:pt>
                <c:pt idx="254">
                  <c:v>81.455055721913254</c:v>
                </c:pt>
                <c:pt idx="255">
                  <c:v>81.455055721913254</c:v>
                </c:pt>
                <c:pt idx="256">
                  <c:v>81.455055721913254</c:v>
                </c:pt>
                <c:pt idx="257">
                  <c:v>81.455055721913254</c:v>
                </c:pt>
                <c:pt idx="258">
                  <c:v>81.455055721913254</c:v>
                </c:pt>
                <c:pt idx="259">
                  <c:v>81.455055721913254</c:v>
                </c:pt>
                <c:pt idx="260">
                  <c:v>81.455055721913254</c:v>
                </c:pt>
                <c:pt idx="261">
                  <c:v>81.455055721913254</c:v>
                </c:pt>
                <c:pt idx="262">
                  <c:v>81.455055721913254</c:v>
                </c:pt>
                <c:pt idx="263">
                  <c:v>81.455055721913254</c:v>
                </c:pt>
                <c:pt idx="264">
                  <c:v>81.455055721913254</c:v>
                </c:pt>
                <c:pt idx="265">
                  <c:v>81.455055721913254</c:v>
                </c:pt>
                <c:pt idx="266">
                  <c:v>81.455055721913254</c:v>
                </c:pt>
                <c:pt idx="267">
                  <c:v>81.455055721913254</c:v>
                </c:pt>
                <c:pt idx="268">
                  <c:v>81.455055721913254</c:v>
                </c:pt>
                <c:pt idx="269">
                  <c:v>81.455055721913254</c:v>
                </c:pt>
                <c:pt idx="270">
                  <c:v>81.455055721913254</c:v>
                </c:pt>
                <c:pt idx="271">
                  <c:v>81.455055721913254</c:v>
                </c:pt>
                <c:pt idx="272">
                  <c:v>81.455055721913254</c:v>
                </c:pt>
                <c:pt idx="273">
                  <c:v>81.455055721913254</c:v>
                </c:pt>
                <c:pt idx="274">
                  <c:v>81.455055721913254</c:v>
                </c:pt>
                <c:pt idx="275">
                  <c:v>81.455055721913254</c:v>
                </c:pt>
                <c:pt idx="276">
                  <c:v>81.455055721913254</c:v>
                </c:pt>
                <c:pt idx="277">
                  <c:v>81.455055721913254</c:v>
                </c:pt>
                <c:pt idx="278">
                  <c:v>81.455055721913254</c:v>
                </c:pt>
                <c:pt idx="279">
                  <c:v>81.455055721913254</c:v>
                </c:pt>
                <c:pt idx="280">
                  <c:v>81.455055721913254</c:v>
                </c:pt>
                <c:pt idx="281">
                  <c:v>81.455055721913254</c:v>
                </c:pt>
                <c:pt idx="282">
                  <c:v>81.455055721913254</c:v>
                </c:pt>
                <c:pt idx="283">
                  <c:v>81.455055721913254</c:v>
                </c:pt>
                <c:pt idx="284">
                  <c:v>81.455055721913254</c:v>
                </c:pt>
                <c:pt idx="285">
                  <c:v>81.455055721913254</c:v>
                </c:pt>
                <c:pt idx="286">
                  <c:v>81.455055721913254</c:v>
                </c:pt>
                <c:pt idx="287">
                  <c:v>81.455055721913254</c:v>
                </c:pt>
                <c:pt idx="288">
                  <c:v>81.455055721913254</c:v>
                </c:pt>
                <c:pt idx="289">
                  <c:v>81.455055721913254</c:v>
                </c:pt>
                <c:pt idx="290">
                  <c:v>81.455055721913254</c:v>
                </c:pt>
                <c:pt idx="291">
                  <c:v>81.455055721913254</c:v>
                </c:pt>
                <c:pt idx="292">
                  <c:v>81.455055721913254</c:v>
                </c:pt>
                <c:pt idx="293">
                  <c:v>81.455055721913254</c:v>
                </c:pt>
                <c:pt idx="294">
                  <c:v>81.455055721913254</c:v>
                </c:pt>
                <c:pt idx="295">
                  <c:v>81.455055721913254</c:v>
                </c:pt>
                <c:pt idx="296">
                  <c:v>81.455055721913254</c:v>
                </c:pt>
                <c:pt idx="297">
                  <c:v>81.455055721913254</c:v>
                </c:pt>
                <c:pt idx="298">
                  <c:v>81.455055721913254</c:v>
                </c:pt>
                <c:pt idx="299">
                  <c:v>81.455055721913254</c:v>
                </c:pt>
                <c:pt idx="300">
                  <c:v>81.455055721913254</c:v>
                </c:pt>
                <c:pt idx="301">
                  <c:v>81.455055721913254</c:v>
                </c:pt>
                <c:pt idx="302">
                  <c:v>81.455055721913254</c:v>
                </c:pt>
                <c:pt idx="303">
                  <c:v>81.455055721913254</c:v>
                </c:pt>
                <c:pt idx="304">
                  <c:v>81.455055721913254</c:v>
                </c:pt>
                <c:pt idx="305">
                  <c:v>81.455055721913254</c:v>
                </c:pt>
                <c:pt idx="306">
                  <c:v>81.455055721913254</c:v>
                </c:pt>
                <c:pt idx="307">
                  <c:v>81.455055721913254</c:v>
                </c:pt>
                <c:pt idx="308">
                  <c:v>81.455055721913254</c:v>
                </c:pt>
                <c:pt idx="309">
                  <c:v>81.455055721913254</c:v>
                </c:pt>
                <c:pt idx="310">
                  <c:v>81.455055721913254</c:v>
                </c:pt>
                <c:pt idx="311">
                  <c:v>81.455055721913254</c:v>
                </c:pt>
                <c:pt idx="312">
                  <c:v>81.455055721913254</c:v>
                </c:pt>
                <c:pt idx="313">
                  <c:v>81.455055721913254</c:v>
                </c:pt>
                <c:pt idx="314">
                  <c:v>81.455055721913254</c:v>
                </c:pt>
                <c:pt idx="315">
                  <c:v>81.455055721913254</c:v>
                </c:pt>
                <c:pt idx="316">
                  <c:v>81.455055721913254</c:v>
                </c:pt>
                <c:pt idx="317">
                  <c:v>81.455055721913254</c:v>
                </c:pt>
                <c:pt idx="318">
                  <c:v>81.455055721913254</c:v>
                </c:pt>
                <c:pt idx="319">
                  <c:v>81.455055721913254</c:v>
                </c:pt>
                <c:pt idx="320">
                  <c:v>81.455055721913254</c:v>
                </c:pt>
                <c:pt idx="321">
                  <c:v>81.455055721913254</c:v>
                </c:pt>
                <c:pt idx="322">
                  <c:v>81.455055721913254</c:v>
                </c:pt>
                <c:pt idx="323">
                  <c:v>81.455055721913254</c:v>
                </c:pt>
                <c:pt idx="324">
                  <c:v>81.455055721913254</c:v>
                </c:pt>
                <c:pt idx="325">
                  <c:v>81.455055721913254</c:v>
                </c:pt>
                <c:pt idx="326">
                  <c:v>81.455055721913254</c:v>
                </c:pt>
                <c:pt idx="327">
                  <c:v>81.455055721913254</c:v>
                </c:pt>
                <c:pt idx="328">
                  <c:v>81.455055721913254</c:v>
                </c:pt>
                <c:pt idx="329">
                  <c:v>81.455055721913254</c:v>
                </c:pt>
                <c:pt idx="330">
                  <c:v>81.455055721913254</c:v>
                </c:pt>
                <c:pt idx="331">
                  <c:v>81.455055721913254</c:v>
                </c:pt>
                <c:pt idx="332">
                  <c:v>81.455055721913254</c:v>
                </c:pt>
                <c:pt idx="333">
                  <c:v>81.455055721913254</c:v>
                </c:pt>
                <c:pt idx="334">
                  <c:v>81.455055721913254</c:v>
                </c:pt>
                <c:pt idx="335">
                  <c:v>81.455055721913254</c:v>
                </c:pt>
                <c:pt idx="336">
                  <c:v>81.455055721913254</c:v>
                </c:pt>
                <c:pt idx="337">
                  <c:v>81.455055721913254</c:v>
                </c:pt>
                <c:pt idx="338">
                  <c:v>81.455055721913254</c:v>
                </c:pt>
                <c:pt idx="339">
                  <c:v>81.455055721913254</c:v>
                </c:pt>
                <c:pt idx="340">
                  <c:v>81.455055721913254</c:v>
                </c:pt>
                <c:pt idx="341">
                  <c:v>81.455055721913254</c:v>
                </c:pt>
                <c:pt idx="342">
                  <c:v>81.455055721913254</c:v>
                </c:pt>
                <c:pt idx="343">
                  <c:v>81.455055721913254</c:v>
                </c:pt>
                <c:pt idx="344">
                  <c:v>81.455055721913254</c:v>
                </c:pt>
                <c:pt idx="345">
                  <c:v>81.455055721913254</c:v>
                </c:pt>
                <c:pt idx="346">
                  <c:v>81.455055721913254</c:v>
                </c:pt>
                <c:pt idx="347">
                  <c:v>81.455055721913254</c:v>
                </c:pt>
                <c:pt idx="348">
                  <c:v>81.455055721913254</c:v>
                </c:pt>
                <c:pt idx="349">
                  <c:v>81.455055721913254</c:v>
                </c:pt>
                <c:pt idx="350">
                  <c:v>81.455055721913254</c:v>
                </c:pt>
                <c:pt idx="351">
                  <c:v>81.455055721913254</c:v>
                </c:pt>
                <c:pt idx="352">
                  <c:v>81.455055721913254</c:v>
                </c:pt>
                <c:pt idx="353">
                  <c:v>81.455055721913254</c:v>
                </c:pt>
                <c:pt idx="354">
                  <c:v>81.455055721913254</c:v>
                </c:pt>
                <c:pt idx="355">
                  <c:v>81.455055721913254</c:v>
                </c:pt>
                <c:pt idx="356">
                  <c:v>81.455055721913254</c:v>
                </c:pt>
                <c:pt idx="357">
                  <c:v>81.455055721913254</c:v>
                </c:pt>
                <c:pt idx="358">
                  <c:v>81.455055721913254</c:v>
                </c:pt>
                <c:pt idx="359">
                  <c:v>81.455055721913254</c:v>
                </c:pt>
                <c:pt idx="360">
                  <c:v>81.455055721913254</c:v>
                </c:pt>
                <c:pt idx="361">
                  <c:v>81.455055721913254</c:v>
                </c:pt>
                <c:pt idx="362">
                  <c:v>81.455055721913254</c:v>
                </c:pt>
                <c:pt idx="363">
                  <c:v>81.455055721913254</c:v>
                </c:pt>
                <c:pt idx="364">
                  <c:v>81.455055721913254</c:v>
                </c:pt>
                <c:pt idx="365">
                  <c:v>81.455055721913254</c:v>
                </c:pt>
                <c:pt idx="366">
                  <c:v>81.455055721913254</c:v>
                </c:pt>
                <c:pt idx="367">
                  <c:v>81.455055721913254</c:v>
                </c:pt>
                <c:pt idx="368">
                  <c:v>81.455055721913254</c:v>
                </c:pt>
                <c:pt idx="369">
                  <c:v>81.455055721913254</c:v>
                </c:pt>
                <c:pt idx="370">
                  <c:v>81.455055721913254</c:v>
                </c:pt>
                <c:pt idx="371">
                  <c:v>81.455055721913254</c:v>
                </c:pt>
                <c:pt idx="372">
                  <c:v>81.455055721913254</c:v>
                </c:pt>
                <c:pt idx="373">
                  <c:v>81.455055721913254</c:v>
                </c:pt>
                <c:pt idx="374">
                  <c:v>81.455055721913254</c:v>
                </c:pt>
                <c:pt idx="375">
                  <c:v>81.455055721913254</c:v>
                </c:pt>
                <c:pt idx="376">
                  <c:v>81.455055721913254</c:v>
                </c:pt>
                <c:pt idx="377">
                  <c:v>81.455055721913254</c:v>
                </c:pt>
                <c:pt idx="378">
                  <c:v>81.455055721913254</c:v>
                </c:pt>
                <c:pt idx="379">
                  <c:v>81.455055721913254</c:v>
                </c:pt>
                <c:pt idx="380">
                  <c:v>81.455055721913254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7-47FC-8DC3-5ACFE91589D0}"/>
            </c:ext>
          </c:extLst>
        </c:ser>
        <c:ser>
          <c:idx val="1"/>
          <c:order val="1"/>
          <c:tx>
            <c:strRef>
              <c:f>Diagrammdaten!$H$7</c:f>
              <c:strCache>
                <c:ptCount val="1"/>
                <c:pt idx="0">
                  <c:v>zweiphasig [bar]</c:v>
                </c:pt>
              </c:strCache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Diagrammdaten!$H$8:$H$388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45.722748286743055</c:v>
                </c:pt>
                <c:pt idx="48">
                  <c:v>45.306270291151449</c:v>
                </c:pt>
                <c:pt idx="49">
                  <c:v>44.898235173784293</c:v>
                </c:pt>
                <c:pt idx="50">
                  <c:v>44.498393260020549</c:v>
                </c:pt>
                <c:pt idx="51">
                  <c:v>44.106503675875182</c:v>
                </c:pt>
                <c:pt idx="52">
                  <c:v>43.722333963520306</c:v>
                </c:pt>
                <c:pt idx="53">
                  <c:v>43.345659478670214</c:v>
                </c:pt>
                <c:pt idx="54">
                  <c:v>42.976262222351501</c:v>
                </c:pt>
                <c:pt idx="55">
                  <c:v>42.6139365062973</c:v>
                </c:pt>
                <c:pt idx="56">
                  <c:v>42.25847791084562</c:v>
                </c:pt>
                <c:pt idx="57">
                  <c:v>41.909690947254987</c:v>
                </c:pt>
                <c:pt idx="58">
                  <c:v>41.567386607581334</c:v>
                </c:pt>
                <c:pt idx="59">
                  <c:v>41.231141055279281</c:v>
                </c:pt>
                <c:pt idx="60">
                  <c:v>40.901500569575866</c:v>
                </c:pt>
                <c:pt idx="61">
                  <c:v>40.577570899131587</c:v>
                </c:pt>
                <c:pt idx="62">
                  <c:v>40.25942743081113</c:v>
                </c:pt>
                <c:pt idx="63">
                  <c:v>39.946909766333974</c:v>
                </c:pt>
                <c:pt idx="64">
                  <c:v>39.639942244418144</c:v>
                </c:pt>
                <c:pt idx="65">
                  <c:v>39.33813526683506</c:v>
                </c:pt>
                <c:pt idx="66">
                  <c:v>39.04158204727181</c:v>
                </c:pt>
                <c:pt idx="67">
                  <c:v>38.750061483626425</c:v>
                </c:pt>
                <c:pt idx="68">
                  <c:v>38.463436452320316</c:v>
                </c:pt>
                <c:pt idx="69">
                  <c:v>38.181573944657551</c:v>
                </c:pt>
                <c:pt idx="70">
                  <c:v>37.904344904643793</c:v>
                </c:pt>
                <c:pt idx="71">
                  <c:v>37.631624073852237</c:v>
                </c:pt>
                <c:pt idx="72">
                  <c:v>37.36328984263298</c:v>
                </c:pt>
                <c:pt idx="73">
                  <c:v>37.099224107551983</c:v>
                </c:pt>
                <c:pt idx="74">
                  <c:v>36.839312134809603</c:v>
                </c:pt>
                <c:pt idx="75">
                  <c:v>36.583442429088898</c:v>
                </c:pt>
                <c:pt idx="76">
                  <c:v>36.331506607769825</c:v>
                </c:pt>
                <c:pt idx="77">
                  <c:v>36.083399280192502</c:v>
                </c:pt>
                <c:pt idx="78">
                  <c:v>35.839017931772077</c:v>
                </c:pt>
                <c:pt idx="79">
                  <c:v>35.598262812509311</c:v>
                </c:pt>
                <c:pt idx="80">
                  <c:v>35.361036830034898</c:v>
                </c:pt>
                <c:pt idx="81">
                  <c:v>35.127245446821036</c:v>
                </c:pt>
                <c:pt idx="82">
                  <c:v>34.896796581102883</c:v>
                </c:pt>
                <c:pt idx="83">
                  <c:v>34.669600511912378</c:v>
                </c:pt>
                <c:pt idx="84">
                  <c:v>34.445569787533124</c:v>
                </c:pt>
                <c:pt idx="85">
                  <c:v>34.224619137410848</c:v>
                </c:pt>
                <c:pt idx="86">
                  <c:v>34.006665387376245</c:v>
                </c:pt>
                <c:pt idx="87">
                  <c:v>33.791627378081984</c:v>
                </c:pt>
                <c:pt idx="88">
                  <c:v>33.579425886285762</c:v>
                </c:pt>
                <c:pt idx="89">
                  <c:v>33.369983549139207</c:v>
                </c:pt>
                <c:pt idx="90">
                  <c:v>33.163224791116974</c:v>
                </c:pt>
                <c:pt idx="91">
                  <c:v>32.959075753560001</c:v>
                </c:pt>
                <c:pt idx="92">
                  <c:v>32.757464226709367</c:v>
                </c:pt>
                <c:pt idx="93">
                  <c:v>32.558319584086718</c:v>
                </c:pt>
                <c:pt idx="94">
                  <c:v>32.361572719033006</c:v>
                </c:pt>
                <c:pt idx="95">
                  <c:v>32.167155983437041</c:v>
                </c:pt>
                <c:pt idx="96">
                  <c:v>31.975072060162574</c:v>
                </c:pt>
                <c:pt idx="97">
                  <c:v>31.785049246815383</c:v>
                </c:pt>
                <c:pt idx="98">
                  <c:v>31.597230717687562</c:v>
                </c:pt>
                <c:pt idx="99">
                  <c:v>31.411485152131501</c:v>
                </c:pt>
                <c:pt idx="100">
                  <c:v>31.22775134086918</c:v>
                </c:pt>
                <c:pt idx="101">
                  <c:v>31.045969203280194</c:v>
                </c:pt>
                <c:pt idx="102">
                  <c:v>30.866079737680554</c:v>
                </c:pt>
                <c:pt idx="103">
                  <c:v>30.688024973069787</c:v>
                </c:pt>
                <c:pt idx="104">
                  <c:v>30.511747837508988</c:v>
                </c:pt>
                <c:pt idx="105">
                  <c:v>30.337191814848332</c:v>
                </c:pt>
                <c:pt idx="106">
                  <c:v>30.164302996482316</c:v>
                </c:pt>
                <c:pt idx="107">
                  <c:v>29.993024995588339</c:v>
                </c:pt>
                <c:pt idx="108">
                  <c:v>29.823308954804144</c:v>
                </c:pt>
                <c:pt idx="109">
                  <c:v>29.65509689830397</c:v>
                </c:pt>
                <c:pt idx="110">
                  <c:v>29.488338763241014</c:v>
                </c:pt>
                <c:pt idx="111">
                  <c:v>29.322983206880078</c:v>
                </c:pt>
                <c:pt idx="112">
                  <c:v>29.158979519316084</c:v>
                </c:pt>
                <c:pt idx="113">
                  <c:v>28.996277459847995</c:v>
                </c:pt>
                <c:pt idx="114">
                  <c:v>28.834826720754894</c:v>
                </c:pt>
                <c:pt idx="115">
                  <c:v>28.674580252176824</c:v>
                </c:pt>
                <c:pt idx="116">
                  <c:v>28.515488540561048</c:v>
                </c:pt>
                <c:pt idx="117">
                  <c:v>28.357504110865033</c:v>
                </c:pt>
                <c:pt idx="118">
                  <c:v>28.20057764630419</c:v>
                </c:pt>
                <c:pt idx="119">
                  <c:v>28.044662753537356</c:v>
                </c:pt>
                <c:pt idx="120">
                  <c:v>27.889712345938602</c:v>
                </c:pt>
                <c:pt idx="121">
                  <c:v>27.7356797829489</c:v>
                </c:pt>
                <c:pt idx="122">
                  <c:v>27.582518633945266</c:v>
                </c:pt>
                <c:pt idx="123">
                  <c:v>27.430182685894895</c:v>
                </c:pt>
                <c:pt idx="124">
                  <c:v>27.278625924175163</c:v>
                </c:pt>
                <c:pt idx="125">
                  <c:v>27.127802485424557</c:v>
                </c:pt>
                <c:pt idx="126">
                  <c:v>26.977666626624814</c:v>
                </c:pt>
                <c:pt idx="127">
                  <c:v>26.828172689814085</c:v>
                </c:pt>
                <c:pt idx="128">
                  <c:v>26.679275067686859</c:v>
                </c:pt>
                <c:pt idx="129">
                  <c:v>26.530928169258171</c:v>
                </c:pt>
                <c:pt idx="130">
                  <c:v>26.383086385531215</c:v>
                </c:pt>
                <c:pt idx="131">
                  <c:v>26.235724284797229</c:v>
                </c:pt>
                <c:pt idx="132">
                  <c:v>26.088735429977124</c:v>
                </c:pt>
                <c:pt idx="133">
                  <c:v>25.942134640404841</c:v>
                </c:pt>
                <c:pt idx="134">
                  <c:v>25.795855660508817</c:v>
                </c:pt>
                <c:pt idx="135">
                  <c:v>25.649852272701452</c:v>
                </c:pt>
                <c:pt idx="136">
                  <c:v>25.504078031716734</c:v>
                </c:pt>
                <c:pt idx="137">
                  <c:v>25.358486228024951</c:v>
                </c:pt>
                <c:pt idx="138">
                  <c:v>25.213029850092948</c:v>
                </c:pt>
                <c:pt idx="139">
                  <c:v>25.067661545601041</c:v>
                </c:pt>
                <c:pt idx="140">
                  <c:v>24.922333581097384</c:v>
                </c:pt>
                <c:pt idx="141">
                  <c:v>24.776997799896648</c:v>
                </c:pt>
                <c:pt idx="142">
                  <c:v>24.631336578838134</c:v>
                </c:pt>
                <c:pt idx="143">
                  <c:v>24.484057818450818</c:v>
                </c:pt>
                <c:pt idx="144">
                  <c:v>24.339976664075426</c:v>
                </c:pt>
                <c:pt idx="145">
                  <c:v>24.192509398302992</c:v>
                </c:pt>
                <c:pt idx="146">
                  <c:v>24.048480736166471</c:v>
                </c:pt>
                <c:pt idx="147">
                  <c:v>23.902057137392948</c:v>
                </c:pt>
                <c:pt idx="148">
                  <c:v>23.755272683840936</c:v>
                </c:pt>
                <c:pt idx="149">
                  <c:v>23.608073967583614</c:v>
                </c:pt>
                <c:pt idx="150">
                  <c:v>23.460406625214745</c:v>
                </c:pt>
                <c:pt idx="151">
                  <c:v>23.312215250677021</c:v>
                </c:pt>
                <c:pt idx="152">
                  <c:v>23.163443299727874</c:v>
                </c:pt>
                <c:pt idx="153">
                  <c:v>23.014032985302606</c:v>
                </c:pt>
                <c:pt idx="154">
                  <c:v>22.86392516272636</c:v>
                </c:pt>
                <c:pt idx="155">
                  <c:v>22.713059204025228</c:v>
                </c:pt>
                <c:pt idx="156">
                  <c:v>22.561372860469525</c:v>
                </c:pt>
                <c:pt idx="157">
                  <c:v>22.408802112505327</c:v>
                </c:pt>
                <c:pt idx="158">
                  <c:v>22.255281006314725</c:v>
                </c:pt>
                <c:pt idx="159">
                  <c:v>22.100741476466304</c:v>
                </c:pt>
                <c:pt idx="160">
                  <c:v>21.945113153903144</c:v>
                </c:pt>
                <c:pt idx="161">
                  <c:v>21.788323159090801</c:v>
                </c:pt>
                <c:pt idx="162">
                  <c:v>21.630295879975947</c:v>
                </c:pt>
                <c:pt idx="163">
                  <c:v>21.470952734567852</c:v>
                </c:pt>
                <c:pt idx="164">
                  <c:v>21.310211918655718</c:v>
                </c:pt>
                <c:pt idx="165">
                  <c:v>21.147988138551462</c:v>
                </c:pt>
                <c:pt idx="166">
                  <c:v>20.984192329795583</c:v>
                </c:pt>
                <c:pt idx="167">
                  <c:v>20.818731362358008</c:v>
                </c:pt>
                <c:pt idx="168">
                  <c:v>20.651811656141327</c:v>
                </c:pt>
                <c:pt idx="169">
                  <c:v>20.482419247103287</c:v>
                </c:pt>
                <c:pt idx="170">
                  <c:v>20.311161067758604</c:v>
                </c:pt>
                <c:pt idx="171">
                  <c:v>20.138213473714643</c:v>
                </c:pt>
                <c:pt idx="172">
                  <c:v>19.962865316287264</c:v>
                </c:pt>
                <c:pt idx="173">
                  <c:v>19.785189851884226</c:v>
                </c:pt>
                <c:pt idx="174">
                  <c:v>19.605056274126355</c:v>
                </c:pt>
                <c:pt idx="175">
                  <c:v>19.422326947044688</c:v>
                </c:pt>
                <c:pt idx="176">
                  <c:v>19.236856999637254</c:v>
                </c:pt>
                <c:pt idx="177">
                  <c:v>19.048493893594831</c:v>
                </c:pt>
                <c:pt idx="178">
                  <c:v>18.857076953167322</c:v>
                </c:pt>
                <c:pt idx="179">
                  <c:v>18.662436841669852</c:v>
                </c:pt>
                <c:pt idx="180">
                  <c:v>18.464394963440107</c:v>
                </c:pt>
                <c:pt idx="181">
                  <c:v>18.262824890968815</c:v>
                </c:pt>
                <c:pt idx="182">
                  <c:v>18.057340887726184</c:v>
                </c:pt>
                <c:pt idx="183">
                  <c:v>17.847918159776697</c:v>
                </c:pt>
                <c:pt idx="184">
                  <c:v>17.634270313168798</c:v>
                </c:pt>
                <c:pt idx="185">
                  <c:v>17.416158411818969</c:v>
                </c:pt>
                <c:pt idx="186">
                  <c:v>17.193326871870781</c:v>
                </c:pt>
                <c:pt idx="187">
                  <c:v>16.965496087201018</c:v>
                </c:pt>
                <c:pt idx="188">
                  <c:v>16.732383826169155</c:v>
                </c:pt>
                <c:pt idx="189">
                  <c:v>16.493652415254395</c:v>
                </c:pt>
                <c:pt idx="190">
                  <c:v>16.248952980994012</c:v>
                </c:pt>
                <c:pt idx="191">
                  <c:v>15.997895168462172</c:v>
                </c:pt>
                <c:pt idx="192">
                  <c:v>15.740045012259728</c:v>
                </c:pt>
                <c:pt idx="193">
                  <c:v>15.474916485412827</c:v>
                </c:pt>
                <c:pt idx="194">
                  <c:v>15.202028549938014</c:v>
                </c:pt>
                <c:pt idx="195">
                  <c:v>14.921069231022145</c:v>
                </c:pt>
                <c:pt idx="196">
                  <c:v>14.62589851865242</c:v>
                </c:pt>
                <c:pt idx="197">
                  <c:v>14.291299425644738</c:v>
                </c:pt>
                <c:pt idx="198">
                  <c:v>13.956700332637055</c:v>
                </c:pt>
                <c:pt idx="199">
                  <c:v>13.622101239629387</c:v>
                </c:pt>
                <c:pt idx="200">
                  <c:v>13.280763404159487</c:v>
                </c:pt>
                <c:pt idx="201">
                  <c:v>12.928686063309783</c:v>
                </c:pt>
                <c:pt idx="202">
                  <c:v>12.576608722460065</c:v>
                </c:pt>
                <c:pt idx="203">
                  <c:v>12.206431950392968</c:v>
                </c:pt>
                <c:pt idx="204">
                  <c:v>11.777863141534795</c:v>
                </c:pt>
                <c:pt idx="205">
                  <c:v>11.349294332676607</c:v>
                </c:pt>
                <c:pt idx="206">
                  <c:v>10.920725523818433</c:v>
                </c:pt>
                <c:pt idx="207">
                  <c:v>10.449142099837843</c:v>
                </c:pt>
                <c:pt idx="208">
                  <c:v>9.8918304676368791</c:v>
                </c:pt>
                <c:pt idx="209">
                  <c:v>9.3330379831599544</c:v>
                </c:pt>
                <c:pt idx="210">
                  <c:v>8.7299662197441847</c:v>
                </c:pt>
                <c:pt idx="211">
                  <c:v>8.0059258842833714</c:v>
                </c:pt>
                <c:pt idx="212">
                  <c:v>7.2811354116850566</c:v>
                </c:pt>
                <c:pt idx="213">
                  <c:v>6.3423787961515785</c:v>
                </c:pt>
                <c:pt idx="214">
                  <c:v>5.334659025849902</c:v>
                </c:pt>
                <c:pt idx="215">
                  <c:v>3.8451784074934778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7-47FC-8DC3-5ACFE91589D0}"/>
            </c:ext>
          </c:extLst>
        </c:ser>
        <c:ser>
          <c:idx val="2"/>
          <c:order val="2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Diagrammdaten!$E$8:$E$388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-43.321938775399936</c:v>
                </c:pt>
                <c:pt idx="48">
                  <c:v>-19.573657769234739</c:v>
                </c:pt>
                <c:pt idx="49">
                  <c:v>4.2776478480946309</c:v>
                </c:pt>
                <c:pt idx="50">
                  <c:v>28.232206246358245</c:v>
                </c:pt>
                <c:pt idx="51">
                  <c:v>52.290236706728436</c:v>
                </c:pt>
                <c:pt idx="52">
                  <c:v>76.451950006248808</c:v>
                </c:pt>
                <c:pt idx="53">
                  <c:v>100.71754902042227</c:v>
                </c:pt>
                <c:pt idx="54">
                  <c:v>125.08722989143178</c:v>
                </c:pt>
                <c:pt idx="55">
                  <c:v>149.56117636254928</c:v>
                </c:pt>
                <c:pt idx="56">
                  <c:v>174.13957082020011</c:v>
                </c:pt>
                <c:pt idx="57">
                  <c:v>198.82258663142241</c:v>
                </c:pt>
                <c:pt idx="58">
                  <c:v>201.49839048002895</c:v>
                </c:pt>
                <c:pt idx="59">
                  <c:v>201.69061626761874</c:v>
                </c:pt>
                <c:pt idx="60">
                  <c:v>201.87398971257522</c:v>
                </c:pt>
                <c:pt idx="61">
                  <c:v>202.04938258815807</c:v>
                </c:pt>
                <c:pt idx="62">
                  <c:v>202.21669693946419</c:v>
                </c:pt>
                <c:pt idx="63">
                  <c:v>202.37607050637166</c:v>
                </c:pt>
                <c:pt idx="64">
                  <c:v>202.52763589515823</c:v>
                </c:pt>
                <c:pt idx="65">
                  <c:v>202.67152078069856</c:v>
                </c:pt>
                <c:pt idx="66">
                  <c:v>202.80784809955981</c:v>
                </c:pt>
                <c:pt idx="67">
                  <c:v>202.93673623452793</c:v>
                </c:pt>
                <c:pt idx="68">
                  <c:v>203.05829919095555</c:v>
                </c:pt>
                <c:pt idx="69">
                  <c:v>203.17264676543894</c:v>
                </c:pt>
                <c:pt idx="70">
                  <c:v>203.27988470717835</c:v>
                </c:pt>
                <c:pt idx="71">
                  <c:v>203.38011487239996</c:v>
                </c:pt>
                <c:pt idx="72">
                  <c:v>203.4734353722308</c:v>
                </c:pt>
                <c:pt idx="73">
                  <c:v>203.55994071433321</c:v>
                </c:pt>
                <c:pt idx="74">
                  <c:v>203.63972193860764</c:v>
                </c:pt>
                <c:pt idx="75">
                  <c:v>203.71286674726446</c:v>
                </c:pt>
                <c:pt idx="76">
                  <c:v>203.77945962955687</c:v>
                </c:pt>
                <c:pt idx="77">
                  <c:v>203.83958198140675</c:v>
                </c:pt>
                <c:pt idx="78">
                  <c:v>203.89331222017265</c:v>
                </c:pt>
                <c:pt idx="79">
                  <c:v>203.94072589478492</c:v>
                </c:pt>
                <c:pt idx="80">
                  <c:v>203.98189579147686</c:v>
                </c:pt>
                <c:pt idx="81">
                  <c:v>204.01689203529736</c:v>
                </c:pt>
                <c:pt idx="82">
                  <c:v>204.04578218759835</c:v>
                </c:pt>
                <c:pt idx="83">
                  <c:v>204.068631339663</c:v>
                </c:pt>
                <c:pt idx="84">
                  <c:v>204.08550220266577</c:v>
                </c:pt>
                <c:pt idx="85">
                  <c:v>204.0964551941201</c:v>
                </c:pt>
                <c:pt idx="86">
                  <c:v>204.10154852094416</c:v>
                </c:pt>
                <c:pt idx="87">
                  <c:v>204.10083825931736</c:v>
                </c:pt>
                <c:pt idx="88">
                  <c:v>204.09437843144002</c:v>
                </c:pt>
                <c:pt idx="89">
                  <c:v>204.08222107936075</c:v>
                </c:pt>
                <c:pt idx="90">
                  <c:v>204.06441633599323</c:v>
                </c:pt>
                <c:pt idx="91">
                  <c:v>204.04101249339703</c:v>
                </c:pt>
                <c:pt idx="92">
                  <c:v>204.0120560685381</c:v>
                </c:pt>
                <c:pt idx="93">
                  <c:v>203.97759186657498</c:v>
                </c:pt>
                <c:pt idx="94">
                  <c:v>203.93766304177774</c:v>
                </c:pt>
                <c:pt idx="95">
                  <c:v>203.8923111562753</c:v>
                </c:pt>
                <c:pt idx="96">
                  <c:v>203.84157623665229</c:v>
                </c:pt>
                <c:pt idx="97">
                  <c:v>203.78549682852511</c:v>
                </c:pt>
                <c:pt idx="98">
                  <c:v>203.7241100492744</c:v>
                </c:pt>
                <c:pt idx="99">
                  <c:v>203.65745163889017</c:v>
                </c:pt>
                <c:pt idx="100">
                  <c:v>203.5855560091868</c:v>
                </c:pt>
                <c:pt idx="101">
                  <c:v>203.50845629137879</c:v>
                </c:pt>
                <c:pt idx="102">
                  <c:v>203.4261843821331</c:v>
                </c:pt>
                <c:pt idx="103">
                  <c:v>203.33877098820264</c:v>
                </c:pt>
                <c:pt idx="104">
                  <c:v>203.24624575395379</c:v>
                </c:pt>
                <c:pt idx="105">
                  <c:v>203.14863760064185</c:v>
                </c:pt>
                <c:pt idx="106">
                  <c:v>203.04597267031991</c:v>
                </c:pt>
                <c:pt idx="107">
                  <c:v>202.93827940711759</c:v>
                </c:pt>
                <c:pt idx="108">
                  <c:v>202.82557854484836</c:v>
                </c:pt>
                <c:pt idx="109">
                  <c:v>202.70789975007659</c:v>
                </c:pt>
                <c:pt idx="110">
                  <c:v>202.58526458550972</c:v>
                </c:pt>
                <c:pt idx="111">
                  <c:v>202.45769569754702</c:v>
                </c:pt>
                <c:pt idx="112">
                  <c:v>202.32521489797176</c:v>
                </c:pt>
                <c:pt idx="113">
                  <c:v>202.18784332174496</c:v>
                </c:pt>
                <c:pt idx="114">
                  <c:v>202.0456019571549</c:v>
                </c:pt>
                <c:pt idx="115">
                  <c:v>201.89850831457809</c:v>
                </c:pt>
                <c:pt idx="116">
                  <c:v>201.74658214138174</c:v>
                </c:pt>
                <c:pt idx="117">
                  <c:v>201.58984091285851</c:v>
                </c:pt>
                <c:pt idx="118">
                  <c:v>201.42830370517791</c:v>
                </c:pt>
                <c:pt idx="119">
                  <c:v>201.26198642266996</c:v>
                </c:pt>
                <c:pt idx="120">
                  <c:v>201.09090540672429</c:v>
                </c:pt>
                <c:pt idx="121">
                  <c:v>200.91507628805502</c:v>
                </c:pt>
                <c:pt idx="122">
                  <c:v>200.73451421436408</c:v>
                </c:pt>
                <c:pt idx="123">
                  <c:v>200.54923383360841</c:v>
                </c:pt>
                <c:pt idx="124">
                  <c:v>200.35924930374262</c:v>
                </c:pt>
                <c:pt idx="125">
                  <c:v>200.16457433004936</c:v>
                </c:pt>
                <c:pt idx="126">
                  <c:v>199.9652221857022</c:v>
                </c:pt>
                <c:pt idx="127">
                  <c:v>199.76120573631954</c:v>
                </c:pt>
                <c:pt idx="128">
                  <c:v>199.55253746297512</c:v>
                </c:pt>
                <c:pt idx="129">
                  <c:v>199.33922948474554</c:v>
                </c:pt>
                <c:pt idx="130">
                  <c:v>199.12129358059838</c:v>
                </c:pt>
                <c:pt idx="131">
                  <c:v>198.89874121071978</c:v>
                </c:pt>
                <c:pt idx="132">
                  <c:v>198.67158353730571</c:v>
                </c:pt>
                <c:pt idx="133">
                  <c:v>198.43983144484085</c:v>
                </c:pt>
                <c:pt idx="134">
                  <c:v>198.20349555995858</c:v>
                </c:pt>
                <c:pt idx="135">
                  <c:v>197.96258627093769</c:v>
                </c:pt>
                <c:pt idx="136">
                  <c:v>197.71711374706209</c:v>
                </c:pt>
                <c:pt idx="137">
                  <c:v>197.46708795775592</c:v>
                </c:pt>
                <c:pt idx="138">
                  <c:v>197.21251869183223</c:v>
                </c:pt>
                <c:pt idx="139">
                  <c:v>196.95341557692242</c:v>
                </c:pt>
                <c:pt idx="140">
                  <c:v>196.68978809933753</c:v>
                </c:pt>
                <c:pt idx="141">
                  <c:v>196.42164562456736</c:v>
                </c:pt>
                <c:pt idx="142">
                  <c:v>196.14899741868678</c:v>
                </c:pt>
                <c:pt idx="143">
                  <c:v>195.87185267098772</c:v>
                </c:pt>
                <c:pt idx="144">
                  <c:v>195.59042473978019</c:v>
                </c:pt>
                <c:pt idx="145">
                  <c:v>195.30411007077186</c:v>
                </c:pt>
                <c:pt idx="146">
                  <c:v>195.01353044112622</c:v>
                </c:pt>
                <c:pt idx="147">
                  <c:v>194.71849077537172</c:v>
                </c:pt>
                <c:pt idx="148">
                  <c:v>194.4190002879202</c:v>
                </c:pt>
                <c:pt idx="149">
                  <c:v>194.11506830024717</c:v>
                </c:pt>
                <c:pt idx="150">
                  <c:v>193.80670428406319</c:v>
                </c:pt>
                <c:pt idx="151">
                  <c:v>193.49391790963293</c:v>
                </c:pt>
                <c:pt idx="152">
                  <c:v>193.17671909986115</c:v>
                </c:pt>
                <c:pt idx="153">
                  <c:v>192.85511809070925</c:v>
                </c:pt>
                <c:pt idx="154">
                  <c:v>192.52912549865241</c:v>
                </c:pt>
                <c:pt idx="155">
                  <c:v>192.19875239574151</c:v>
                </c:pt>
                <c:pt idx="156">
                  <c:v>191.86401039275356</c:v>
                </c:pt>
                <c:pt idx="157">
                  <c:v>191.52491173106893</c:v>
                </c:pt>
                <c:pt idx="158">
                  <c:v>191.18146938348454</c:v>
                </c:pt>
                <c:pt idx="159">
                  <c:v>190.83369716431511</c:v>
                </c:pt>
                <c:pt idx="160">
                  <c:v>190.48160984888668</c:v>
                </c:pt>
                <c:pt idx="161">
                  <c:v>190.12522330227574</c:v>
                </c:pt>
                <c:pt idx="162">
                  <c:v>189.76455461698157</c:v>
                </c:pt>
                <c:pt idx="163">
                  <c:v>189.39962225913962</c:v>
                </c:pt>
                <c:pt idx="164">
                  <c:v>189.03044622218147</c:v>
                </c:pt>
                <c:pt idx="165">
                  <c:v>188.6570481871035</c:v>
                </c:pt>
                <c:pt idx="166">
                  <c:v>188.27945168778555</c:v>
                </c:pt>
                <c:pt idx="167">
                  <c:v>187.89768227974054</c:v>
                </c:pt>
                <c:pt idx="168">
                  <c:v>187.51176771041108</c:v>
                </c:pt>
                <c:pt idx="169">
                  <c:v>187.1217380888113</c:v>
                </c:pt>
                <c:pt idx="170">
                  <c:v>186.72782367161105</c:v>
                </c:pt>
                <c:pt idx="171">
                  <c:v>186.3294669286951</c:v>
                </c:pt>
                <c:pt idx="172">
                  <c:v>185.92729889013117</c:v>
                </c:pt>
                <c:pt idx="173">
                  <c:v>185.52116309970603</c:v>
                </c:pt>
                <c:pt idx="174">
                  <c:v>185.11110384728153</c:v>
                </c:pt>
                <c:pt idx="175">
                  <c:v>184.69716867616555</c:v>
                </c:pt>
                <c:pt idx="176">
                  <c:v>184.27940850194264</c:v>
                </c:pt>
                <c:pt idx="177">
                  <c:v>183.85787772731845</c:v>
                </c:pt>
                <c:pt idx="178">
                  <c:v>183.4326343597086</c:v>
                </c:pt>
                <c:pt idx="179">
                  <c:v>183.00374014194477</c:v>
                </c:pt>
                <c:pt idx="180">
                  <c:v>182.57126071127004</c:v>
                </c:pt>
                <c:pt idx="181">
                  <c:v>182.13526580728518</c:v>
                </c:pt>
                <c:pt idx="182">
                  <c:v>181.69582955659251</c:v>
                </c:pt>
                <c:pt idx="183">
                  <c:v>181.25303087001697</c:v>
                </c:pt>
                <c:pt idx="184">
                  <c:v>180.80695399747086</c:v>
                </c:pt>
                <c:pt idx="185">
                  <c:v>180.35768929609577</c:v>
                </c:pt>
                <c:pt idx="186">
                  <c:v>179.90533427798783</c:v>
                </c:pt>
                <c:pt idx="187">
                  <c:v>179.4499999134961</c:v>
                </c:pt>
                <c:pt idx="188">
                  <c:v>178.99178799473742</c:v>
                </c:pt>
                <c:pt idx="189">
                  <c:v>178.53084250958801</c:v>
                </c:pt>
                <c:pt idx="190">
                  <c:v>178.06730371231544</c:v>
                </c:pt>
                <c:pt idx="191">
                  <c:v>177.60133641969122</c:v>
                </c:pt>
                <c:pt idx="192">
                  <c:v>177.13312978986386</c:v>
                </c:pt>
                <c:pt idx="193">
                  <c:v>176.66290297400741</c:v>
                </c:pt>
                <c:pt idx="194">
                  <c:v>176.19084470872423</c:v>
                </c:pt>
                <c:pt idx="195">
                  <c:v>175.71694518726434</c:v>
                </c:pt>
                <c:pt idx="196">
                  <c:v>175.24290369765919</c:v>
                </c:pt>
                <c:pt idx="197">
                  <c:v>174.76778031287827</c:v>
                </c:pt>
                <c:pt idx="198">
                  <c:v>174.29265692809736</c:v>
                </c:pt>
                <c:pt idx="199">
                  <c:v>173.81753354331642</c:v>
                </c:pt>
                <c:pt idx="200">
                  <c:v>173.34914890099773</c:v>
                </c:pt>
                <c:pt idx="201">
                  <c:v>172.89150376405883</c:v>
                </c:pt>
                <c:pt idx="202">
                  <c:v>172.43385862711995</c:v>
                </c:pt>
                <c:pt idx="203">
                  <c:v>171.97621349018107</c:v>
                </c:pt>
                <c:pt idx="204">
                  <c:v>171.51856835324219</c:v>
                </c:pt>
                <c:pt idx="205">
                  <c:v>171.06092321630331</c:v>
                </c:pt>
                <c:pt idx="206">
                  <c:v>170.6032780793644</c:v>
                </c:pt>
                <c:pt idx="207">
                  <c:v>170.14563294242549</c:v>
                </c:pt>
                <c:pt idx="208">
                  <c:v>169.74436943933841</c:v>
                </c:pt>
                <c:pt idx="209">
                  <c:v>169.34458678852729</c:v>
                </c:pt>
                <c:pt idx="210">
                  <c:v>168.94480413771618</c:v>
                </c:pt>
                <c:pt idx="211">
                  <c:v>168.61391573549059</c:v>
                </c:pt>
                <c:pt idx="212">
                  <c:v>168.28377747040247</c:v>
                </c:pt>
                <c:pt idx="213">
                  <c:v>168.03946643703171</c:v>
                </c:pt>
                <c:pt idx="214">
                  <c:v>167.84741809386375</c:v>
                </c:pt>
                <c:pt idx="215">
                  <c:v>167.90040675865129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B9F7967-7233-42AC-883E-375511FD2ED5}"/>
            </c:ext>
          </c:extLst>
        </c:ser>
        <c:ser>
          <c:idx val="3"/>
          <c:order val="3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Diagrammdaten!$F$8:$F$388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168.54494427808675</c:v>
                </c:pt>
                <c:pt idx="217">
                  <c:v>168.54494427808675</c:v>
                </c:pt>
                <c:pt idx="218">
                  <c:v>168.54494427808675</c:v>
                </c:pt>
                <c:pt idx="219">
                  <c:v>168.54494427808675</c:v>
                </c:pt>
                <c:pt idx="220">
                  <c:v>168.54494427808675</c:v>
                </c:pt>
                <c:pt idx="221">
                  <c:v>168.54494427808675</c:v>
                </c:pt>
                <c:pt idx="222">
                  <c:v>168.54494427808675</c:v>
                </c:pt>
                <c:pt idx="223">
                  <c:v>168.54494427808675</c:v>
                </c:pt>
                <c:pt idx="224">
                  <c:v>168.54494427808675</c:v>
                </c:pt>
                <c:pt idx="225">
                  <c:v>168.54494427808675</c:v>
                </c:pt>
                <c:pt idx="226">
                  <c:v>168.54494427808675</c:v>
                </c:pt>
                <c:pt idx="227">
                  <c:v>168.54494427808675</c:v>
                </c:pt>
                <c:pt idx="228">
                  <c:v>168.54494427808675</c:v>
                </c:pt>
                <c:pt idx="229">
                  <c:v>168.54494427808675</c:v>
                </c:pt>
                <c:pt idx="230">
                  <c:v>168.54494427808675</c:v>
                </c:pt>
                <c:pt idx="231">
                  <c:v>168.54494427808675</c:v>
                </c:pt>
                <c:pt idx="232">
                  <c:v>168.54494427808675</c:v>
                </c:pt>
                <c:pt idx="233">
                  <c:v>168.54494427808675</c:v>
                </c:pt>
                <c:pt idx="234">
                  <c:v>168.54494427808675</c:v>
                </c:pt>
                <c:pt idx="235">
                  <c:v>168.54494427808675</c:v>
                </c:pt>
                <c:pt idx="236">
                  <c:v>168.54494427808675</c:v>
                </c:pt>
                <c:pt idx="237">
                  <c:v>168.54494427808675</c:v>
                </c:pt>
                <c:pt idx="238">
                  <c:v>168.54494427808675</c:v>
                </c:pt>
                <c:pt idx="239">
                  <c:v>168.54494427808675</c:v>
                </c:pt>
                <c:pt idx="240">
                  <c:v>168.54494427808675</c:v>
                </c:pt>
                <c:pt idx="241">
                  <c:v>168.54494427808675</c:v>
                </c:pt>
                <c:pt idx="242">
                  <c:v>168.54494427808675</c:v>
                </c:pt>
                <c:pt idx="243">
                  <c:v>168.54494427808675</c:v>
                </c:pt>
                <c:pt idx="244">
                  <c:v>168.54494427808675</c:v>
                </c:pt>
                <c:pt idx="245">
                  <c:v>168.54494427808675</c:v>
                </c:pt>
                <c:pt idx="246">
                  <c:v>168.54494427808675</c:v>
                </c:pt>
                <c:pt idx="247">
                  <c:v>168.54494427808675</c:v>
                </c:pt>
                <c:pt idx="248">
                  <c:v>168.54494427808675</c:v>
                </c:pt>
                <c:pt idx="249">
                  <c:v>168.54494427808675</c:v>
                </c:pt>
                <c:pt idx="250">
                  <c:v>168.54494427808675</c:v>
                </c:pt>
                <c:pt idx="251">
                  <c:v>168.54494427808675</c:v>
                </c:pt>
                <c:pt idx="252">
                  <c:v>168.54494427808675</c:v>
                </c:pt>
                <c:pt idx="253">
                  <c:v>168.54494427808675</c:v>
                </c:pt>
                <c:pt idx="254">
                  <c:v>168.54494427808675</c:v>
                </c:pt>
                <c:pt idx="255">
                  <c:v>168.54494427808675</c:v>
                </c:pt>
                <c:pt idx="256">
                  <c:v>168.54494427808675</c:v>
                </c:pt>
                <c:pt idx="257">
                  <c:v>168.54494427808675</c:v>
                </c:pt>
                <c:pt idx="258">
                  <c:v>168.54494427808675</c:v>
                </c:pt>
                <c:pt idx="259">
                  <c:v>168.54494427808675</c:v>
                </c:pt>
                <c:pt idx="260">
                  <c:v>168.54494427808675</c:v>
                </c:pt>
                <c:pt idx="261">
                  <c:v>168.54494427808675</c:v>
                </c:pt>
                <c:pt idx="262">
                  <c:v>168.54494427808675</c:v>
                </c:pt>
                <c:pt idx="263">
                  <c:v>168.54494427808675</c:v>
                </c:pt>
                <c:pt idx="264">
                  <c:v>168.54494427808675</c:v>
                </c:pt>
                <c:pt idx="265">
                  <c:v>168.54494427808675</c:v>
                </c:pt>
                <c:pt idx="266">
                  <c:v>168.54494427808675</c:v>
                </c:pt>
                <c:pt idx="267">
                  <c:v>168.54494427808675</c:v>
                </c:pt>
                <c:pt idx="268">
                  <c:v>168.54494427808675</c:v>
                </c:pt>
                <c:pt idx="269">
                  <c:v>168.54494427808675</c:v>
                </c:pt>
                <c:pt idx="270">
                  <c:v>168.54494427808675</c:v>
                </c:pt>
                <c:pt idx="271">
                  <c:v>168.54494427808675</c:v>
                </c:pt>
                <c:pt idx="272">
                  <c:v>168.54494427808675</c:v>
                </c:pt>
                <c:pt idx="273">
                  <c:v>168.54494427808675</c:v>
                </c:pt>
                <c:pt idx="274">
                  <c:v>168.54494427808675</c:v>
                </c:pt>
                <c:pt idx="275">
                  <c:v>168.54494427808675</c:v>
                </c:pt>
                <c:pt idx="276">
                  <c:v>168.54494427808675</c:v>
                </c:pt>
                <c:pt idx="277">
                  <c:v>168.54494427808675</c:v>
                </c:pt>
                <c:pt idx="278">
                  <c:v>168.54494427808675</c:v>
                </c:pt>
                <c:pt idx="279">
                  <c:v>168.54494427808675</c:v>
                </c:pt>
                <c:pt idx="280">
                  <c:v>168.54494427808675</c:v>
                </c:pt>
                <c:pt idx="281">
                  <c:v>168.54494427808675</c:v>
                </c:pt>
                <c:pt idx="282">
                  <c:v>168.54494427808675</c:v>
                </c:pt>
                <c:pt idx="283">
                  <c:v>168.54494427808675</c:v>
                </c:pt>
                <c:pt idx="284">
                  <c:v>168.54494427808675</c:v>
                </c:pt>
                <c:pt idx="285">
                  <c:v>168.54494427808675</c:v>
                </c:pt>
                <c:pt idx="286">
                  <c:v>168.54494427808675</c:v>
                </c:pt>
                <c:pt idx="287">
                  <c:v>168.54494427808675</c:v>
                </c:pt>
                <c:pt idx="288">
                  <c:v>168.54494427808675</c:v>
                </c:pt>
                <c:pt idx="289">
                  <c:v>168.54494427808675</c:v>
                </c:pt>
                <c:pt idx="290">
                  <c:v>168.54494427808675</c:v>
                </c:pt>
                <c:pt idx="291">
                  <c:v>168.54494427808675</c:v>
                </c:pt>
                <c:pt idx="292">
                  <c:v>168.54494427808675</c:v>
                </c:pt>
                <c:pt idx="293">
                  <c:v>168.54494427808675</c:v>
                </c:pt>
                <c:pt idx="294">
                  <c:v>168.54494427808675</c:v>
                </c:pt>
                <c:pt idx="295">
                  <c:v>168.54494427808675</c:v>
                </c:pt>
                <c:pt idx="296">
                  <c:v>168.54494427808675</c:v>
                </c:pt>
                <c:pt idx="297">
                  <c:v>168.54494427808675</c:v>
                </c:pt>
                <c:pt idx="298">
                  <c:v>168.54494427808675</c:v>
                </c:pt>
                <c:pt idx="299">
                  <c:v>168.54494427808675</c:v>
                </c:pt>
                <c:pt idx="300">
                  <c:v>168.54494427808675</c:v>
                </c:pt>
                <c:pt idx="301">
                  <c:v>168.54494427808675</c:v>
                </c:pt>
                <c:pt idx="302">
                  <c:v>168.54494427808675</c:v>
                </c:pt>
                <c:pt idx="303">
                  <c:v>168.54494427808675</c:v>
                </c:pt>
                <c:pt idx="304">
                  <c:v>168.54494427808675</c:v>
                </c:pt>
                <c:pt idx="305">
                  <c:v>168.54494427808675</c:v>
                </c:pt>
                <c:pt idx="306">
                  <c:v>168.54494427808675</c:v>
                </c:pt>
                <c:pt idx="307">
                  <c:v>168.54494427808675</c:v>
                </c:pt>
                <c:pt idx="308">
                  <c:v>168.54494427808675</c:v>
                </c:pt>
                <c:pt idx="309">
                  <c:v>168.54494427808675</c:v>
                </c:pt>
                <c:pt idx="310">
                  <c:v>168.54494427808675</c:v>
                </c:pt>
                <c:pt idx="311">
                  <c:v>168.54494427808675</c:v>
                </c:pt>
                <c:pt idx="312">
                  <c:v>168.54494427808675</c:v>
                </c:pt>
                <c:pt idx="313">
                  <c:v>168.54494427808675</c:v>
                </c:pt>
                <c:pt idx="314">
                  <c:v>168.54494427808675</c:v>
                </c:pt>
                <c:pt idx="315">
                  <c:v>168.54494427808675</c:v>
                </c:pt>
                <c:pt idx="316">
                  <c:v>168.54494427808675</c:v>
                </c:pt>
                <c:pt idx="317">
                  <c:v>168.54494427808675</c:v>
                </c:pt>
                <c:pt idx="318">
                  <c:v>168.54494427808675</c:v>
                </c:pt>
                <c:pt idx="319">
                  <c:v>168.54494427808675</c:v>
                </c:pt>
                <c:pt idx="320">
                  <c:v>168.54494427808675</c:v>
                </c:pt>
                <c:pt idx="321">
                  <c:v>168.54494427808675</c:v>
                </c:pt>
                <c:pt idx="322">
                  <c:v>168.54494427808675</c:v>
                </c:pt>
                <c:pt idx="323">
                  <c:v>168.54494427808675</c:v>
                </c:pt>
                <c:pt idx="324">
                  <c:v>168.54494427808675</c:v>
                </c:pt>
                <c:pt idx="325">
                  <c:v>168.54494427808675</c:v>
                </c:pt>
                <c:pt idx="326">
                  <c:v>168.54494427808675</c:v>
                </c:pt>
                <c:pt idx="327">
                  <c:v>168.54494427808675</c:v>
                </c:pt>
                <c:pt idx="328">
                  <c:v>168.54494427808675</c:v>
                </c:pt>
                <c:pt idx="329">
                  <c:v>168.54494427808675</c:v>
                </c:pt>
                <c:pt idx="330">
                  <c:v>168.54494427808675</c:v>
                </c:pt>
                <c:pt idx="331">
                  <c:v>168.54494427808675</c:v>
                </c:pt>
                <c:pt idx="332">
                  <c:v>168.54494427808675</c:v>
                </c:pt>
                <c:pt idx="333">
                  <c:v>168.54494427808675</c:v>
                </c:pt>
                <c:pt idx="334">
                  <c:v>168.54494427808675</c:v>
                </c:pt>
                <c:pt idx="335">
                  <c:v>168.54494427808675</c:v>
                </c:pt>
                <c:pt idx="336">
                  <c:v>168.54494427808675</c:v>
                </c:pt>
                <c:pt idx="337">
                  <c:v>168.54494427808675</c:v>
                </c:pt>
                <c:pt idx="338">
                  <c:v>168.54494427808675</c:v>
                </c:pt>
                <c:pt idx="339">
                  <c:v>168.54494427808675</c:v>
                </c:pt>
                <c:pt idx="340">
                  <c:v>168.54494427808675</c:v>
                </c:pt>
                <c:pt idx="341">
                  <c:v>168.54494427808675</c:v>
                </c:pt>
                <c:pt idx="342">
                  <c:v>168.54494427808675</c:v>
                </c:pt>
                <c:pt idx="343">
                  <c:v>168.54494427808675</c:v>
                </c:pt>
                <c:pt idx="344">
                  <c:v>168.54494427808675</c:v>
                </c:pt>
                <c:pt idx="345">
                  <c:v>168.54494427808675</c:v>
                </c:pt>
                <c:pt idx="346">
                  <c:v>168.54494427808675</c:v>
                </c:pt>
                <c:pt idx="347">
                  <c:v>168.54494427808675</c:v>
                </c:pt>
                <c:pt idx="348">
                  <c:v>168.54494427808675</c:v>
                </c:pt>
                <c:pt idx="349">
                  <c:v>168.54494427808675</c:v>
                </c:pt>
                <c:pt idx="350">
                  <c:v>168.54494427808675</c:v>
                </c:pt>
                <c:pt idx="351">
                  <c:v>168.54494427808675</c:v>
                </c:pt>
                <c:pt idx="352">
                  <c:v>168.54494427808675</c:v>
                </c:pt>
                <c:pt idx="353">
                  <c:v>168.54494427808675</c:v>
                </c:pt>
                <c:pt idx="354">
                  <c:v>168.54494427808675</c:v>
                </c:pt>
                <c:pt idx="355">
                  <c:v>168.54494427808675</c:v>
                </c:pt>
                <c:pt idx="356">
                  <c:v>168.54494427808675</c:v>
                </c:pt>
                <c:pt idx="357">
                  <c:v>168.54494427808675</c:v>
                </c:pt>
                <c:pt idx="358">
                  <c:v>168.54494427808675</c:v>
                </c:pt>
                <c:pt idx="359">
                  <c:v>168.54494427808675</c:v>
                </c:pt>
                <c:pt idx="360">
                  <c:v>168.54494427808675</c:v>
                </c:pt>
                <c:pt idx="361">
                  <c:v>168.54494427808675</c:v>
                </c:pt>
                <c:pt idx="362">
                  <c:v>168.54494427808675</c:v>
                </c:pt>
                <c:pt idx="363">
                  <c:v>168.54494427808675</c:v>
                </c:pt>
                <c:pt idx="364">
                  <c:v>168.54494427808675</c:v>
                </c:pt>
                <c:pt idx="365">
                  <c:v>168.54494427808675</c:v>
                </c:pt>
                <c:pt idx="366">
                  <c:v>168.54494427808675</c:v>
                </c:pt>
                <c:pt idx="367">
                  <c:v>168.54494427808675</c:v>
                </c:pt>
                <c:pt idx="368">
                  <c:v>168.54494427808675</c:v>
                </c:pt>
                <c:pt idx="369">
                  <c:v>168.54494427808675</c:v>
                </c:pt>
                <c:pt idx="370">
                  <c:v>168.54494427808675</c:v>
                </c:pt>
                <c:pt idx="371">
                  <c:v>168.54494427808675</c:v>
                </c:pt>
                <c:pt idx="372">
                  <c:v>168.54494427808675</c:v>
                </c:pt>
                <c:pt idx="373">
                  <c:v>168.54494427808675</c:v>
                </c:pt>
                <c:pt idx="374">
                  <c:v>168.54494427808675</c:v>
                </c:pt>
                <c:pt idx="375">
                  <c:v>168.54494427808675</c:v>
                </c:pt>
                <c:pt idx="376">
                  <c:v>168.54494427808675</c:v>
                </c:pt>
                <c:pt idx="377">
                  <c:v>168.54494427808675</c:v>
                </c:pt>
                <c:pt idx="378">
                  <c:v>168.54494427808675</c:v>
                </c:pt>
                <c:pt idx="379">
                  <c:v>168.54494427808675</c:v>
                </c:pt>
                <c:pt idx="380">
                  <c:v>168.54494427808675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7-47FC-8DC3-5ACFE91589D0}"/>
            </c:ext>
          </c:extLst>
        </c:ser>
        <c:ser>
          <c:idx val="4"/>
          <c:order val="4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Diagrammdaten!$G$8:$G$388</c:f>
              <c:numCache>
                <c:formatCode>General</c:formatCode>
                <c:ptCount val="381"/>
                <c:pt idx="0">
                  <c:v>249.10758432028197</c:v>
                </c:pt>
                <c:pt idx="1">
                  <c:v>249.0697020259696</c:v>
                </c:pt>
                <c:pt idx="2">
                  <c:v>249.03041162618976</c:v>
                </c:pt>
                <c:pt idx="3">
                  <c:v>248.98966806549112</c:v>
                </c:pt>
                <c:pt idx="4">
                  <c:v>248.94742506021737</c:v>
                </c:pt>
                <c:pt idx="5">
                  <c:v>248.90363506914466</c:v>
                </c:pt>
                <c:pt idx="6">
                  <c:v>248.8582492633968</c:v>
                </c:pt>
                <c:pt idx="7">
                  <c:v>248.81121749561368</c:v>
                </c:pt>
                <c:pt idx="8">
                  <c:v>248.76248826834575</c:v>
                </c:pt>
                <c:pt idx="9">
                  <c:v>248.71200870164714</c:v>
                </c:pt>
                <c:pt idx="10">
                  <c:v>248.6597244998367</c:v>
                </c:pt>
                <c:pt idx="11">
                  <c:v>248.60557991739603</c:v>
                </c:pt>
                <c:pt idx="12">
                  <c:v>248.5495177239693</c:v>
                </c:pt>
                <c:pt idx="13">
                  <c:v>248.49147916842955</c:v>
                </c:pt>
                <c:pt idx="14">
                  <c:v>248.43140394197135</c:v>
                </c:pt>
                <c:pt idx="15">
                  <c:v>248.36923014018808</c:v>
                </c:pt>
                <c:pt idx="16">
                  <c:v>248.30489422408749</c:v>
                </c:pt>
                <c:pt idx="17">
                  <c:v>248.23833097999642</c:v>
                </c:pt>
                <c:pt idx="18">
                  <c:v>248.16947347829941</c:v>
                </c:pt>
                <c:pt idx="19">
                  <c:v>248.09825303095215</c:v>
                </c:pt>
                <c:pt idx="20">
                  <c:v>248.02459914770341</c:v>
                </c:pt>
                <c:pt idx="21">
                  <c:v>247.94843949095201</c:v>
                </c:pt>
                <c:pt idx="22">
                  <c:v>247.86969982915753</c:v>
                </c:pt>
                <c:pt idx="23">
                  <c:v>247.78830398871139</c:v>
                </c:pt>
                <c:pt idx="24">
                  <c:v>247.70417380416475</c:v>
                </c:pt>
                <c:pt idx="25">
                  <c:v>247.6172290666922</c:v>
                </c:pt>
                <c:pt idx="26">
                  <c:v>247.52738747065339</c:v>
                </c:pt>
                <c:pt idx="27">
                  <c:v>247.4345645580903</c:v>
                </c:pt>
                <c:pt idx="28">
                  <c:v>247.3386736609695</c:v>
                </c:pt>
                <c:pt idx="29">
                  <c:v>247.23962584094059</c:v>
                </c:pt>
                <c:pt idx="30">
                  <c:v>247.13732982633502</c:v>
                </c:pt>
                <c:pt idx="31">
                  <c:v>247.03169194606474</c:v>
                </c:pt>
                <c:pt idx="32">
                  <c:v>246.92261605999738</c:v>
                </c:pt>
                <c:pt idx="33">
                  <c:v>246.81000348526769</c:v>
                </c:pt>
                <c:pt idx="34">
                  <c:v>246.69375291782731</c:v>
                </c:pt>
                <c:pt idx="35">
                  <c:v>246.57376034830631</c:v>
                </c:pt>
                <c:pt idx="36">
                  <c:v>246.44991897092928</c:v>
                </c:pt>
                <c:pt idx="37">
                  <c:v>246.32211908373046</c:v>
                </c:pt>
                <c:pt idx="38">
                  <c:v>246.19024797753519</c:v>
                </c:pt>
                <c:pt idx="39">
                  <c:v>246.05418980991723</c:v>
                </c:pt>
                <c:pt idx="40">
                  <c:v>245.91382545819579</c:v>
                </c:pt>
                <c:pt idx="41">
                  <c:v>245.76903234166346</c:v>
                </c:pt>
                <c:pt idx="42">
                  <c:v>245.61968419570067</c:v>
                </c:pt>
                <c:pt idx="43">
                  <c:v>245.46565076430832</c:v>
                </c:pt>
                <c:pt idx="44">
                  <c:v>245.30679733832375</c:v>
                </c:pt>
                <c:pt idx="45">
                  <c:v>245.14298395103927</c:v>
                </c:pt>
                <c:pt idx="46">
                  <c:v>244.9740635750301</c:v>
                </c:pt>
                <c:pt idx="47">
                  <c:v>242.10720440871191</c:v>
                </c:pt>
                <c:pt idx="48">
                  <c:v>218.65464354090309</c:v>
                </c:pt>
                <c:pt idx="49">
                  <c:v>195.08860930988234</c:v>
                </c:pt>
                <c:pt idx="50">
                  <c:v>171.40910171565417</c:v>
                </c:pt>
                <c:pt idx="51">
                  <c:v>147.61612075821634</c:v>
                </c:pt>
                <c:pt idx="52">
                  <c:v>123.70966643756657</c:v>
                </c:pt>
                <c:pt idx="53">
                  <c:v>99.689738753709378</c:v>
                </c:pt>
                <c:pt idx="54">
                  <c:v>75.556337706640221</c:v>
                </c:pt>
                <c:pt idx="55">
                  <c:v>51.309463296363703</c:v>
                </c:pt>
                <c:pt idx="56">
                  <c:v>26.94911552287752</c:v>
                </c:pt>
                <c:pt idx="57">
                  <c:v>2.4752943861793142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97-47FC-8DC3-5ACFE915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Diagrammdaten!$L$8:$L$77</c:f>
              <c:numCache>
                <c:formatCode>General</c:formatCode>
                <c:ptCount val="70"/>
                <c:pt idx="0">
                  <c:v>47.884000000000071</c:v>
                </c:pt>
                <c:pt idx="1">
                  <c:v>53.996053427743234</c:v>
                </c:pt>
                <c:pt idx="2">
                  <c:v>60.108106855486398</c:v>
                </c:pt>
                <c:pt idx="3">
                  <c:v>66.220160283229561</c:v>
                </c:pt>
                <c:pt idx="4">
                  <c:v>72.332213710972724</c:v>
                </c:pt>
                <c:pt idx="5">
                  <c:v>78.444267138715887</c:v>
                </c:pt>
                <c:pt idx="6">
                  <c:v>84.55632056645905</c:v>
                </c:pt>
                <c:pt idx="7">
                  <c:v>90.668373994202227</c:v>
                </c:pt>
                <c:pt idx="8">
                  <c:v>96.780427421945376</c:v>
                </c:pt>
                <c:pt idx="9">
                  <c:v>102.89248084968855</c:v>
                </c:pt>
                <c:pt idx="10">
                  <c:v>109.0045342774317</c:v>
                </c:pt>
                <c:pt idx="11">
                  <c:v>115.11658770517488</c:v>
                </c:pt>
                <c:pt idx="12">
                  <c:v>121.22864113291804</c:v>
                </c:pt>
                <c:pt idx="13">
                  <c:v>127.34069456066121</c:v>
                </c:pt>
                <c:pt idx="14">
                  <c:v>133.45274798840438</c:v>
                </c:pt>
                <c:pt idx="15">
                  <c:v>139.56480141614753</c:v>
                </c:pt>
                <c:pt idx="16">
                  <c:v>145.67685484389068</c:v>
                </c:pt>
                <c:pt idx="17">
                  <c:v>151.78890827163386</c:v>
                </c:pt>
                <c:pt idx="18">
                  <c:v>157.90096169937704</c:v>
                </c:pt>
                <c:pt idx="19">
                  <c:v>164.01301512712018</c:v>
                </c:pt>
                <c:pt idx="20">
                  <c:v>170.12506855486333</c:v>
                </c:pt>
                <c:pt idx="21">
                  <c:v>176.23712198260651</c:v>
                </c:pt>
                <c:pt idx="22">
                  <c:v>182.34917541034969</c:v>
                </c:pt>
                <c:pt idx="23">
                  <c:v>188.46122883809284</c:v>
                </c:pt>
                <c:pt idx="24">
                  <c:v>194.57328226583601</c:v>
                </c:pt>
                <c:pt idx="25">
                  <c:v>200.68533569357916</c:v>
                </c:pt>
                <c:pt idx="26">
                  <c:v>206.79738912132234</c:v>
                </c:pt>
                <c:pt idx="27">
                  <c:v>212.90944254906549</c:v>
                </c:pt>
                <c:pt idx="28">
                  <c:v>213.11530334534405</c:v>
                </c:pt>
                <c:pt idx="29">
                  <c:v>215.09671087318316</c:v>
                </c:pt>
                <c:pt idx="30">
                  <c:v>216.46977996825069</c:v>
                </c:pt>
                <c:pt idx="31">
                  <c:v>217.14708372948724</c:v>
                </c:pt>
                <c:pt idx="32">
                  <c:v>217.18664870023304</c:v>
                </c:pt>
                <c:pt idx="33">
                  <c:v>217.11976458358242</c:v>
                </c:pt>
                <c:pt idx="34">
                  <c:v>216.69912051454844</c:v>
                </c:pt>
                <c:pt idx="35">
                  <c:v>216.53333128843872</c:v>
                </c:pt>
                <c:pt idx="36">
                  <c:v>216.09101257175962</c:v>
                </c:pt>
                <c:pt idx="37">
                  <c:v>215.89566713390104</c:v>
                </c:pt>
                <c:pt idx="38">
                  <c:v>215.42623598676914</c:v>
                </c:pt>
                <c:pt idx="39">
                  <c:v>214.8293647044818</c:v>
                </c:pt>
                <c:pt idx="40">
                  <c:v>213.22434190975093</c:v>
                </c:pt>
                <c:pt idx="41">
                  <c:v>212.90944254906549</c:v>
                </c:pt>
                <c:pt idx="42">
                  <c:v>207.01567674374172</c:v>
                </c:pt>
                <c:pt idx="43">
                  <c:v>201.12191093841795</c:v>
                </c:pt>
                <c:pt idx="44">
                  <c:v>195.22814513309419</c:v>
                </c:pt>
                <c:pt idx="45">
                  <c:v>189.33437932777042</c:v>
                </c:pt>
                <c:pt idx="46">
                  <c:v>183.44061352244665</c:v>
                </c:pt>
                <c:pt idx="47">
                  <c:v>177.54684771712289</c:v>
                </c:pt>
                <c:pt idx="48">
                  <c:v>171.65308191179912</c:v>
                </c:pt>
                <c:pt idx="49">
                  <c:v>165.75931610647535</c:v>
                </c:pt>
                <c:pt idx="50">
                  <c:v>159.86555030115159</c:v>
                </c:pt>
                <c:pt idx="51">
                  <c:v>153.97178449582782</c:v>
                </c:pt>
                <c:pt idx="52">
                  <c:v>148.07801869050405</c:v>
                </c:pt>
                <c:pt idx="53">
                  <c:v>142.18425288518031</c:v>
                </c:pt>
                <c:pt idx="54">
                  <c:v>136.29048707985655</c:v>
                </c:pt>
                <c:pt idx="55">
                  <c:v>130.39672127453278</c:v>
                </c:pt>
                <c:pt idx="56">
                  <c:v>124.50295546920901</c:v>
                </c:pt>
                <c:pt idx="57">
                  <c:v>118.60918966388525</c:v>
                </c:pt>
                <c:pt idx="58">
                  <c:v>112.71542385856148</c:v>
                </c:pt>
                <c:pt idx="59">
                  <c:v>106.82165805323771</c:v>
                </c:pt>
                <c:pt idx="60">
                  <c:v>100.92789224791395</c:v>
                </c:pt>
                <c:pt idx="61">
                  <c:v>95.034126442590178</c:v>
                </c:pt>
                <c:pt idx="62">
                  <c:v>89.140360637266426</c:v>
                </c:pt>
                <c:pt idx="63">
                  <c:v>83.246594831942645</c:v>
                </c:pt>
                <c:pt idx="64">
                  <c:v>77.352829026618878</c:v>
                </c:pt>
                <c:pt idx="65">
                  <c:v>71.459063221295139</c:v>
                </c:pt>
                <c:pt idx="66">
                  <c:v>65.565297415971372</c:v>
                </c:pt>
                <c:pt idx="67">
                  <c:v>59.671531610647605</c:v>
                </c:pt>
                <c:pt idx="68">
                  <c:v>53.777765805323838</c:v>
                </c:pt>
                <c:pt idx="69">
                  <c:v>47.884000000000071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5.4780051259929632</c:v>
                </c:pt>
                <c:pt idx="1">
                  <c:v>6.2465283664309963</c:v>
                </c:pt>
                <c:pt idx="2">
                  <c:v>7.094026716138905</c:v>
                </c:pt>
                <c:pt idx="3">
                  <c:v>8.0255579412624787</c:v>
                </c:pt>
                <c:pt idx="4">
                  <c:v>9.0463049806261271</c:v>
                </c:pt>
                <c:pt idx="5">
                  <c:v>10.161580260227899</c:v>
                </c:pt>
                <c:pt idx="6">
                  <c:v>11.376832494554185</c:v>
                </c:pt>
                <c:pt idx="7">
                  <c:v>12.697656236143098</c:v>
                </c:pt>
                <c:pt idx="8">
                  <c:v>14.129804656079587</c:v>
                </c:pt>
                <c:pt idx="9">
                  <c:v>15.67923451447156</c:v>
                </c:pt>
                <c:pt idx="10">
                  <c:v>17.352406968327372</c:v>
                </c:pt>
                <c:pt idx="11">
                  <c:v>19.155353708527862</c:v>
                </c:pt>
                <c:pt idx="12">
                  <c:v>21.094699875721581</c:v>
                </c:pt>
                <c:pt idx="13">
                  <c:v>23.177390130610402</c:v>
                </c:pt>
                <c:pt idx="14">
                  <c:v>25.410755922853671</c:v>
                </c:pt>
                <c:pt idx="15">
                  <c:v>27.802604003304531</c:v>
                </c:pt>
                <c:pt idx="16">
                  <c:v>30.363205999893026</c:v>
                </c:pt>
                <c:pt idx="17">
                  <c:v>33.096101826227539</c:v>
                </c:pt>
                <c:pt idx="18">
                  <c:v>36.017129110207115</c:v>
                </c:pt>
                <c:pt idx="19">
                  <c:v>39.136313339837116</c:v>
                </c:pt>
                <c:pt idx="20">
                  <c:v>42.466439159222979</c:v>
                </c:pt>
                <c:pt idx="21">
                  <c:v>46.023360530623989</c:v>
                </c:pt>
                <c:pt idx="22">
                  <c:v>49.826593298424697</c:v>
                </c:pt>
                <c:pt idx="23">
                  <c:v>53.902917038676897</c:v>
                </c:pt>
                <c:pt idx="24">
                  <c:v>58.288588500852839</c:v>
                </c:pt>
                <c:pt idx="25">
                  <c:v>63.115296932976065</c:v>
                </c:pt>
                <c:pt idx="26">
                  <c:v>68.296439810562831</c:v>
                </c:pt>
                <c:pt idx="27">
                  <c:v>74.339555460510013</c:v>
                </c:pt>
                <c:pt idx="28">
                  <c:v>74.556723930467271</c:v>
                </c:pt>
                <c:pt idx="29">
                  <c:v>76.933953502157294</c:v>
                </c:pt>
                <c:pt idx="30">
                  <c:v>78.941156502790562</c:v>
                </c:pt>
                <c:pt idx="31">
                  <c:v>80.494760566134005</c:v>
                </c:pt>
                <c:pt idx="32">
                  <c:v>80.896473762668705</c:v>
                </c:pt>
                <c:pt idx="33">
                  <c:v>81.224767037052715</c:v>
                </c:pt>
                <c:pt idx="34">
                  <c:v>81.685344406773822</c:v>
                </c:pt>
                <c:pt idx="35">
                  <c:v>81.838319578037911</c:v>
                </c:pt>
                <c:pt idx="36">
                  <c:v>82.075301596995402</c:v>
                </c:pt>
                <c:pt idx="37">
                  <c:v>82.127440129186695</c:v>
                </c:pt>
                <c:pt idx="38">
                  <c:v>82.17759431791859</c:v>
                </c:pt>
                <c:pt idx="39">
                  <c:v>82.142568673071494</c:v>
                </c:pt>
                <c:pt idx="40">
                  <c:v>81.790286378469247</c:v>
                </c:pt>
                <c:pt idx="41">
                  <c:v>81.686326049855197</c:v>
                </c:pt>
                <c:pt idx="42">
                  <c:v>79.403896306172044</c:v>
                </c:pt>
                <c:pt idx="43">
                  <c:v>76.706643047108898</c:v>
                </c:pt>
                <c:pt idx="44">
                  <c:v>73.917273160672508</c:v>
                </c:pt>
                <c:pt idx="45">
                  <c:v>71.162241328121723</c:v>
                </c:pt>
                <c:pt idx="46">
                  <c:v>68.499105449613097</c:v>
                </c:pt>
                <c:pt idx="47">
                  <c:v>65.950868682966799</c:v>
                </c:pt>
                <c:pt idx="48">
                  <c:v>63.532027644965225</c:v>
                </c:pt>
                <c:pt idx="49">
                  <c:v>61.252710857907914</c:v>
                </c:pt>
                <c:pt idx="50">
                  <c:v>59.119111530194637</c:v>
                </c:pt>
                <c:pt idx="51">
                  <c:v>57.135698205735828</c:v>
                </c:pt>
                <c:pt idx="52">
                  <c:v>55.304834874033894</c:v>
                </c:pt>
                <c:pt idx="53">
                  <c:v>53.628494465250789</c:v>
                </c:pt>
                <c:pt idx="54">
                  <c:v>52.108566858257042</c:v>
                </c:pt>
                <c:pt idx="55">
                  <c:v>50.747017816934239</c:v>
                </c:pt>
                <c:pt idx="56">
                  <c:v>49.546046180813249</c:v>
                </c:pt>
                <c:pt idx="57">
                  <c:v>48.508227960961797</c:v>
                </c:pt>
                <c:pt idx="58">
                  <c:v>47.636678138918917</c:v>
                </c:pt>
                <c:pt idx="59">
                  <c:v>46.935238191457664</c:v>
                </c:pt>
                <c:pt idx="60">
                  <c:v>46.40892779619076</c:v>
                </c:pt>
                <c:pt idx="61">
                  <c:v>46.063863329321116</c:v>
                </c:pt>
                <c:pt idx="62">
                  <c:v>45.907235940758852</c:v>
                </c:pt>
                <c:pt idx="63">
                  <c:v>45.948412119295952</c:v>
                </c:pt>
                <c:pt idx="64">
                  <c:v>46.199065481880361</c:v>
                </c:pt>
                <c:pt idx="65">
                  <c:v>46.673734775122661</c:v>
                </c:pt>
                <c:pt idx="66">
                  <c:v>47.390529862815043</c:v>
                </c:pt>
                <c:pt idx="67">
                  <c:v>48.372032320327683</c:v>
                </c:pt>
                <c:pt idx="68">
                  <c:v>49.646459563221228</c:v>
                </c:pt>
                <c:pt idx="69">
                  <c:v>51.249178858911719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97-47FC-8DC3-5ACFE91589D0}"/>
            </c:ext>
          </c:extLst>
        </c:ser>
        <c:ser>
          <c:idx val="6"/>
          <c:order val="6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Diagrammdaten!$L$256:$L$296</c:f>
              <c:numCache>
                <c:formatCode>General</c:formatCode>
                <c:ptCount val="41"/>
                <c:pt idx="0">
                  <c:v>47.884000000000071</c:v>
                </c:pt>
                <c:pt idx="1">
                  <c:v>52.260760000149105</c:v>
                </c:pt>
                <c:pt idx="2">
                  <c:v>56.637520000298139</c:v>
                </c:pt>
                <c:pt idx="3">
                  <c:v>61.014280000447172</c:v>
                </c:pt>
                <c:pt idx="4">
                  <c:v>65.391040000596206</c:v>
                </c:pt>
                <c:pt idx="5">
                  <c:v>69.76780000074524</c:v>
                </c:pt>
                <c:pt idx="6">
                  <c:v>74.144560000894273</c:v>
                </c:pt>
                <c:pt idx="7">
                  <c:v>78.521320001043307</c:v>
                </c:pt>
                <c:pt idx="8">
                  <c:v>82.898080001192341</c:v>
                </c:pt>
                <c:pt idx="9">
                  <c:v>87.274840001341374</c:v>
                </c:pt>
                <c:pt idx="10">
                  <c:v>91.651600001490408</c:v>
                </c:pt>
                <c:pt idx="11">
                  <c:v>96.028360001639442</c:v>
                </c:pt>
                <c:pt idx="12">
                  <c:v>100.40512000178848</c:v>
                </c:pt>
                <c:pt idx="13">
                  <c:v>104.78188000193751</c:v>
                </c:pt>
                <c:pt idx="14">
                  <c:v>109.1586400020866</c:v>
                </c:pt>
                <c:pt idx="15">
                  <c:v>113.53540000223563</c:v>
                </c:pt>
                <c:pt idx="16">
                  <c:v>117.91216000238467</c:v>
                </c:pt>
                <c:pt idx="17">
                  <c:v>122.2889200025337</c:v>
                </c:pt>
                <c:pt idx="18">
                  <c:v>126.66568000268273</c:v>
                </c:pt>
                <c:pt idx="19">
                  <c:v>131.04244000283177</c:v>
                </c:pt>
                <c:pt idx="20">
                  <c:v>135.4192000029808</c:v>
                </c:pt>
                <c:pt idx="21">
                  <c:v>139.79596000312984</c:v>
                </c:pt>
                <c:pt idx="22">
                  <c:v>144.17272000327887</c:v>
                </c:pt>
                <c:pt idx="23">
                  <c:v>148.5494800034279</c:v>
                </c:pt>
                <c:pt idx="24">
                  <c:v>152.92624000357694</c:v>
                </c:pt>
                <c:pt idx="25">
                  <c:v>157.30300000372597</c:v>
                </c:pt>
                <c:pt idx="26">
                  <c:v>161.679760003875</c:v>
                </c:pt>
                <c:pt idx="27">
                  <c:v>166.05652000402404</c:v>
                </c:pt>
                <c:pt idx="28">
                  <c:v>170.43328000417307</c:v>
                </c:pt>
                <c:pt idx="29">
                  <c:v>174.8100400043221</c:v>
                </c:pt>
                <c:pt idx="30">
                  <c:v>179.18680000447114</c:v>
                </c:pt>
                <c:pt idx="31">
                  <c:v>183.56356000462017</c:v>
                </c:pt>
                <c:pt idx="32">
                  <c:v>187.94032000476921</c:v>
                </c:pt>
                <c:pt idx="33">
                  <c:v>192.31708000491824</c:v>
                </c:pt>
                <c:pt idx="34">
                  <c:v>196.69384000506727</c:v>
                </c:pt>
                <c:pt idx="35">
                  <c:v>201.07060000521631</c:v>
                </c:pt>
                <c:pt idx="36">
                  <c:v>205.44736000536534</c:v>
                </c:pt>
                <c:pt idx="37">
                  <c:v>209.82412000551437</c:v>
                </c:pt>
                <c:pt idx="38">
                  <c:v>214.20088000566341</c:v>
                </c:pt>
                <c:pt idx="39">
                  <c:v>218.57764000581244</c:v>
                </c:pt>
                <c:pt idx="40">
                  <c:v>222.95440000596147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EA1B671-CCC0-4C57-8A59-2801D70BFB76}"/>
            </c:ext>
          </c:extLst>
        </c:ser>
        <c:ser>
          <c:idx val="7"/>
          <c:order val="7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Diagrammdaten!$L$298:$L$327</c:f>
              <c:numCache>
                <c:formatCode>General</c:formatCode>
                <c:ptCount val="30"/>
                <c:pt idx="0">
                  <c:v>47.884000000000071</c:v>
                </c:pt>
                <c:pt idx="1">
                  <c:v>53.705211052225877</c:v>
                </c:pt>
                <c:pt idx="2">
                  <c:v>59.526422104451683</c:v>
                </c:pt>
                <c:pt idx="3">
                  <c:v>65.347633156677489</c:v>
                </c:pt>
                <c:pt idx="4">
                  <c:v>71.168844208903295</c:v>
                </c:pt>
                <c:pt idx="5">
                  <c:v>76.9900552611291</c:v>
                </c:pt>
                <c:pt idx="6">
                  <c:v>82.811266313354906</c:v>
                </c:pt>
                <c:pt idx="7">
                  <c:v>88.632477365580712</c:v>
                </c:pt>
                <c:pt idx="8">
                  <c:v>94.453688417806518</c:v>
                </c:pt>
                <c:pt idx="9">
                  <c:v>100.27489947003232</c:v>
                </c:pt>
                <c:pt idx="10">
                  <c:v>106.09611052225813</c:v>
                </c:pt>
                <c:pt idx="11">
                  <c:v>111.91732157448394</c:v>
                </c:pt>
                <c:pt idx="12">
                  <c:v>117.73853262670974</c:v>
                </c:pt>
                <c:pt idx="13">
                  <c:v>123.55974367893555</c:v>
                </c:pt>
                <c:pt idx="14">
                  <c:v>129.38095473116135</c:v>
                </c:pt>
                <c:pt idx="15">
                  <c:v>135.20216578338716</c:v>
                </c:pt>
                <c:pt idx="16">
                  <c:v>141.02337683561296</c:v>
                </c:pt>
                <c:pt idx="17">
                  <c:v>146.84458788783877</c:v>
                </c:pt>
                <c:pt idx="18">
                  <c:v>152.66579894006458</c:v>
                </c:pt>
                <c:pt idx="19">
                  <c:v>158.48700999229038</c:v>
                </c:pt>
                <c:pt idx="20">
                  <c:v>164.30822104451619</c:v>
                </c:pt>
                <c:pt idx="21">
                  <c:v>170.12943209674199</c:v>
                </c:pt>
                <c:pt idx="22">
                  <c:v>175.9506431489678</c:v>
                </c:pt>
                <c:pt idx="23">
                  <c:v>181.77185420119361</c:v>
                </c:pt>
                <c:pt idx="24">
                  <c:v>187.59306525341941</c:v>
                </c:pt>
                <c:pt idx="25">
                  <c:v>193.41427630564522</c:v>
                </c:pt>
                <c:pt idx="26">
                  <c:v>199.23548735787102</c:v>
                </c:pt>
                <c:pt idx="27">
                  <c:v>205.05669841009683</c:v>
                </c:pt>
                <c:pt idx="28">
                  <c:v>210.87790946232263</c:v>
                </c:pt>
                <c:pt idx="29">
                  <c:v>216.69912051454844</c:v>
                </c:pt>
              </c:numCache>
            </c:numRef>
          </c:xVal>
          <c:yVal>
            <c:numRef>
              <c:f>Diagrammdaten!$K$298:$K$327</c:f>
              <c:numCache>
                <c:formatCode>General</c:formatCode>
                <c:ptCount val="30"/>
                <c:pt idx="0">
                  <c:v>54.249178858911719</c:v>
                </c:pt>
                <c:pt idx="1">
                  <c:v>52.664363407576069</c:v>
                </c:pt>
                <c:pt idx="2">
                  <c:v>51.40003231788009</c:v>
                </c:pt>
                <c:pt idx="3">
                  <c:v>50.422039629483656</c:v>
                </c:pt>
                <c:pt idx="4">
                  <c:v>49.703056462019831</c:v>
                </c:pt>
                <c:pt idx="5">
                  <c:v>49.221145655561216</c:v>
                </c:pt>
                <c:pt idx="6">
                  <c:v>48.959101170097277</c:v>
                </c:pt>
                <c:pt idx="7">
                  <c:v>48.902828994722412</c:v>
                </c:pt>
                <c:pt idx="8">
                  <c:v>49.040237729303101</c:v>
                </c:pt>
                <c:pt idx="9">
                  <c:v>49.362146363389712</c:v>
                </c:pt>
                <c:pt idx="10">
                  <c:v>49.861173471192402</c:v>
                </c:pt>
                <c:pt idx="11">
                  <c:v>50.531397928398562</c:v>
                </c:pt>
                <c:pt idx="12">
                  <c:v>51.368765341961051</c:v>
                </c:pt>
                <c:pt idx="13">
                  <c:v>52.368889762331087</c:v>
                </c:pt>
                <c:pt idx="14">
                  <c:v>53.528518650089161</c:v>
                </c:pt>
                <c:pt idx="15">
                  <c:v>54.845101014529511</c:v>
                </c:pt>
                <c:pt idx="16">
                  <c:v>56.316468002074117</c:v>
                </c:pt>
                <c:pt idx="17">
                  <c:v>57.940872900767133</c:v>
                </c:pt>
                <c:pt idx="18">
                  <c:v>59.716932633410508</c:v>
                </c:pt>
                <c:pt idx="19">
                  <c:v>61.642103419846549</c:v>
                </c:pt>
                <c:pt idx="20">
                  <c:v>63.71401451613437</c:v>
                </c:pt>
                <c:pt idx="21">
                  <c:v>65.929211829067867</c:v>
                </c:pt>
                <c:pt idx="22">
                  <c:v>68.282233623562746</c:v>
                </c:pt>
                <c:pt idx="23">
                  <c:v>70.764954852547746</c:v>
                </c:pt>
                <c:pt idx="24">
                  <c:v>73.364513310303693</c:v>
                </c:pt>
                <c:pt idx="25">
                  <c:v>76.061587611447692</c:v>
                </c:pt>
                <c:pt idx="26">
                  <c:v>78.81922862244744</c:v>
                </c:pt>
                <c:pt idx="27">
                  <c:v>81.507379398410805</c:v>
                </c:pt>
                <c:pt idx="28">
                  <c:v>84.006386183492225</c:v>
                </c:pt>
                <c:pt idx="29">
                  <c:v>84.685344406773822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924F44C-0CB6-4B97-AA84-F40707F40138}"/>
            </c:ext>
          </c:extLst>
        </c:ser>
        <c:ser>
          <c:idx val="8"/>
          <c:order val="8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Diagrammdaten!$L$329:$L$358</c:f>
              <c:numCache>
                <c:formatCode>General</c:formatCode>
                <c:ptCount val="30"/>
                <c:pt idx="0">
                  <c:v>47.884000000000071</c:v>
                </c:pt>
                <c:pt idx="1">
                  <c:v>53.722022368973626</c:v>
                </c:pt>
                <c:pt idx="2">
                  <c:v>59.56004473794718</c:v>
                </c:pt>
                <c:pt idx="3">
                  <c:v>65.39806710692072</c:v>
                </c:pt>
                <c:pt idx="4">
                  <c:v>71.236089475894275</c:v>
                </c:pt>
                <c:pt idx="5">
                  <c:v>77.074111844867829</c:v>
                </c:pt>
                <c:pt idx="6">
                  <c:v>82.91213421384137</c:v>
                </c:pt>
                <c:pt idx="7">
                  <c:v>88.750156582814924</c:v>
                </c:pt>
                <c:pt idx="8">
                  <c:v>94.588178951788478</c:v>
                </c:pt>
                <c:pt idx="9">
                  <c:v>100.42620132076203</c:v>
                </c:pt>
                <c:pt idx="10">
                  <c:v>106.26422368973559</c:v>
                </c:pt>
                <c:pt idx="11">
                  <c:v>112.10224605870913</c:v>
                </c:pt>
                <c:pt idx="12">
                  <c:v>117.94026842768268</c:v>
                </c:pt>
                <c:pt idx="13">
                  <c:v>123.77829079665624</c:v>
                </c:pt>
                <c:pt idx="14">
                  <c:v>129.61631316562978</c:v>
                </c:pt>
                <c:pt idx="15">
                  <c:v>135.45433553460333</c:v>
                </c:pt>
                <c:pt idx="16">
                  <c:v>141.29235790357689</c:v>
                </c:pt>
                <c:pt idx="17">
                  <c:v>147.13038027255044</c:v>
                </c:pt>
                <c:pt idx="18">
                  <c:v>152.96840264152399</c:v>
                </c:pt>
                <c:pt idx="19">
                  <c:v>158.80642501049755</c:v>
                </c:pt>
                <c:pt idx="20">
                  <c:v>164.6444473794711</c:v>
                </c:pt>
                <c:pt idx="21">
                  <c:v>170.48246974844466</c:v>
                </c:pt>
                <c:pt idx="22">
                  <c:v>176.32049211741818</c:v>
                </c:pt>
                <c:pt idx="23">
                  <c:v>182.15851448639174</c:v>
                </c:pt>
                <c:pt idx="24">
                  <c:v>187.99653685536529</c:v>
                </c:pt>
                <c:pt idx="25">
                  <c:v>193.83455922433885</c:v>
                </c:pt>
                <c:pt idx="26">
                  <c:v>199.6725815933124</c:v>
                </c:pt>
                <c:pt idx="27">
                  <c:v>205.51060396228596</c:v>
                </c:pt>
                <c:pt idx="28">
                  <c:v>211.34862633125948</c:v>
                </c:pt>
                <c:pt idx="29">
                  <c:v>217.18664870023304</c:v>
                </c:pt>
              </c:numCache>
            </c:numRef>
          </c:xVal>
          <c:yVal>
            <c:numRef>
              <c:f>Diagrammdaten!$K$329:$K$358</c:f>
              <c:numCache>
                <c:formatCode>General</c:formatCode>
                <c:ptCount val="30"/>
                <c:pt idx="0">
                  <c:v>2.4780051259929632</c:v>
                </c:pt>
                <c:pt idx="1">
                  <c:v>3.2104599332675336</c:v>
                </c:pt>
                <c:pt idx="2">
                  <c:v>4.0147345983788778</c:v>
                </c:pt>
                <c:pt idx="3">
                  <c:v>4.8949818046756448</c:v>
                </c:pt>
                <c:pt idx="4">
                  <c:v>5.8564245962950601</c:v>
                </c:pt>
                <c:pt idx="5">
                  <c:v>6.9029427794701999</c:v>
                </c:pt>
                <c:pt idx="6">
                  <c:v>8.0394947701484778</c:v>
                </c:pt>
                <c:pt idx="7">
                  <c:v>9.2713091561138921</c:v>
                </c:pt>
                <c:pt idx="8">
                  <c:v>10.603085389059821</c:v>
                </c:pt>
                <c:pt idx="9">
                  <c:v>12.039852172418426</c:v>
                </c:pt>
                <c:pt idx="10">
                  <c:v>13.586873765952987</c:v>
                </c:pt>
                <c:pt idx="11">
                  <c:v>15.249592936904534</c:v>
                </c:pt>
                <c:pt idx="12">
                  <c:v>17.033658727159636</c:v>
                </c:pt>
                <c:pt idx="13">
                  <c:v>18.945376817165933</c:v>
                </c:pt>
                <c:pt idx="14">
                  <c:v>20.990785665133657</c:v>
                </c:pt>
                <c:pt idx="15">
                  <c:v>23.176208762572006</c:v>
                </c:pt>
                <c:pt idx="16">
                  <c:v>25.508607393240041</c:v>
                </c:pt>
                <c:pt idx="17">
                  <c:v>27.995474228307575</c:v>
                </c:pt>
                <c:pt idx="18">
                  <c:v>30.644973518769611</c:v>
                </c:pt>
                <c:pt idx="19">
                  <c:v>33.466550208449242</c:v>
                </c:pt>
                <c:pt idx="20">
                  <c:v>36.470502620113258</c:v>
                </c:pt>
                <c:pt idx="21">
                  <c:v>39.668178690413654</c:v>
                </c:pt>
                <c:pt idx="22">
                  <c:v>43.073587576943865</c:v>
                </c:pt>
                <c:pt idx="23">
                  <c:v>46.703908661604409</c:v>
                </c:pt>
                <c:pt idx="24">
                  <c:v>50.58211318954023</c:v>
                </c:pt>
                <c:pt idx="25">
                  <c:v>54.739597871776695</c:v>
                </c:pt>
                <c:pt idx="26">
                  <c:v>59.295247173517502</c:v>
                </c:pt>
                <c:pt idx="27">
                  <c:v>64.156072857380096</c:v>
                </c:pt>
                <c:pt idx="28">
                  <c:v>69.693005578099459</c:v>
                </c:pt>
                <c:pt idx="29">
                  <c:v>77.896473762668705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67BD0CDD-E244-45B9-9C95-B9540A77C2B4}"/>
            </c:ext>
          </c:extLst>
        </c:ser>
        <c:ser>
          <c:idx val="14"/>
          <c:order val="9"/>
          <c:tx>
            <c:v>S2: verdichten → überkritisch kühlen → pumpen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xVal>
            <c:numRef>
              <c:f>Diagrammdaten!$L$128:$L$133</c:f>
              <c:numCache>
                <c:formatCode>General</c:formatCode>
                <c:ptCount val="6"/>
                <c:pt idx="0">
                  <c:v>191</c:v>
                </c:pt>
                <c:pt idx="1">
                  <c:v>275.99996894817946</c:v>
                </c:pt>
                <c:pt idx="2">
                  <c:v>213</c:v>
                </c:pt>
                <c:pt idx="3">
                  <c:v>315.75429467943798</c:v>
                </c:pt>
                <c:pt idx="4">
                  <c:v>213</c:v>
                </c:pt>
                <c:pt idx="5">
                  <c:v>224.49938892528485</c:v>
                </c:pt>
              </c:numCache>
            </c:numRef>
          </c:xVal>
          <c:yVal>
            <c:numRef>
              <c:f>Diagrammdaten!$K$128:$K$133</c:f>
              <c:numCache>
                <c:formatCode>General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50</c:v>
                </c:pt>
                <c:pt idx="3">
                  <c:v>91</c:v>
                </c:pt>
                <c:pt idx="4">
                  <c:v>91</c:v>
                </c:pt>
                <c:pt idx="5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97-47FC-8DC3-5ACFE91589D0}"/>
            </c:ext>
          </c:extLst>
        </c:ser>
        <c:ser>
          <c:idx val="9"/>
          <c:order val="10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  <c:numCache>
                <c:formatCode>General</c:formatCode>
                <c:ptCount val="25"/>
                <c:pt idx="0">
                  <c:v>1</c:v>
                </c:pt>
                <c:pt idx="1">
                  <c:v>2.9535999999999945</c:v>
                </c:pt>
                <c:pt idx="2">
                  <c:v>4.9070000000000107</c:v>
                </c:pt>
                <c:pt idx="3">
                  <c:v>6.8606000000000051</c:v>
                </c:pt>
                <c:pt idx="4">
                  <c:v>8.813999999999993</c:v>
                </c:pt>
                <c:pt idx="5">
                  <c:v>10.767599999999987</c:v>
                </c:pt>
                <c:pt idx="6">
                  <c:v>12.721000000000004</c:v>
                </c:pt>
                <c:pt idx="7">
                  <c:v>14.674599999999998</c:v>
                </c:pt>
                <c:pt idx="8">
                  <c:v>16.627999999999986</c:v>
                </c:pt>
                <c:pt idx="9">
                  <c:v>18.581600000000009</c:v>
                </c:pt>
                <c:pt idx="10">
                  <c:v>20.534999999999997</c:v>
                </c:pt>
                <c:pt idx="11">
                  <c:v>22.488599999999991</c:v>
                </c:pt>
                <c:pt idx="12">
                  <c:v>24.442000000000007</c:v>
                </c:pt>
                <c:pt idx="13">
                  <c:v>26.395600000000002</c:v>
                </c:pt>
                <c:pt idx="14">
                  <c:v>28.34899999999999</c:v>
                </c:pt>
                <c:pt idx="15">
                  <c:v>30.302600000000012</c:v>
                </c:pt>
                <c:pt idx="16">
                  <c:v>32.256</c:v>
                </c:pt>
                <c:pt idx="17">
                  <c:v>34.209599999999995</c:v>
                </c:pt>
                <c:pt idx="18">
                  <c:v>36.162999999999997</c:v>
                </c:pt>
                <c:pt idx="19">
                  <c:v>38.116600000000005</c:v>
                </c:pt>
                <c:pt idx="20">
                  <c:v>40.069999999999993</c:v>
                </c:pt>
                <c:pt idx="21">
                  <c:v>42.023600000000002</c:v>
                </c:pt>
                <c:pt idx="22">
                  <c:v>43.977000000000004</c:v>
                </c:pt>
                <c:pt idx="23">
                  <c:v>45.930599999999998</c:v>
                </c:pt>
                <c:pt idx="24">
                  <c:v>47.884</c:v>
                </c:pt>
              </c:numCache>
            </c:numRef>
          </c:xVal>
          <c:yVal>
            <c:numRef>
              <c:f>Diagrammdaten!$K$79:$K$103</c:f>
              <c:numCache>
                <c:formatCode>General</c:formatCode>
                <c:ptCount val="25"/>
                <c:pt idx="0">
                  <c:v>0.89239999999999997</c:v>
                </c:pt>
                <c:pt idx="1">
                  <c:v>0.9677</c:v>
                </c:pt>
                <c:pt idx="2">
                  <c:v>1.0486</c:v>
                </c:pt>
                <c:pt idx="3">
                  <c:v>1.1353</c:v>
                </c:pt>
                <c:pt idx="4">
                  <c:v>1.2282999999999999</c:v>
                </c:pt>
                <c:pt idx="5">
                  <c:v>1.3280000000000001</c:v>
                </c:pt>
                <c:pt idx="6">
                  <c:v>1.4346000000000001</c:v>
                </c:pt>
                <c:pt idx="7">
                  <c:v>1.5488</c:v>
                </c:pt>
                <c:pt idx="8">
                  <c:v>1.6709000000000001</c:v>
                </c:pt>
                <c:pt idx="9">
                  <c:v>1.8013999999999999</c:v>
                </c:pt>
                <c:pt idx="10">
                  <c:v>1.9408000000000001</c:v>
                </c:pt>
                <c:pt idx="11">
                  <c:v>2.0897000000000001</c:v>
                </c:pt>
                <c:pt idx="12">
                  <c:v>2.2484999999999999</c:v>
                </c:pt>
                <c:pt idx="13">
                  <c:v>2.4180000000000001</c:v>
                </c:pt>
                <c:pt idx="14">
                  <c:v>2.5985</c:v>
                </c:pt>
                <c:pt idx="15">
                  <c:v>2.7909999999999999</c:v>
                </c:pt>
                <c:pt idx="16">
                  <c:v>2.9958999999999998</c:v>
                </c:pt>
                <c:pt idx="17">
                  <c:v>3.214</c:v>
                </c:pt>
                <c:pt idx="18">
                  <c:v>3.4462000000000002</c:v>
                </c:pt>
                <c:pt idx="19">
                  <c:v>3.6930000000000001</c:v>
                </c:pt>
                <c:pt idx="20">
                  <c:v>3.9554999999999998</c:v>
                </c:pt>
                <c:pt idx="21">
                  <c:v>4.2343999999999999</c:v>
                </c:pt>
                <c:pt idx="22">
                  <c:v>4.5308000000000002</c:v>
                </c:pt>
                <c:pt idx="23">
                  <c:v>4.8455000000000004</c:v>
                </c:pt>
                <c:pt idx="24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97-47FC-8DC3-5ACFE91589D0}"/>
            </c:ext>
          </c:extLst>
        </c:ser>
        <c:ser>
          <c:idx val="10"/>
          <c:order val="11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  <c:numCache>
                <c:formatCode>General</c:formatCode>
                <c:ptCount val="15"/>
                <c:pt idx="0">
                  <c:v>47.884</c:v>
                </c:pt>
                <c:pt idx="1">
                  <c:v>48.613799999999998</c:v>
                </c:pt>
                <c:pt idx="2">
                  <c:v>49.343599999999995</c:v>
                </c:pt>
                <c:pt idx="3">
                  <c:v>50.073400000000007</c:v>
                </c:pt>
                <c:pt idx="4">
                  <c:v>50.803200000000004</c:v>
                </c:pt>
                <c:pt idx="5">
                  <c:v>51.532799999999995</c:v>
                </c:pt>
                <c:pt idx="6">
                  <c:v>52.262600000000006</c:v>
                </c:pt>
                <c:pt idx="7">
                  <c:v>52.992400000000004</c:v>
                </c:pt>
                <c:pt idx="8">
                  <c:v>53.722200000000001</c:v>
                </c:pt>
                <c:pt idx="9">
                  <c:v>54.451999999999998</c:v>
                </c:pt>
                <c:pt idx="10">
                  <c:v>55.181799999999996</c:v>
                </c:pt>
                <c:pt idx="11">
                  <c:v>55.911600000000007</c:v>
                </c:pt>
                <c:pt idx="12">
                  <c:v>56.641400000000004</c:v>
                </c:pt>
                <c:pt idx="13">
                  <c:v>57.371200000000002</c:v>
                </c:pt>
                <c:pt idx="14">
                  <c:v>58.100800000000007</c:v>
                </c:pt>
              </c:numCache>
            </c:numRef>
          </c:xVal>
          <c:yVal>
            <c:numRef>
              <c:f>Diagrammdaten!$K$105:$K$119</c:f>
              <c:numCache>
                <c:formatCode>General</c:formatCode>
                <c:ptCount val="15"/>
                <c:pt idx="0">
                  <c:v>5.1795999999999998</c:v>
                </c:pt>
                <c:pt idx="1">
                  <c:v>22.274000000000001</c:v>
                </c:pt>
                <c:pt idx="2">
                  <c:v>39.428800000000003</c:v>
                </c:pt>
                <c:pt idx="3">
                  <c:v>56.643999999999998</c:v>
                </c:pt>
                <c:pt idx="4">
                  <c:v>73.919700000000006</c:v>
                </c:pt>
                <c:pt idx="5">
                  <c:v>91.255700000000004</c:v>
                </c:pt>
                <c:pt idx="6">
                  <c:v>108.6523</c:v>
                </c:pt>
                <c:pt idx="7">
                  <c:v>126.1092</c:v>
                </c:pt>
                <c:pt idx="8">
                  <c:v>143.6266</c:v>
                </c:pt>
                <c:pt idx="9">
                  <c:v>161.20439999999999</c:v>
                </c:pt>
                <c:pt idx="10">
                  <c:v>178.84270000000001</c:v>
                </c:pt>
                <c:pt idx="11">
                  <c:v>196.54130000000001</c:v>
                </c:pt>
                <c:pt idx="12">
                  <c:v>214.3005</c:v>
                </c:pt>
                <c:pt idx="13">
                  <c:v>232.12</c:v>
                </c:pt>
                <c:pt idx="1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97-47FC-8DC3-5ACFE91589D0}"/>
            </c:ext>
          </c:extLst>
        </c:ser>
        <c:ser>
          <c:idx val="11"/>
          <c:order val="12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  <c:numCache>
                <c:formatCode>General</c:formatCode>
                <c:ptCount val="1"/>
                <c:pt idx="0">
                  <c:v>47.884</c:v>
                </c:pt>
              </c:numCache>
            </c:numRef>
          </c:xVal>
          <c:yVal>
            <c:numRef>
              <c:f>Diagrammdaten!$K$121</c:f>
              <c:numCache>
                <c:formatCode>General</c:formatCode>
                <c:ptCount val="1"/>
                <c:pt idx="0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97-47FC-8DC3-5ACFE91589D0}"/>
            </c:ext>
          </c:extLst>
        </c:ser>
        <c:ser>
          <c:idx val="12"/>
          <c:order val="13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  <c:numCache>
                <c:formatCode>General</c:formatCode>
                <c:ptCount val="1"/>
                <c:pt idx="0">
                  <c:v>216.90944254906549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81.455055721913254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97-47FC-8DC3-5ACFE91589D0}"/>
            </c:ext>
          </c:extLst>
        </c:ser>
        <c:ser>
          <c:idx val="13"/>
          <c:order val="14"/>
          <c:tx>
            <c:v>S1: Pumpe</c:v>
          </c:tx>
          <c:spPr>
            <a:ln w="34925">
              <a:solidFill>
                <a:srgbClr val="007335"/>
              </a:solidFill>
            </a:ln>
          </c:spPr>
          <c:marker>
            <c:symbol val="diamond"/>
            <c:size val="8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xVal>
            <c:numRef>
              <c:f>Diagrammdaten!$L$125:$L$126</c:f>
              <c:numCache>
                <c:formatCode>General</c:formatCode>
                <c:ptCount val="2"/>
                <c:pt idx="0">
                  <c:v>191</c:v>
                </c:pt>
                <c:pt idx="1">
                  <c:v>197.79123845340376</c:v>
                </c:pt>
              </c:numCache>
            </c:numRef>
          </c:xVal>
          <c:yVal>
            <c:numRef>
              <c:f>Diagrammdaten!$K$125:$K$126</c:f>
              <c:numCache>
                <c:formatCode>General</c:formatCode>
                <c:ptCount val="2"/>
                <c:pt idx="0">
                  <c:v>91</c:v>
                </c:pt>
                <c:pt idx="1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97-47FC-8DC3-5ACFE91589D0}"/>
            </c:ext>
          </c:extLst>
        </c:ser>
        <c:ser>
          <c:idx val="16"/>
          <c:order val="15"/>
          <c:tx>
            <c:v>Vergleich: Durchverdichten (2 Stufen)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circl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Diagrammdaten!$L$138:$L$142</c:f>
              <c:numCache>
                <c:formatCode>General</c:formatCode>
                <c:ptCount val="5"/>
                <c:pt idx="0">
                  <c:v>191</c:v>
                </c:pt>
                <c:pt idx="1">
                  <c:v>282.87678547992414</c:v>
                </c:pt>
                <c:pt idx="2">
                  <c:v>213</c:v>
                </c:pt>
                <c:pt idx="3">
                  <c:v>350.49146766260105</c:v>
                </c:pt>
                <c:pt idx="4">
                  <c:v>224.49938892528485</c:v>
                </c:pt>
              </c:numCache>
            </c:numRef>
          </c:xVal>
          <c:yVal>
            <c:numRef>
              <c:f>Diagrammdaten!$K$138:$K$142</c:f>
              <c:numCache>
                <c:formatCode>General</c:formatCode>
                <c:ptCount val="5"/>
                <c:pt idx="0">
                  <c:v>30</c:v>
                </c:pt>
                <c:pt idx="1">
                  <c:v>52</c:v>
                </c:pt>
                <c:pt idx="2">
                  <c:v>52</c:v>
                </c:pt>
                <c:pt idx="3">
                  <c:v>114.93130198208927</c:v>
                </c:pt>
                <c:pt idx="4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97-47FC-8DC3-5ACFE91589D0}"/>
            </c:ext>
          </c:extLst>
        </c:ser>
        <c:ser>
          <c:idx val="17"/>
          <c:order val="16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497-47FC-8DC3-5ACFE91589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497-47FC-8DC3-5ACFE91589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497-47FC-8DC3-5ACFE91589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497-47FC-8DC3-5ACFE91589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F1C76B3A-1B70-4E0D-97B2-B0AE772C0073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Diagrammdaten!$L$144:$L$148</c:f>
              <c:numCache>
                <c:formatCode>General</c:formatCode>
                <c:ptCount val="5"/>
                <c:pt idx="0">
                  <c:v>19</c:v>
                </c:pt>
                <c:pt idx="1">
                  <c:v>101</c:v>
                </c:pt>
                <c:pt idx="2">
                  <c:v>305</c:v>
                </c:pt>
                <c:pt idx="3">
                  <c:v>331</c:v>
                </c:pt>
                <c:pt idx="4">
                  <c:v>117</c:v>
                </c:pt>
              </c:numCache>
            </c:numRef>
          </c:xVal>
          <c:yVal>
            <c:numRef>
              <c:f>Diagrammdaten!$K$144:$K$148</c:f>
              <c:numCache>
                <c:formatCode>General</c:formatCode>
                <c:ptCount val="5"/>
                <c:pt idx="0">
                  <c:v>70</c:v>
                </c:pt>
                <c:pt idx="1">
                  <c:v>105</c:v>
                </c:pt>
                <c:pt idx="2">
                  <c:v>12</c:v>
                </c:pt>
                <c:pt idx="3">
                  <c:v>120</c:v>
                </c:pt>
                <c:pt idx="4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97-47FC-8DC3-5ACFE91589D0}"/>
            </c:ext>
          </c:extLst>
        </c:ser>
        <c:ser>
          <c:idx val="18"/>
          <c:order val="17"/>
          <c:tx>
            <c:v>Beschriftung Punkte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S1 Netzübergabe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5497-47FC-8DC3-5ACFE91589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S2 Netzübergabe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497-47FC-8DC3-5ACFE91589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Verdichter 2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497-47FC-8DC3-5ACFE91589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Kühler 91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5497-47FC-8DC3-5ACFE91589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Bohrlochkopf S1 114,3 / S2 127,3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5497-47FC-8DC3-5ACFE91589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Verdichter 1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5497-47FC-8DC3-5ACFE91589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Zwischenkühler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497-47FC-8DC3-5ACFE91589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Durchverdichten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5497-47FC-8DC3-5ACFE91589D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Diagrammdaten!$L$149:$L$156</c:f>
              <c:numCache>
                <c:formatCode>General</c:formatCode>
                <c:ptCount val="8"/>
                <c:pt idx="0">
                  <c:v>163</c:v>
                </c:pt>
                <c:pt idx="1">
                  <c:v>191</c:v>
                </c:pt>
                <c:pt idx="2">
                  <c:v>337.75429467943798</c:v>
                </c:pt>
                <c:pt idx="3">
                  <c:v>257</c:v>
                </c:pt>
                <c:pt idx="4">
                  <c:v>207</c:v>
                </c:pt>
                <c:pt idx="5">
                  <c:v>295.99996894817946</c:v>
                </c:pt>
                <c:pt idx="6">
                  <c:v>241</c:v>
                </c:pt>
                <c:pt idx="7">
                  <c:v>355</c:v>
                </c:pt>
              </c:numCache>
            </c:numRef>
          </c:xVal>
          <c:yVal>
            <c:numRef>
              <c:f>Diagrammdaten!$K$149:$K$156</c:f>
              <c:numCache>
                <c:formatCode>General</c:formatCode>
                <c:ptCount val="8"/>
                <c:pt idx="0">
                  <c:v>91</c:v>
                </c:pt>
                <c:pt idx="1">
                  <c:v>25</c:v>
                </c:pt>
                <c:pt idx="2">
                  <c:v>86</c:v>
                </c:pt>
                <c:pt idx="3">
                  <c:v>95</c:v>
                </c:pt>
                <c:pt idx="4">
                  <c:v>120.93130198208927</c:v>
                </c:pt>
                <c:pt idx="5">
                  <c:v>45</c:v>
                </c:pt>
                <c:pt idx="6">
                  <c:v>54</c:v>
                </c:pt>
                <c:pt idx="7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497-47FC-8DC3-5ACFE91589D0}"/>
            </c:ext>
          </c:extLst>
        </c:ser>
        <c:ser>
          <c:idx val="20"/>
          <c:order val="18"/>
          <c:tx>
            <c:v>ρ = 500 kg/m³ (Gemisch)</c:v>
          </c:tx>
          <c:spPr>
            <a:ln w="19050" cap="rnd">
              <a:solidFill>
                <a:srgbClr val="EE7203"/>
              </a:solidFill>
              <a:prstDash val="dot"/>
            </a:ln>
          </c:spPr>
          <c:marker>
            <c:symbol val="none"/>
          </c:marker>
          <c:xVal>
            <c:numRef>
              <c:f>Diagrammdaten!$L$367:$L$378</c:f>
              <c:numCache>
                <c:formatCode>General</c:formatCode>
                <c:ptCount val="12"/>
                <c:pt idx="0">
                  <c:v>217.85134356035329</c:v>
                </c:pt>
                <c:pt idx="1">
                  <c:v>222.00349837929957</c:v>
                </c:pt>
                <c:pt idx="2">
                  <c:v>226.12709398633615</c:v>
                </c:pt>
                <c:pt idx="3">
                  <c:v>230.22967074606737</c:v>
                </c:pt>
                <c:pt idx="4">
                  <c:v>234.31034545220444</c:v>
                </c:pt>
                <c:pt idx="5">
                  <c:v>238.37850541109458</c:v>
                </c:pt>
                <c:pt idx="6">
                  <c:v>242.43380590193343</c:v>
                </c:pt>
                <c:pt idx="7">
                  <c:v>246.47248541967753</c:v>
                </c:pt>
                <c:pt idx="8">
                  <c:v>250.50384302228866</c:v>
                </c:pt>
                <c:pt idx="9">
                  <c:v>254.52588197435807</c:v>
                </c:pt>
                <c:pt idx="10">
                  <c:v>258.53954055736733</c:v>
                </c:pt>
                <c:pt idx="11">
                  <c:v>262.54403313554269</c:v>
                </c:pt>
              </c:numCache>
            </c:numRef>
          </c:xVal>
          <c:yVal>
            <c:numRef>
              <c:f>Diagrammdaten!$K$367:$K$378</c:f>
              <c:numCache>
                <c:formatCode>General</c:formatCode>
                <c:ptCount val="12"/>
                <c:pt idx="0">
                  <c:v>84</c:v>
                </c:pt>
                <c:pt idx="1">
                  <c:v>88</c:v>
                </c:pt>
                <c:pt idx="2">
                  <c:v>92</c:v>
                </c:pt>
                <c:pt idx="3">
                  <c:v>96</c:v>
                </c:pt>
                <c:pt idx="4">
                  <c:v>100</c:v>
                </c:pt>
                <c:pt idx="5">
                  <c:v>104</c:v>
                </c:pt>
                <c:pt idx="6">
                  <c:v>108</c:v>
                </c:pt>
                <c:pt idx="7">
                  <c:v>112</c:v>
                </c:pt>
                <c:pt idx="8">
                  <c:v>116</c:v>
                </c:pt>
                <c:pt idx="9">
                  <c:v>120</c:v>
                </c:pt>
                <c:pt idx="10">
                  <c:v>124</c:v>
                </c:pt>
                <c:pt idx="11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5B-45C4-BC33-2207877AA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4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 val="autoZero"/>
        <c:crossBetween val="between"/>
        <c:majorUnit val="10"/>
      </c:valAx>
      <c:valAx>
        <c:axId val="60080002"/>
        <c:scaling>
          <c:orientation val="minMax"/>
          <c:max val="14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valAx>
        <c:axId val="6008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8000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7_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NUR STILLSTAND – Bohrloch und Kaverne V1: Gassäulen für voll, Grenzfall und leer (nach Q-028, Fig. 3) – Worst-Case-Gemisch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Diagrammdaten!$D$8:$D$388</c:f>
              <c:numCache>
                <c:formatCode>General</c:formatCode>
                <c:ptCount val="381"/>
                <c:pt idx="0">
                  <c:v>0.89241567971802016</c:v>
                </c:pt>
                <c:pt idx="1">
                  <c:v>0.93029797403040304</c:v>
                </c:pt>
                <c:pt idx="2">
                  <c:v>0.96958837381022944</c:v>
                </c:pt>
                <c:pt idx="3">
                  <c:v>1.010331934508877</c:v>
                </c:pt>
                <c:pt idx="4">
                  <c:v>1.0525749397826214</c:v>
                </c:pt>
                <c:pt idx="5">
                  <c:v>1.0963649308553405</c:v>
                </c:pt>
                <c:pt idx="6">
                  <c:v>1.1417507366031867</c:v>
                </c:pt>
                <c:pt idx="7">
                  <c:v>1.1887825043863187</c:v>
                </c:pt>
                <c:pt idx="8">
                  <c:v>1.2375117316542428</c:v>
                </c:pt>
                <c:pt idx="9">
                  <c:v>1.2879912983528754</c:v>
                </c:pt>
                <c:pt idx="10">
                  <c:v>1.340275500163288</c:v>
                </c:pt>
                <c:pt idx="11">
                  <c:v>1.3944200826039743</c:v>
                </c:pt>
                <c:pt idx="12">
                  <c:v>1.4504822760307026</c:v>
                </c:pt>
                <c:pt idx="13">
                  <c:v>1.5085208315704552</c:v>
                </c:pt>
                <c:pt idx="14">
                  <c:v>1.5685960580286391</c:v>
                </c:pt>
                <c:pt idx="15">
                  <c:v>1.6307698598119242</c:v>
                </c:pt>
                <c:pt idx="16">
                  <c:v>1.6951057759124981</c:v>
                </c:pt>
                <c:pt idx="17">
                  <c:v>1.7616690200035732</c:v>
                </c:pt>
                <c:pt idx="18">
                  <c:v>1.8305265217005857</c:v>
                </c:pt>
                <c:pt idx="19">
                  <c:v>1.901746969047835</c:v>
                </c:pt>
                <c:pt idx="20">
                  <c:v>1.9754008522965969</c:v>
                </c:pt>
                <c:pt idx="21">
                  <c:v>2.0515605090479743</c:v>
                </c:pt>
                <c:pt idx="22">
                  <c:v>2.1303001708424727</c:v>
                </c:pt>
                <c:pt idx="23">
                  <c:v>2.2116960112886028</c:v>
                </c:pt>
                <c:pt idx="24">
                  <c:v>2.2958261958352479</c:v>
                </c:pt>
                <c:pt idx="25">
                  <c:v>2.3827709333077967</c:v>
                </c:pt>
                <c:pt idx="26">
                  <c:v>2.4726125293466135</c:v>
                </c:pt>
                <c:pt idx="27">
                  <c:v>2.5654354419096896</c:v>
                </c:pt>
                <c:pt idx="28">
                  <c:v>2.6613263390304978</c:v>
                </c:pt>
                <c:pt idx="29">
                  <c:v>2.7603741590594004</c:v>
                </c:pt>
                <c:pt idx="30">
                  <c:v>2.862670173664994</c:v>
                </c:pt>
                <c:pt idx="31">
                  <c:v>2.9683080539352531</c:v>
                </c:pt>
                <c:pt idx="32">
                  <c:v>3.0773839400026244</c:v>
                </c:pt>
                <c:pt idx="33">
                  <c:v>3.1899965147323135</c:v>
                </c:pt>
                <c:pt idx="34">
                  <c:v>3.3062470821726935</c:v>
                </c:pt>
                <c:pt idx="35">
                  <c:v>3.426239651693705</c:v>
                </c:pt>
                <c:pt idx="36">
                  <c:v>3.5500810290707134</c:v>
                </c:pt>
                <c:pt idx="37">
                  <c:v>3.6778809162695403</c:v>
                </c:pt>
                <c:pt idx="38">
                  <c:v>3.8097520224647976</c:v>
                </c:pt>
                <c:pt idx="39">
                  <c:v>3.9458101900827693</c:v>
                </c:pt>
                <c:pt idx="40">
                  <c:v>4.0861745418042217</c:v>
                </c:pt>
                <c:pt idx="41">
                  <c:v>4.2309676583365281</c:v>
                </c:pt>
                <c:pt idx="42">
                  <c:v>4.3803158042993156</c:v>
                </c:pt>
                <c:pt idx="43">
                  <c:v>4.5343492356916677</c:v>
                </c:pt>
                <c:pt idx="44">
                  <c:v>4.6932026616762457</c:v>
                </c:pt>
                <c:pt idx="45">
                  <c:v>4.8570160489607197</c:v>
                </c:pt>
                <c:pt idx="46">
                  <c:v>5.0259364249698981</c:v>
                </c:pt>
                <c:pt idx="47">
                  <c:v>5.4919860799449749</c:v>
                </c:pt>
                <c:pt idx="48">
                  <c:v>5.6127439371801966</c:v>
                </c:pt>
                <c:pt idx="49">
                  <c:v>5.7355076682387329</c:v>
                </c:pt>
                <c:pt idx="50">
                  <c:v>5.8602987779670137</c:v>
                </c:pt>
                <c:pt idx="51">
                  <c:v>5.9871388591800443</c:v>
                </c:pt>
                <c:pt idx="52">
                  <c:v>6.1160495926643224</c:v>
                </c:pt>
                <c:pt idx="53">
                  <c:v>6.2470527471981425</c:v>
                </c:pt>
                <c:pt idx="54">
                  <c:v>6.3801701795764982</c:v>
                </c:pt>
                <c:pt idx="55">
                  <c:v>6.5154238347897238</c:v>
                </c:pt>
                <c:pt idx="56">
                  <c:v>6.6528357460767671</c:v>
                </c:pt>
                <c:pt idx="57">
                  <c:v>6.7924280351432822</c:v>
                </c:pt>
                <c:pt idx="58">
                  <c:v>6.9342229123897052</c:v>
                </c:pt>
                <c:pt idx="59">
                  <c:v>7.0782426771019722</c:v>
                </c:pt>
                <c:pt idx="60">
                  <c:v>7.2245097178489024</c:v>
                </c:pt>
                <c:pt idx="61">
                  <c:v>7.3730465127103502</c:v>
                </c:pt>
                <c:pt idx="62">
                  <c:v>7.5238756297246789</c:v>
                </c:pt>
                <c:pt idx="63">
                  <c:v>7.6770197272943728</c:v>
                </c:pt>
                <c:pt idx="64">
                  <c:v>7.8324218604236382</c:v>
                </c:pt>
                <c:pt idx="65">
                  <c:v>7.9903439524663922</c:v>
                </c:pt>
                <c:pt idx="66">
                  <c:v>8.1505698531683723</c:v>
                </c:pt>
                <c:pt idx="67">
                  <c:v>8.3132022818456477</c:v>
                </c:pt>
                <c:pt idx="68">
                  <c:v>8.4782643567241394</c:v>
                </c:pt>
                <c:pt idx="69">
                  <c:v>8.6457792899035155</c:v>
                </c:pt>
                <c:pt idx="70">
                  <c:v>8.8157703881778495</c:v>
                </c:pt>
                <c:pt idx="71">
                  <c:v>8.9882610537478094</c:v>
                </c:pt>
                <c:pt idx="72">
                  <c:v>9.1632747851362311</c:v>
                </c:pt>
                <c:pt idx="73">
                  <c:v>9.3408351781147942</c:v>
                </c:pt>
                <c:pt idx="74">
                  <c:v>9.5209659265827469</c:v>
                </c:pt>
                <c:pt idx="75">
                  <c:v>9.7036908236466317</c:v>
                </c:pt>
                <c:pt idx="76">
                  <c:v>9.889033762673316</c:v>
                </c:pt>
                <c:pt idx="77">
                  <c:v>10.077018738400762</c:v>
                </c:pt>
                <c:pt idx="78">
                  <c:v>10.267669848055281</c:v>
                </c:pt>
                <c:pt idx="79">
                  <c:v>10.461011292705777</c:v>
                </c:pt>
                <c:pt idx="80">
                  <c:v>10.65706737848825</c:v>
                </c:pt>
                <c:pt idx="81">
                  <c:v>10.855862517881613</c:v>
                </c:pt>
                <c:pt idx="82">
                  <c:v>11.057421231298767</c:v>
                </c:pt>
                <c:pt idx="83">
                  <c:v>11.261768148424618</c:v>
                </c:pt>
                <c:pt idx="84">
                  <c:v>11.46892800980112</c:v>
                </c:pt>
                <c:pt idx="85">
                  <c:v>11.678925668469054</c:v>
                </c:pt>
                <c:pt idx="86">
                  <c:v>11.891786091679583</c:v>
                </c:pt>
                <c:pt idx="87">
                  <c:v>12.107534362600649</c:v>
                </c:pt>
                <c:pt idx="88">
                  <c:v>12.326195682274205</c:v>
                </c:pt>
                <c:pt idx="89">
                  <c:v>12.547795371500028</c:v>
                </c:pt>
                <c:pt idx="90">
                  <c:v>12.772358872889802</c:v>
                </c:pt>
                <c:pt idx="91">
                  <c:v>12.999911753042955</c:v>
                </c:pt>
                <c:pt idx="92">
                  <c:v>13.230479704752533</c:v>
                </c:pt>
                <c:pt idx="93">
                  <c:v>13.464088549338307</c:v>
                </c:pt>
                <c:pt idx="94">
                  <c:v>13.700764239189271</c:v>
                </c:pt>
                <c:pt idx="95">
                  <c:v>13.940532860287671</c:v>
                </c:pt>
                <c:pt idx="96">
                  <c:v>14.183351703185131</c:v>
                </c:pt>
                <c:pt idx="97">
                  <c:v>14.429453924659507</c:v>
                </c:pt>
                <c:pt idx="98">
                  <c:v>14.678659233038044</c:v>
                </c:pt>
                <c:pt idx="99">
                  <c:v>14.931063208978326</c:v>
                </c:pt>
                <c:pt idx="100">
                  <c:v>15.186692649944018</c:v>
                </c:pt>
                <c:pt idx="101">
                  <c:v>15.445574505341019</c:v>
                </c:pt>
                <c:pt idx="102">
                  <c:v>15.707735880186359</c:v>
                </c:pt>
                <c:pt idx="103">
                  <c:v>15.973204038727578</c:v>
                </c:pt>
                <c:pt idx="104">
                  <c:v>16.242006408537232</c:v>
                </c:pt>
                <c:pt idx="105">
                  <c:v>16.514170584509827</c:v>
                </c:pt>
                <c:pt idx="106">
                  <c:v>16.789724333197771</c:v>
                </c:pt>
                <c:pt idx="107">
                  <c:v>17.06869559729407</c:v>
                </c:pt>
                <c:pt idx="108">
                  <c:v>17.351112500347501</c:v>
                </c:pt>
                <c:pt idx="109">
                  <c:v>17.637003351619452</c:v>
                </c:pt>
                <c:pt idx="110">
                  <c:v>17.926396651249259</c:v>
                </c:pt>
                <c:pt idx="111">
                  <c:v>18.219321095572891</c:v>
                </c:pt>
                <c:pt idx="112">
                  <c:v>18.515805582712161</c:v>
                </c:pt>
                <c:pt idx="113">
                  <c:v>18.815879218407041</c:v>
                </c:pt>
                <c:pt idx="114">
                  <c:v>19.119571322090206</c:v>
                </c:pt>
                <c:pt idx="115">
                  <c:v>19.426911433245074</c:v>
                </c:pt>
                <c:pt idx="116">
                  <c:v>19.737929318057201</c:v>
                </c:pt>
                <c:pt idx="117">
                  <c:v>20.052654976276475</c:v>
                </c:pt>
                <c:pt idx="118">
                  <c:v>20.371118648517893</c:v>
                </c:pt>
                <c:pt idx="119">
                  <c:v>20.693350823792674</c:v>
                </c:pt>
                <c:pt idx="120">
                  <c:v>21.019382247337123</c:v>
                </c:pt>
                <c:pt idx="121">
                  <c:v>21.349243928996074</c:v>
                </c:pt>
                <c:pt idx="122">
                  <c:v>21.682967151690651</c:v>
                </c:pt>
                <c:pt idx="123">
                  <c:v>22.020583480496693</c:v>
                </c:pt>
                <c:pt idx="124">
                  <c:v>22.362124772082222</c:v>
                </c:pt>
                <c:pt idx="125">
                  <c:v>22.707623184526081</c:v>
                </c:pt>
                <c:pt idx="126">
                  <c:v>23.057111187672984</c:v>
                </c:pt>
                <c:pt idx="127">
                  <c:v>23.410621573866361</c:v>
                </c:pt>
                <c:pt idx="128">
                  <c:v>23.768187469338002</c:v>
                </c:pt>
                <c:pt idx="129">
                  <c:v>24.12984234599627</c:v>
                </c:pt>
                <c:pt idx="130">
                  <c:v>24.495620033870402</c:v>
                </c:pt>
                <c:pt idx="131">
                  <c:v>24.865534504483001</c:v>
                </c:pt>
                <c:pt idx="132">
                  <c:v>25.239681032717183</c:v>
                </c:pt>
                <c:pt idx="133">
                  <c:v>25.618033914754317</c:v>
                </c:pt>
                <c:pt idx="134">
                  <c:v>26.000648779532593</c:v>
                </c:pt>
                <c:pt idx="135">
                  <c:v>26.387561456360864</c:v>
                </c:pt>
                <c:pt idx="136">
                  <c:v>26.77880822122118</c:v>
                </c:pt>
                <c:pt idx="137">
                  <c:v>27.174425814219134</c:v>
                </c:pt>
                <c:pt idx="138">
                  <c:v>27.574451458074829</c:v>
                </c:pt>
                <c:pt idx="139">
                  <c:v>27.978922877476542</c:v>
                </c:pt>
                <c:pt idx="140">
                  <c:v>28.387878319565097</c:v>
                </c:pt>
                <c:pt idx="141">
                  <c:v>28.801356575535983</c:v>
                </c:pt>
                <c:pt idx="142">
                  <c:v>29.21966600247509</c:v>
                </c:pt>
                <c:pt idx="143">
                  <c:v>29.644089510561468</c:v>
                </c:pt>
                <c:pt idx="144">
                  <c:v>30.069598596144392</c:v>
                </c:pt>
                <c:pt idx="145">
                  <c:v>30.503380530925153</c:v>
                </c:pt>
                <c:pt idx="146">
                  <c:v>30.937988822707315</c:v>
                </c:pt>
                <c:pt idx="147">
                  <c:v>31.379452087235325</c:v>
                </c:pt>
                <c:pt idx="148">
                  <c:v>31.82572702823888</c:v>
                </c:pt>
                <c:pt idx="149">
                  <c:v>32.276857732169212</c:v>
                </c:pt>
                <c:pt idx="150">
                  <c:v>32.732889090722054</c:v>
                </c:pt>
                <c:pt idx="151">
                  <c:v>33.193866839690045</c:v>
                </c:pt>
                <c:pt idx="152">
                  <c:v>33.659837600410995</c:v>
                </c:pt>
                <c:pt idx="153">
                  <c:v>34.130848923988133</c:v>
                </c:pt>
                <c:pt idx="154">
                  <c:v>34.606949338621241</c:v>
                </c:pt>
                <c:pt idx="155">
                  <c:v>35.088188400233264</c:v>
                </c:pt>
                <c:pt idx="156">
                  <c:v>35.574616746776918</c:v>
                </c:pt>
                <c:pt idx="157">
                  <c:v>36.066286156425733</c:v>
                </c:pt>
                <c:pt idx="158">
                  <c:v>36.563249610200728</c:v>
                </c:pt>
                <c:pt idx="159">
                  <c:v>37.065561359218584</c:v>
                </c:pt>
                <c:pt idx="160">
                  <c:v>37.573276997210179</c:v>
                </c:pt>
                <c:pt idx="161">
                  <c:v>38.086453538633471</c:v>
                </c:pt>
                <c:pt idx="162">
                  <c:v>38.60514950304249</c:v>
                </c:pt>
                <c:pt idx="163">
                  <c:v>39.129425006292543</c:v>
                </c:pt>
                <c:pt idx="164">
                  <c:v>39.659341859162808</c:v>
                </c:pt>
                <c:pt idx="165">
                  <c:v>40.19496367434504</c:v>
                </c:pt>
                <c:pt idx="166">
                  <c:v>40.736355982418857</c:v>
                </c:pt>
                <c:pt idx="167">
                  <c:v>41.283586357901441</c:v>
                </c:pt>
                <c:pt idx="168">
                  <c:v>41.836420633447588</c:v>
                </c:pt>
                <c:pt idx="169">
                  <c:v>42.3958426640854</c:v>
                </c:pt>
                <c:pt idx="170">
                  <c:v>42.961015260630354</c:v>
                </c:pt>
                <c:pt idx="171">
                  <c:v>43.532319597590259</c:v>
                </c:pt>
                <c:pt idx="172">
                  <c:v>44.109835793581581</c:v>
                </c:pt>
                <c:pt idx="173">
                  <c:v>44.693647048409758</c:v>
                </c:pt>
                <c:pt idx="174">
                  <c:v>45.283839878592119</c:v>
                </c:pt>
                <c:pt idx="175">
                  <c:v>45.880504376789766</c:v>
                </c:pt>
                <c:pt idx="176">
                  <c:v>46.483734498420105</c:v>
                </c:pt>
                <c:pt idx="177">
                  <c:v>47.093628379086717</c:v>
                </c:pt>
                <c:pt idx="178">
                  <c:v>47.710288687124077</c:v>
                </c:pt>
                <c:pt idx="179">
                  <c:v>48.333823016385388</c:v>
                </c:pt>
                <c:pt idx="180">
                  <c:v>48.964344325289865</c:v>
                </c:pt>
                <c:pt idx="181">
                  <c:v>49.601909301745991</c:v>
                </c:pt>
                <c:pt idx="182">
                  <c:v>50.246829555681302</c:v>
                </c:pt>
                <c:pt idx="183">
                  <c:v>50.899050970206332</c:v>
                </c:pt>
                <c:pt idx="184">
                  <c:v>51.558775689360345</c:v>
                </c:pt>
                <c:pt idx="185">
                  <c:v>52.226152292085246</c:v>
                </c:pt>
                <c:pt idx="186">
                  <c:v>52.901338850141386</c:v>
                </c:pt>
                <c:pt idx="187">
                  <c:v>53.584503999302882</c:v>
                </c:pt>
                <c:pt idx="188">
                  <c:v>54.275828179093409</c:v>
                </c:pt>
                <c:pt idx="189">
                  <c:v>54.975505075157592</c:v>
                </c:pt>
                <c:pt idx="190">
                  <c:v>55.683743306690538</c:v>
                </c:pt>
                <c:pt idx="191">
                  <c:v>56.400768411846606</c:v>
                </c:pt>
                <c:pt idx="192">
                  <c:v>57.126825197876414</c:v>
                </c:pt>
                <c:pt idx="193">
                  <c:v>57.862180540579779</c:v>
                </c:pt>
                <c:pt idx="194">
                  <c:v>58.607126741337744</c:v>
                </c:pt>
                <c:pt idx="195">
                  <c:v>59.361985581713512</c:v>
                </c:pt>
                <c:pt idx="196">
                  <c:v>60.131197783688393</c:v>
                </c:pt>
                <c:pt idx="197">
                  <c:v>60.94092026147699</c:v>
                </c:pt>
                <c:pt idx="198">
                  <c:v>61.750642739265587</c:v>
                </c:pt>
                <c:pt idx="199">
                  <c:v>62.560365217054184</c:v>
                </c:pt>
                <c:pt idx="200">
                  <c:v>63.37008769484278</c:v>
                </c:pt>
                <c:pt idx="201">
                  <c:v>64.179810172631377</c:v>
                </c:pt>
                <c:pt idx="202">
                  <c:v>64.989532650419974</c:v>
                </c:pt>
                <c:pt idx="203">
                  <c:v>65.817354559425965</c:v>
                </c:pt>
                <c:pt idx="204">
                  <c:v>66.703568505223032</c:v>
                </c:pt>
                <c:pt idx="205">
                  <c:v>67.589782451020099</c:v>
                </c:pt>
                <c:pt idx="206">
                  <c:v>68.475996396817166</c:v>
                </c:pt>
                <c:pt idx="207">
                  <c:v>69.40522495773665</c:v>
                </c:pt>
                <c:pt idx="208">
                  <c:v>70.363800093024707</c:v>
                </c:pt>
                <c:pt idx="209">
                  <c:v>71.322375228312765</c:v>
                </c:pt>
                <c:pt idx="210">
                  <c:v>72.325229642539654</c:v>
                </c:pt>
                <c:pt idx="211">
                  <c:v>73.38015838022605</c:v>
                </c:pt>
                <c:pt idx="212">
                  <c:v>74.43508711791246</c:v>
                </c:pt>
                <c:pt idx="213">
                  <c:v>75.61815476681673</c:v>
                </c:pt>
                <c:pt idx="214">
                  <c:v>76.817922880286346</c:v>
                </c:pt>
                <c:pt idx="215">
                  <c:v>78.254414833855236</c:v>
                </c:pt>
                <c:pt idx="216">
                  <c:v>81.455055721913254</c:v>
                </c:pt>
                <c:pt idx="217">
                  <c:v>81.455055721913254</c:v>
                </c:pt>
                <c:pt idx="218">
                  <c:v>81.455055721913254</c:v>
                </c:pt>
                <c:pt idx="219">
                  <c:v>81.455055721913254</c:v>
                </c:pt>
                <c:pt idx="220">
                  <c:v>81.455055721913254</c:v>
                </c:pt>
                <c:pt idx="221">
                  <c:v>81.455055721913254</c:v>
                </c:pt>
                <c:pt idx="222">
                  <c:v>81.455055721913254</c:v>
                </c:pt>
                <c:pt idx="223">
                  <c:v>81.455055721913254</c:v>
                </c:pt>
                <c:pt idx="224">
                  <c:v>81.455055721913254</c:v>
                </c:pt>
                <c:pt idx="225">
                  <c:v>81.455055721913254</c:v>
                </c:pt>
                <c:pt idx="226">
                  <c:v>81.455055721913254</c:v>
                </c:pt>
                <c:pt idx="227">
                  <c:v>81.455055721913254</c:v>
                </c:pt>
                <c:pt idx="228">
                  <c:v>81.455055721913254</c:v>
                </c:pt>
                <c:pt idx="229">
                  <c:v>81.455055721913254</c:v>
                </c:pt>
                <c:pt idx="230">
                  <c:v>81.455055721913254</c:v>
                </c:pt>
                <c:pt idx="231">
                  <c:v>81.455055721913254</c:v>
                </c:pt>
                <c:pt idx="232">
                  <c:v>81.455055721913254</c:v>
                </c:pt>
                <c:pt idx="233">
                  <c:v>81.455055721913254</c:v>
                </c:pt>
                <c:pt idx="234">
                  <c:v>81.455055721913254</c:v>
                </c:pt>
                <c:pt idx="235">
                  <c:v>81.455055721913254</c:v>
                </c:pt>
                <c:pt idx="236">
                  <c:v>81.455055721913254</c:v>
                </c:pt>
                <c:pt idx="237">
                  <c:v>81.455055721913254</c:v>
                </c:pt>
                <c:pt idx="238">
                  <c:v>81.455055721913254</c:v>
                </c:pt>
                <c:pt idx="239">
                  <c:v>81.455055721913254</c:v>
                </c:pt>
                <c:pt idx="240">
                  <c:v>81.455055721913254</c:v>
                </c:pt>
                <c:pt idx="241">
                  <c:v>81.455055721913254</c:v>
                </c:pt>
                <c:pt idx="242">
                  <c:v>81.455055721913254</c:v>
                </c:pt>
                <c:pt idx="243">
                  <c:v>81.455055721913254</c:v>
                </c:pt>
                <c:pt idx="244">
                  <c:v>81.455055721913254</c:v>
                </c:pt>
                <c:pt idx="245">
                  <c:v>81.455055721913254</c:v>
                </c:pt>
                <c:pt idx="246">
                  <c:v>81.455055721913254</c:v>
                </c:pt>
                <c:pt idx="247">
                  <c:v>81.455055721913254</c:v>
                </c:pt>
                <c:pt idx="248">
                  <c:v>81.455055721913254</c:v>
                </c:pt>
                <c:pt idx="249">
                  <c:v>81.455055721913254</c:v>
                </c:pt>
                <c:pt idx="250">
                  <c:v>81.455055721913254</c:v>
                </c:pt>
                <c:pt idx="251">
                  <c:v>81.455055721913254</c:v>
                </c:pt>
                <c:pt idx="252">
                  <c:v>81.455055721913254</c:v>
                </c:pt>
                <c:pt idx="253">
                  <c:v>81.455055721913254</c:v>
                </c:pt>
                <c:pt idx="254">
                  <c:v>81.455055721913254</c:v>
                </c:pt>
                <c:pt idx="255">
                  <c:v>81.455055721913254</c:v>
                </c:pt>
                <c:pt idx="256">
                  <c:v>81.455055721913254</c:v>
                </c:pt>
                <c:pt idx="257">
                  <c:v>81.455055721913254</c:v>
                </c:pt>
                <c:pt idx="258">
                  <c:v>81.455055721913254</c:v>
                </c:pt>
                <c:pt idx="259">
                  <c:v>81.455055721913254</c:v>
                </c:pt>
                <c:pt idx="260">
                  <c:v>81.455055721913254</c:v>
                </c:pt>
                <c:pt idx="261">
                  <c:v>81.455055721913254</c:v>
                </c:pt>
                <c:pt idx="262">
                  <c:v>81.455055721913254</c:v>
                </c:pt>
                <c:pt idx="263">
                  <c:v>81.455055721913254</c:v>
                </c:pt>
                <c:pt idx="264">
                  <c:v>81.455055721913254</c:v>
                </c:pt>
                <c:pt idx="265">
                  <c:v>81.455055721913254</c:v>
                </c:pt>
                <c:pt idx="266">
                  <c:v>81.455055721913254</c:v>
                </c:pt>
                <c:pt idx="267">
                  <c:v>81.455055721913254</c:v>
                </c:pt>
                <c:pt idx="268">
                  <c:v>81.455055721913254</c:v>
                </c:pt>
                <c:pt idx="269">
                  <c:v>81.455055721913254</c:v>
                </c:pt>
                <c:pt idx="270">
                  <c:v>81.455055721913254</c:v>
                </c:pt>
                <c:pt idx="271">
                  <c:v>81.455055721913254</c:v>
                </c:pt>
                <c:pt idx="272">
                  <c:v>81.455055721913254</c:v>
                </c:pt>
                <c:pt idx="273">
                  <c:v>81.455055721913254</c:v>
                </c:pt>
                <c:pt idx="274">
                  <c:v>81.455055721913254</c:v>
                </c:pt>
                <c:pt idx="275">
                  <c:v>81.455055721913254</c:v>
                </c:pt>
                <c:pt idx="276">
                  <c:v>81.455055721913254</c:v>
                </c:pt>
                <c:pt idx="277">
                  <c:v>81.455055721913254</c:v>
                </c:pt>
                <c:pt idx="278">
                  <c:v>81.455055721913254</c:v>
                </c:pt>
                <c:pt idx="279">
                  <c:v>81.455055721913254</c:v>
                </c:pt>
                <c:pt idx="280">
                  <c:v>81.455055721913254</c:v>
                </c:pt>
                <c:pt idx="281">
                  <c:v>81.455055721913254</c:v>
                </c:pt>
                <c:pt idx="282">
                  <c:v>81.455055721913254</c:v>
                </c:pt>
                <c:pt idx="283">
                  <c:v>81.455055721913254</c:v>
                </c:pt>
                <c:pt idx="284">
                  <c:v>81.455055721913254</c:v>
                </c:pt>
                <c:pt idx="285">
                  <c:v>81.455055721913254</c:v>
                </c:pt>
                <c:pt idx="286">
                  <c:v>81.455055721913254</c:v>
                </c:pt>
                <c:pt idx="287">
                  <c:v>81.455055721913254</c:v>
                </c:pt>
                <c:pt idx="288">
                  <c:v>81.455055721913254</c:v>
                </c:pt>
                <c:pt idx="289">
                  <c:v>81.455055721913254</c:v>
                </c:pt>
                <c:pt idx="290">
                  <c:v>81.455055721913254</c:v>
                </c:pt>
                <c:pt idx="291">
                  <c:v>81.455055721913254</c:v>
                </c:pt>
                <c:pt idx="292">
                  <c:v>81.455055721913254</c:v>
                </c:pt>
                <c:pt idx="293">
                  <c:v>81.455055721913254</c:v>
                </c:pt>
                <c:pt idx="294">
                  <c:v>81.455055721913254</c:v>
                </c:pt>
                <c:pt idx="295">
                  <c:v>81.455055721913254</c:v>
                </c:pt>
                <c:pt idx="296">
                  <c:v>81.455055721913254</c:v>
                </c:pt>
                <c:pt idx="297">
                  <c:v>81.455055721913254</c:v>
                </c:pt>
                <c:pt idx="298">
                  <c:v>81.455055721913254</c:v>
                </c:pt>
                <c:pt idx="299">
                  <c:v>81.455055721913254</c:v>
                </c:pt>
                <c:pt idx="300">
                  <c:v>81.455055721913254</c:v>
                </c:pt>
                <c:pt idx="301">
                  <c:v>81.455055721913254</c:v>
                </c:pt>
                <c:pt idx="302">
                  <c:v>81.455055721913254</c:v>
                </c:pt>
                <c:pt idx="303">
                  <c:v>81.455055721913254</c:v>
                </c:pt>
                <c:pt idx="304">
                  <c:v>81.455055721913254</c:v>
                </c:pt>
                <c:pt idx="305">
                  <c:v>81.455055721913254</c:v>
                </c:pt>
                <c:pt idx="306">
                  <c:v>81.455055721913254</c:v>
                </c:pt>
                <c:pt idx="307">
                  <c:v>81.455055721913254</c:v>
                </c:pt>
                <c:pt idx="308">
                  <c:v>81.455055721913254</c:v>
                </c:pt>
                <c:pt idx="309">
                  <c:v>81.455055721913254</c:v>
                </c:pt>
                <c:pt idx="310">
                  <c:v>81.455055721913254</c:v>
                </c:pt>
                <c:pt idx="311">
                  <c:v>81.455055721913254</c:v>
                </c:pt>
                <c:pt idx="312">
                  <c:v>81.455055721913254</c:v>
                </c:pt>
                <c:pt idx="313">
                  <c:v>81.455055721913254</c:v>
                </c:pt>
                <c:pt idx="314">
                  <c:v>81.455055721913254</c:v>
                </c:pt>
                <c:pt idx="315">
                  <c:v>81.455055721913254</c:v>
                </c:pt>
                <c:pt idx="316">
                  <c:v>81.455055721913254</c:v>
                </c:pt>
                <c:pt idx="317">
                  <c:v>81.455055721913254</c:v>
                </c:pt>
                <c:pt idx="318">
                  <c:v>81.455055721913254</c:v>
                </c:pt>
                <c:pt idx="319">
                  <c:v>81.455055721913254</c:v>
                </c:pt>
                <c:pt idx="320">
                  <c:v>81.455055721913254</c:v>
                </c:pt>
                <c:pt idx="321">
                  <c:v>81.455055721913254</c:v>
                </c:pt>
                <c:pt idx="322">
                  <c:v>81.455055721913254</c:v>
                </c:pt>
                <c:pt idx="323">
                  <c:v>81.455055721913254</c:v>
                </c:pt>
                <c:pt idx="324">
                  <c:v>81.455055721913254</c:v>
                </c:pt>
                <c:pt idx="325">
                  <c:v>81.455055721913254</c:v>
                </c:pt>
                <c:pt idx="326">
                  <c:v>81.455055721913254</c:v>
                </c:pt>
                <c:pt idx="327">
                  <c:v>81.455055721913254</c:v>
                </c:pt>
                <c:pt idx="328">
                  <c:v>81.455055721913254</c:v>
                </c:pt>
                <c:pt idx="329">
                  <c:v>81.455055721913254</c:v>
                </c:pt>
                <c:pt idx="330">
                  <c:v>81.455055721913254</c:v>
                </c:pt>
                <c:pt idx="331">
                  <c:v>81.455055721913254</c:v>
                </c:pt>
                <c:pt idx="332">
                  <c:v>81.455055721913254</c:v>
                </c:pt>
                <c:pt idx="333">
                  <c:v>81.455055721913254</c:v>
                </c:pt>
                <c:pt idx="334">
                  <c:v>81.455055721913254</c:v>
                </c:pt>
                <c:pt idx="335">
                  <c:v>81.455055721913254</c:v>
                </c:pt>
                <c:pt idx="336">
                  <c:v>81.455055721913254</c:v>
                </c:pt>
                <c:pt idx="337">
                  <c:v>81.455055721913254</c:v>
                </c:pt>
                <c:pt idx="338">
                  <c:v>81.455055721913254</c:v>
                </c:pt>
                <c:pt idx="339">
                  <c:v>81.455055721913254</c:v>
                </c:pt>
                <c:pt idx="340">
                  <c:v>81.455055721913254</c:v>
                </c:pt>
                <c:pt idx="341">
                  <c:v>81.455055721913254</c:v>
                </c:pt>
                <c:pt idx="342">
                  <c:v>81.455055721913254</c:v>
                </c:pt>
                <c:pt idx="343">
                  <c:v>81.455055721913254</c:v>
                </c:pt>
                <c:pt idx="344">
                  <c:v>81.455055721913254</c:v>
                </c:pt>
                <c:pt idx="345">
                  <c:v>81.455055721913254</c:v>
                </c:pt>
                <c:pt idx="346">
                  <c:v>81.455055721913254</c:v>
                </c:pt>
                <c:pt idx="347">
                  <c:v>81.455055721913254</c:v>
                </c:pt>
                <c:pt idx="348">
                  <c:v>81.455055721913254</c:v>
                </c:pt>
                <c:pt idx="349">
                  <c:v>81.455055721913254</c:v>
                </c:pt>
                <c:pt idx="350">
                  <c:v>81.455055721913254</c:v>
                </c:pt>
                <c:pt idx="351">
                  <c:v>81.455055721913254</c:v>
                </c:pt>
                <c:pt idx="352">
                  <c:v>81.455055721913254</c:v>
                </c:pt>
                <c:pt idx="353">
                  <c:v>81.455055721913254</c:v>
                </c:pt>
                <c:pt idx="354">
                  <c:v>81.455055721913254</c:v>
                </c:pt>
                <c:pt idx="355">
                  <c:v>81.455055721913254</c:v>
                </c:pt>
                <c:pt idx="356">
                  <c:v>81.455055721913254</c:v>
                </c:pt>
                <c:pt idx="357">
                  <c:v>81.455055721913254</c:v>
                </c:pt>
                <c:pt idx="358">
                  <c:v>81.455055721913254</c:v>
                </c:pt>
                <c:pt idx="359">
                  <c:v>81.455055721913254</c:v>
                </c:pt>
                <c:pt idx="360">
                  <c:v>81.455055721913254</c:v>
                </c:pt>
                <c:pt idx="361">
                  <c:v>81.455055721913254</c:v>
                </c:pt>
                <c:pt idx="362">
                  <c:v>81.455055721913254</c:v>
                </c:pt>
                <c:pt idx="363">
                  <c:v>81.455055721913254</c:v>
                </c:pt>
                <c:pt idx="364">
                  <c:v>81.455055721913254</c:v>
                </c:pt>
                <c:pt idx="365">
                  <c:v>81.455055721913254</c:v>
                </c:pt>
                <c:pt idx="366">
                  <c:v>81.455055721913254</c:v>
                </c:pt>
                <c:pt idx="367">
                  <c:v>81.455055721913254</c:v>
                </c:pt>
                <c:pt idx="368">
                  <c:v>81.455055721913254</c:v>
                </c:pt>
                <c:pt idx="369">
                  <c:v>81.455055721913254</c:v>
                </c:pt>
                <c:pt idx="370">
                  <c:v>81.455055721913254</c:v>
                </c:pt>
                <c:pt idx="371">
                  <c:v>81.455055721913254</c:v>
                </c:pt>
                <c:pt idx="372">
                  <c:v>81.455055721913254</c:v>
                </c:pt>
                <c:pt idx="373">
                  <c:v>81.455055721913254</c:v>
                </c:pt>
                <c:pt idx="374">
                  <c:v>81.455055721913254</c:v>
                </c:pt>
                <c:pt idx="375">
                  <c:v>81.455055721913254</c:v>
                </c:pt>
                <c:pt idx="376">
                  <c:v>81.455055721913254</c:v>
                </c:pt>
                <c:pt idx="377">
                  <c:v>81.455055721913254</c:v>
                </c:pt>
                <c:pt idx="378">
                  <c:v>81.455055721913254</c:v>
                </c:pt>
                <c:pt idx="379">
                  <c:v>81.455055721913254</c:v>
                </c:pt>
                <c:pt idx="380">
                  <c:v>81.455055721913254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64D-940D-AFDE62BF7178}"/>
            </c:ext>
          </c:extLst>
        </c:ser>
        <c:ser>
          <c:idx val="1"/>
          <c:order val="1"/>
          <c:tx>
            <c:strRef>
              <c:f>Diagrammdaten!$H$7</c:f>
              <c:strCache>
                <c:ptCount val="1"/>
                <c:pt idx="0">
                  <c:v>zweiphasig [bar]</c:v>
                </c:pt>
              </c:strCache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Diagrammdaten!$H$8:$H$388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45.722748286743055</c:v>
                </c:pt>
                <c:pt idx="48">
                  <c:v>45.306270291151449</c:v>
                </c:pt>
                <c:pt idx="49">
                  <c:v>44.898235173784293</c:v>
                </c:pt>
                <c:pt idx="50">
                  <c:v>44.498393260020549</c:v>
                </c:pt>
                <c:pt idx="51">
                  <c:v>44.106503675875182</c:v>
                </c:pt>
                <c:pt idx="52">
                  <c:v>43.722333963520306</c:v>
                </c:pt>
                <c:pt idx="53">
                  <c:v>43.345659478670214</c:v>
                </c:pt>
                <c:pt idx="54">
                  <c:v>42.976262222351501</c:v>
                </c:pt>
                <c:pt idx="55">
                  <c:v>42.6139365062973</c:v>
                </c:pt>
                <c:pt idx="56">
                  <c:v>42.25847791084562</c:v>
                </c:pt>
                <c:pt idx="57">
                  <c:v>41.909690947254987</c:v>
                </c:pt>
                <c:pt idx="58">
                  <c:v>41.567386607581334</c:v>
                </c:pt>
                <c:pt idx="59">
                  <c:v>41.231141055279281</c:v>
                </c:pt>
                <c:pt idx="60">
                  <c:v>40.901500569575866</c:v>
                </c:pt>
                <c:pt idx="61">
                  <c:v>40.577570899131587</c:v>
                </c:pt>
                <c:pt idx="62">
                  <c:v>40.25942743081113</c:v>
                </c:pt>
                <c:pt idx="63">
                  <c:v>39.946909766333974</c:v>
                </c:pt>
                <c:pt idx="64">
                  <c:v>39.639942244418144</c:v>
                </c:pt>
                <c:pt idx="65">
                  <c:v>39.33813526683506</c:v>
                </c:pt>
                <c:pt idx="66">
                  <c:v>39.04158204727181</c:v>
                </c:pt>
                <c:pt idx="67">
                  <c:v>38.750061483626425</c:v>
                </c:pt>
                <c:pt idx="68">
                  <c:v>38.463436452320316</c:v>
                </c:pt>
                <c:pt idx="69">
                  <c:v>38.181573944657551</c:v>
                </c:pt>
                <c:pt idx="70">
                  <c:v>37.904344904643793</c:v>
                </c:pt>
                <c:pt idx="71">
                  <c:v>37.631624073852237</c:v>
                </c:pt>
                <c:pt idx="72">
                  <c:v>37.36328984263298</c:v>
                </c:pt>
                <c:pt idx="73">
                  <c:v>37.099224107551983</c:v>
                </c:pt>
                <c:pt idx="74">
                  <c:v>36.839312134809603</c:v>
                </c:pt>
                <c:pt idx="75">
                  <c:v>36.583442429088898</c:v>
                </c:pt>
                <c:pt idx="76">
                  <c:v>36.331506607769825</c:v>
                </c:pt>
                <c:pt idx="77">
                  <c:v>36.083399280192502</c:v>
                </c:pt>
                <c:pt idx="78">
                  <c:v>35.839017931772077</c:v>
                </c:pt>
                <c:pt idx="79">
                  <c:v>35.598262812509311</c:v>
                </c:pt>
                <c:pt idx="80">
                  <c:v>35.361036830034898</c:v>
                </c:pt>
                <c:pt idx="81">
                  <c:v>35.127245446821036</c:v>
                </c:pt>
                <c:pt idx="82">
                  <c:v>34.896796581102883</c:v>
                </c:pt>
                <c:pt idx="83">
                  <c:v>34.669600511912378</c:v>
                </c:pt>
                <c:pt idx="84">
                  <c:v>34.445569787533124</c:v>
                </c:pt>
                <c:pt idx="85">
                  <c:v>34.224619137410848</c:v>
                </c:pt>
                <c:pt idx="86">
                  <c:v>34.006665387376245</c:v>
                </c:pt>
                <c:pt idx="87">
                  <c:v>33.791627378081984</c:v>
                </c:pt>
                <c:pt idx="88">
                  <c:v>33.579425886285762</c:v>
                </c:pt>
                <c:pt idx="89">
                  <c:v>33.369983549139207</c:v>
                </c:pt>
                <c:pt idx="90">
                  <c:v>33.163224791116974</c:v>
                </c:pt>
                <c:pt idx="91">
                  <c:v>32.959075753560001</c:v>
                </c:pt>
                <c:pt idx="92">
                  <c:v>32.757464226709367</c:v>
                </c:pt>
                <c:pt idx="93">
                  <c:v>32.558319584086718</c:v>
                </c:pt>
                <c:pt idx="94">
                  <c:v>32.361572719033006</c:v>
                </c:pt>
                <c:pt idx="95">
                  <c:v>32.167155983437041</c:v>
                </c:pt>
                <c:pt idx="96">
                  <c:v>31.975072060162574</c:v>
                </c:pt>
                <c:pt idx="97">
                  <c:v>31.785049246815383</c:v>
                </c:pt>
                <c:pt idx="98">
                  <c:v>31.597230717687562</c:v>
                </c:pt>
                <c:pt idx="99">
                  <c:v>31.411485152131501</c:v>
                </c:pt>
                <c:pt idx="100">
                  <c:v>31.22775134086918</c:v>
                </c:pt>
                <c:pt idx="101">
                  <c:v>31.045969203280194</c:v>
                </c:pt>
                <c:pt idx="102">
                  <c:v>30.866079737680554</c:v>
                </c:pt>
                <c:pt idx="103">
                  <c:v>30.688024973069787</c:v>
                </c:pt>
                <c:pt idx="104">
                  <c:v>30.511747837508988</c:v>
                </c:pt>
                <c:pt idx="105">
                  <c:v>30.337191814848332</c:v>
                </c:pt>
                <c:pt idx="106">
                  <c:v>30.164302996482316</c:v>
                </c:pt>
                <c:pt idx="107">
                  <c:v>29.993024995588339</c:v>
                </c:pt>
                <c:pt idx="108">
                  <c:v>29.823308954804144</c:v>
                </c:pt>
                <c:pt idx="109">
                  <c:v>29.65509689830397</c:v>
                </c:pt>
                <c:pt idx="110">
                  <c:v>29.488338763241014</c:v>
                </c:pt>
                <c:pt idx="111">
                  <c:v>29.322983206880078</c:v>
                </c:pt>
                <c:pt idx="112">
                  <c:v>29.158979519316084</c:v>
                </c:pt>
                <c:pt idx="113">
                  <c:v>28.996277459847995</c:v>
                </c:pt>
                <c:pt idx="114">
                  <c:v>28.834826720754894</c:v>
                </c:pt>
                <c:pt idx="115">
                  <c:v>28.674580252176824</c:v>
                </c:pt>
                <c:pt idx="116">
                  <c:v>28.515488540561048</c:v>
                </c:pt>
                <c:pt idx="117">
                  <c:v>28.357504110865033</c:v>
                </c:pt>
                <c:pt idx="118">
                  <c:v>28.20057764630419</c:v>
                </c:pt>
                <c:pt idx="119">
                  <c:v>28.044662753537356</c:v>
                </c:pt>
                <c:pt idx="120">
                  <c:v>27.889712345938602</c:v>
                </c:pt>
                <c:pt idx="121">
                  <c:v>27.7356797829489</c:v>
                </c:pt>
                <c:pt idx="122">
                  <c:v>27.582518633945266</c:v>
                </c:pt>
                <c:pt idx="123">
                  <c:v>27.430182685894895</c:v>
                </c:pt>
                <c:pt idx="124">
                  <c:v>27.278625924175163</c:v>
                </c:pt>
                <c:pt idx="125">
                  <c:v>27.127802485424557</c:v>
                </c:pt>
                <c:pt idx="126">
                  <c:v>26.977666626624814</c:v>
                </c:pt>
                <c:pt idx="127">
                  <c:v>26.828172689814085</c:v>
                </c:pt>
                <c:pt idx="128">
                  <c:v>26.679275067686859</c:v>
                </c:pt>
                <c:pt idx="129">
                  <c:v>26.530928169258171</c:v>
                </c:pt>
                <c:pt idx="130">
                  <c:v>26.383086385531215</c:v>
                </c:pt>
                <c:pt idx="131">
                  <c:v>26.235724284797229</c:v>
                </c:pt>
                <c:pt idx="132">
                  <c:v>26.088735429977124</c:v>
                </c:pt>
                <c:pt idx="133">
                  <c:v>25.942134640404841</c:v>
                </c:pt>
                <c:pt idx="134">
                  <c:v>25.795855660508817</c:v>
                </c:pt>
                <c:pt idx="135">
                  <c:v>25.649852272701452</c:v>
                </c:pt>
                <c:pt idx="136">
                  <c:v>25.504078031716734</c:v>
                </c:pt>
                <c:pt idx="137">
                  <c:v>25.358486228024951</c:v>
                </c:pt>
                <c:pt idx="138">
                  <c:v>25.213029850092948</c:v>
                </c:pt>
                <c:pt idx="139">
                  <c:v>25.067661545601041</c:v>
                </c:pt>
                <c:pt idx="140">
                  <c:v>24.922333581097384</c:v>
                </c:pt>
                <c:pt idx="141">
                  <c:v>24.776997799896648</c:v>
                </c:pt>
                <c:pt idx="142">
                  <c:v>24.631336578838134</c:v>
                </c:pt>
                <c:pt idx="143">
                  <c:v>24.484057818450818</c:v>
                </c:pt>
                <c:pt idx="144">
                  <c:v>24.339976664075426</c:v>
                </c:pt>
                <c:pt idx="145">
                  <c:v>24.192509398302992</c:v>
                </c:pt>
                <c:pt idx="146">
                  <c:v>24.048480736166471</c:v>
                </c:pt>
                <c:pt idx="147">
                  <c:v>23.902057137392948</c:v>
                </c:pt>
                <c:pt idx="148">
                  <c:v>23.755272683840936</c:v>
                </c:pt>
                <c:pt idx="149">
                  <c:v>23.608073967583614</c:v>
                </c:pt>
                <c:pt idx="150">
                  <c:v>23.460406625214745</c:v>
                </c:pt>
                <c:pt idx="151">
                  <c:v>23.312215250677021</c:v>
                </c:pt>
                <c:pt idx="152">
                  <c:v>23.163443299727874</c:v>
                </c:pt>
                <c:pt idx="153">
                  <c:v>23.014032985302606</c:v>
                </c:pt>
                <c:pt idx="154">
                  <c:v>22.86392516272636</c:v>
                </c:pt>
                <c:pt idx="155">
                  <c:v>22.713059204025228</c:v>
                </c:pt>
                <c:pt idx="156">
                  <c:v>22.561372860469525</c:v>
                </c:pt>
                <c:pt idx="157">
                  <c:v>22.408802112505327</c:v>
                </c:pt>
                <c:pt idx="158">
                  <c:v>22.255281006314725</c:v>
                </c:pt>
                <c:pt idx="159">
                  <c:v>22.100741476466304</c:v>
                </c:pt>
                <c:pt idx="160">
                  <c:v>21.945113153903144</c:v>
                </c:pt>
                <c:pt idx="161">
                  <c:v>21.788323159090801</c:v>
                </c:pt>
                <c:pt idx="162">
                  <c:v>21.630295879975947</c:v>
                </c:pt>
                <c:pt idx="163">
                  <c:v>21.470952734567852</c:v>
                </c:pt>
                <c:pt idx="164">
                  <c:v>21.310211918655718</c:v>
                </c:pt>
                <c:pt idx="165">
                  <c:v>21.147988138551462</c:v>
                </c:pt>
                <c:pt idx="166">
                  <c:v>20.984192329795583</c:v>
                </c:pt>
                <c:pt idx="167">
                  <c:v>20.818731362358008</c:v>
                </c:pt>
                <c:pt idx="168">
                  <c:v>20.651811656141327</c:v>
                </c:pt>
                <c:pt idx="169">
                  <c:v>20.482419247103287</c:v>
                </c:pt>
                <c:pt idx="170">
                  <c:v>20.311161067758604</c:v>
                </c:pt>
                <c:pt idx="171">
                  <c:v>20.138213473714643</c:v>
                </c:pt>
                <c:pt idx="172">
                  <c:v>19.962865316287264</c:v>
                </c:pt>
                <c:pt idx="173">
                  <c:v>19.785189851884226</c:v>
                </c:pt>
                <c:pt idx="174">
                  <c:v>19.605056274126355</c:v>
                </c:pt>
                <c:pt idx="175">
                  <c:v>19.422326947044688</c:v>
                </c:pt>
                <c:pt idx="176">
                  <c:v>19.236856999637254</c:v>
                </c:pt>
                <c:pt idx="177">
                  <c:v>19.048493893594831</c:v>
                </c:pt>
                <c:pt idx="178">
                  <c:v>18.857076953167322</c:v>
                </c:pt>
                <c:pt idx="179">
                  <c:v>18.662436841669852</c:v>
                </c:pt>
                <c:pt idx="180">
                  <c:v>18.464394963440107</c:v>
                </c:pt>
                <c:pt idx="181">
                  <c:v>18.262824890968815</c:v>
                </c:pt>
                <c:pt idx="182">
                  <c:v>18.057340887726184</c:v>
                </c:pt>
                <c:pt idx="183">
                  <c:v>17.847918159776697</c:v>
                </c:pt>
                <c:pt idx="184">
                  <c:v>17.634270313168798</c:v>
                </c:pt>
                <c:pt idx="185">
                  <c:v>17.416158411818969</c:v>
                </c:pt>
                <c:pt idx="186">
                  <c:v>17.193326871870781</c:v>
                </c:pt>
                <c:pt idx="187">
                  <c:v>16.965496087201018</c:v>
                </c:pt>
                <c:pt idx="188">
                  <c:v>16.732383826169155</c:v>
                </c:pt>
                <c:pt idx="189">
                  <c:v>16.493652415254395</c:v>
                </c:pt>
                <c:pt idx="190">
                  <c:v>16.248952980994012</c:v>
                </c:pt>
                <c:pt idx="191">
                  <c:v>15.997895168462172</c:v>
                </c:pt>
                <c:pt idx="192">
                  <c:v>15.740045012259728</c:v>
                </c:pt>
                <c:pt idx="193">
                  <c:v>15.474916485412827</c:v>
                </c:pt>
                <c:pt idx="194">
                  <c:v>15.202028549938014</c:v>
                </c:pt>
                <c:pt idx="195">
                  <c:v>14.921069231022145</c:v>
                </c:pt>
                <c:pt idx="196">
                  <c:v>14.62589851865242</c:v>
                </c:pt>
                <c:pt idx="197">
                  <c:v>14.291299425644738</c:v>
                </c:pt>
                <c:pt idx="198">
                  <c:v>13.956700332637055</c:v>
                </c:pt>
                <c:pt idx="199">
                  <c:v>13.622101239629387</c:v>
                </c:pt>
                <c:pt idx="200">
                  <c:v>13.280763404159487</c:v>
                </c:pt>
                <c:pt idx="201">
                  <c:v>12.928686063309783</c:v>
                </c:pt>
                <c:pt idx="202">
                  <c:v>12.576608722460065</c:v>
                </c:pt>
                <c:pt idx="203">
                  <c:v>12.206431950392968</c:v>
                </c:pt>
                <c:pt idx="204">
                  <c:v>11.777863141534795</c:v>
                </c:pt>
                <c:pt idx="205">
                  <c:v>11.349294332676607</c:v>
                </c:pt>
                <c:pt idx="206">
                  <c:v>10.920725523818433</c:v>
                </c:pt>
                <c:pt idx="207">
                  <c:v>10.449142099837843</c:v>
                </c:pt>
                <c:pt idx="208">
                  <c:v>9.8918304676368791</c:v>
                </c:pt>
                <c:pt idx="209">
                  <c:v>9.3330379831599544</c:v>
                </c:pt>
                <c:pt idx="210">
                  <c:v>8.7299662197441847</c:v>
                </c:pt>
                <c:pt idx="211">
                  <c:v>8.0059258842833714</c:v>
                </c:pt>
                <c:pt idx="212">
                  <c:v>7.2811354116850566</c:v>
                </c:pt>
                <c:pt idx="213">
                  <c:v>6.3423787961515785</c:v>
                </c:pt>
                <c:pt idx="214">
                  <c:v>5.334659025849902</c:v>
                </c:pt>
                <c:pt idx="215">
                  <c:v>3.8451784074934778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3-464D-940D-AFDE62BF7178}"/>
            </c:ext>
          </c:extLst>
        </c:ser>
        <c:ser>
          <c:idx val="2"/>
          <c:order val="2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Diagrammdaten!$E$8:$E$388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-43.321938775399936</c:v>
                </c:pt>
                <c:pt idx="48">
                  <c:v>-19.573657769234739</c:v>
                </c:pt>
                <c:pt idx="49">
                  <c:v>4.2776478480946309</c:v>
                </c:pt>
                <c:pt idx="50">
                  <c:v>28.232206246358245</c:v>
                </c:pt>
                <c:pt idx="51">
                  <c:v>52.290236706728436</c:v>
                </c:pt>
                <c:pt idx="52">
                  <c:v>76.451950006248808</c:v>
                </c:pt>
                <c:pt idx="53">
                  <c:v>100.71754902042227</c:v>
                </c:pt>
                <c:pt idx="54">
                  <c:v>125.08722989143178</c:v>
                </c:pt>
                <c:pt idx="55">
                  <c:v>149.56117636254928</c:v>
                </c:pt>
                <c:pt idx="56">
                  <c:v>174.13957082020011</c:v>
                </c:pt>
                <c:pt idx="57">
                  <c:v>198.82258663142241</c:v>
                </c:pt>
                <c:pt idx="58">
                  <c:v>201.49839048002895</c:v>
                </c:pt>
                <c:pt idx="59">
                  <c:v>201.69061626761874</c:v>
                </c:pt>
                <c:pt idx="60">
                  <c:v>201.87398971257522</c:v>
                </c:pt>
                <c:pt idx="61">
                  <c:v>202.04938258815807</c:v>
                </c:pt>
                <c:pt idx="62">
                  <c:v>202.21669693946419</c:v>
                </c:pt>
                <c:pt idx="63">
                  <c:v>202.37607050637166</c:v>
                </c:pt>
                <c:pt idx="64">
                  <c:v>202.52763589515823</c:v>
                </c:pt>
                <c:pt idx="65">
                  <c:v>202.67152078069856</c:v>
                </c:pt>
                <c:pt idx="66">
                  <c:v>202.80784809955981</c:v>
                </c:pt>
                <c:pt idx="67">
                  <c:v>202.93673623452793</c:v>
                </c:pt>
                <c:pt idx="68">
                  <c:v>203.05829919095555</c:v>
                </c:pt>
                <c:pt idx="69">
                  <c:v>203.17264676543894</c:v>
                </c:pt>
                <c:pt idx="70">
                  <c:v>203.27988470717835</c:v>
                </c:pt>
                <c:pt idx="71">
                  <c:v>203.38011487239996</c:v>
                </c:pt>
                <c:pt idx="72">
                  <c:v>203.4734353722308</c:v>
                </c:pt>
                <c:pt idx="73">
                  <c:v>203.55994071433321</c:v>
                </c:pt>
                <c:pt idx="74">
                  <c:v>203.63972193860764</c:v>
                </c:pt>
                <c:pt idx="75">
                  <c:v>203.71286674726446</c:v>
                </c:pt>
                <c:pt idx="76">
                  <c:v>203.77945962955687</c:v>
                </c:pt>
                <c:pt idx="77">
                  <c:v>203.83958198140675</c:v>
                </c:pt>
                <c:pt idx="78">
                  <c:v>203.89331222017265</c:v>
                </c:pt>
                <c:pt idx="79">
                  <c:v>203.94072589478492</c:v>
                </c:pt>
                <c:pt idx="80">
                  <c:v>203.98189579147686</c:v>
                </c:pt>
                <c:pt idx="81">
                  <c:v>204.01689203529736</c:v>
                </c:pt>
                <c:pt idx="82">
                  <c:v>204.04578218759835</c:v>
                </c:pt>
                <c:pt idx="83">
                  <c:v>204.068631339663</c:v>
                </c:pt>
                <c:pt idx="84">
                  <c:v>204.08550220266577</c:v>
                </c:pt>
                <c:pt idx="85">
                  <c:v>204.0964551941201</c:v>
                </c:pt>
                <c:pt idx="86">
                  <c:v>204.10154852094416</c:v>
                </c:pt>
                <c:pt idx="87">
                  <c:v>204.10083825931736</c:v>
                </c:pt>
                <c:pt idx="88">
                  <c:v>204.09437843144002</c:v>
                </c:pt>
                <c:pt idx="89">
                  <c:v>204.08222107936075</c:v>
                </c:pt>
                <c:pt idx="90">
                  <c:v>204.06441633599323</c:v>
                </c:pt>
                <c:pt idx="91">
                  <c:v>204.04101249339703</c:v>
                </c:pt>
                <c:pt idx="92">
                  <c:v>204.0120560685381</c:v>
                </c:pt>
                <c:pt idx="93">
                  <c:v>203.97759186657498</c:v>
                </c:pt>
                <c:pt idx="94">
                  <c:v>203.93766304177774</c:v>
                </c:pt>
                <c:pt idx="95">
                  <c:v>203.8923111562753</c:v>
                </c:pt>
                <c:pt idx="96">
                  <c:v>203.84157623665229</c:v>
                </c:pt>
                <c:pt idx="97">
                  <c:v>203.78549682852511</c:v>
                </c:pt>
                <c:pt idx="98">
                  <c:v>203.7241100492744</c:v>
                </c:pt>
                <c:pt idx="99">
                  <c:v>203.65745163889017</c:v>
                </c:pt>
                <c:pt idx="100">
                  <c:v>203.5855560091868</c:v>
                </c:pt>
                <c:pt idx="101">
                  <c:v>203.50845629137879</c:v>
                </c:pt>
                <c:pt idx="102">
                  <c:v>203.4261843821331</c:v>
                </c:pt>
                <c:pt idx="103">
                  <c:v>203.33877098820264</c:v>
                </c:pt>
                <c:pt idx="104">
                  <c:v>203.24624575395379</c:v>
                </c:pt>
                <c:pt idx="105">
                  <c:v>203.14863760064185</c:v>
                </c:pt>
                <c:pt idx="106">
                  <c:v>203.04597267031991</c:v>
                </c:pt>
                <c:pt idx="107">
                  <c:v>202.93827940711759</c:v>
                </c:pt>
                <c:pt idx="108">
                  <c:v>202.82557854484836</c:v>
                </c:pt>
                <c:pt idx="109">
                  <c:v>202.70789975007659</c:v>
                </c:pt>
                <c:pt idx="110">
                  <c:v>202.58526458550972</c:v>
                </c:pt>
                <c:pt idx="111">
                  <c:v>202.45769569754702</c:v>
                </c:pt>
                <c:pt idx="112">
                  <c:v>202.32521489797176</c:v>
                </c:pt>
                <c:pt idx="113">
                  <c:v>202.18784332174496</c:v>
                </c:pt>
                <c:pt idx="114">
                  <c:v>202.0456019571549</c:v>
                </c:pt>
                <c:pt idx="115">
                  <c:v>201.89850831457809</c:v>
                </c:pt>
                <c:pt idx="116">
                  <c:v>201.74658214138174</c:v>
                </c:pt>
                <c:pt idx="117">
                  <c:v>201.58984091285851</c:v>
                </c:pt>
                <c:pt idx="118">
                  <c:v>201.42830370517791</c:v>
                </c:pt>
                <c:pt idx="119">
                  <c:v>201.26198642266996</c:v>
                </c:pt>
                <c:pt idx="120">
                  <c:v>201.09090540672429</c:v>
                </c:pt>
                <c:pt idx="121">
                  <c:v>200.91507628805502</c:v>
                </c:pt>
                <c:pt idx="122">
                  <c:v>200.73451421436408</c:v>
                </c:pt>
                <c:pt idx="123">
                  <c:v>200.54923383360841</c:v>
                </c:pt>
                <c:pt idx="124">
                  <c:v>200.35924930374262</c:v>
                </c:pt>
                <c:pt idx="125">
                  <c:v>200.16457433004936</c:v>
                </c:pt>
                <c:pt idx="126">
                  <c:v>199.9652221857022</c:v>
                </c:pt>
                <c:pt idx="127">
                  <c:v>199.76120573631954</c:v>
                </c:pt>
                <c:pt idx="128">
                  <c:v>199.55253746297512</c:v>
                </c:pt>
                <c:pt idx="129">
                  <c:v>199.33922948474554</c:v>
                </c:pt>
                <c:pt idx="130">
                  <c:v>199.12129358059838</c:v>
                </c:pt>
                <c:pt idx="131">
                  <c:v>198.89874121071978</c:v>
                </c:pt>
                <c:pt idx="132">
                  <c:v>198.67158353730571</c:v>
                </c:pt>
                <c:pt idx="133">
                  <c:v>198.43983144484085</c:v>
                </c:pt>
                <c:pt idx="134">
                  <c:v>198.20349555995858</c:v>
                </c:pt>
                <c:pt idx="135">
                  <c:v>197.96258627093769</c:v>
                </c:pt>
                <c:pt idx="136">
                  <c:v>197.71711374706209</c:v>
                </c:pt>
                <c:pt idx="137">
                  <c:v>197.46708795775592</c:v>
                </c:pt>
                <c:pt idx="138">
                  <c:v>197.21251869183223</c:v>
                </c:pt>
                <c:pt idx="139">
                  <c:v>196.95341557692242</c:v>
                </c:pt>
                <c:pt idx="140">
                  <c:v>196.68978809933753</c:v>
                </c:pt>
                <c:pt idx="141">
                  <c:v>196.42164562456736</c:v>
                </c:pt>
                <c:pt idx="142">
                  <c:v>196.14899741868678</c:v>
                </c:pt>
                <c:pt idx="143">
                  <c:v>195.87185267098772</c:v>
                </c:pt>
                <c:pt idx="144">
                  <c:v>195.59042473978019</c:v>
                </c:pt>
                <c:pt idx="145">
                  <c:v>195.30411007077186</c:v>
                </c:pt>
                <c:pt idx="146">
                  <c:v>195.01353044112622</c:v>
                </c:pt>
                <c:pt idx="147">
                  <c:v>194.71849077537172</c:v>
                </c:pt>
                <c:pt idx="148">
                  <c:v>194.4190002879202</c:v>
                </c:pt>
                <c:pt idx="149">
                  <c:v>194.11506830024717</c:v>
                </c:pt>
                <c:pt idx="150">
                  <c:v>193.80670428406319</c:v>
                </c:pt>
                <c:pt idx="151">
                  <c:v>193.49391790963293</c:v>
                </c:pt>
                <c:pt idx="152">
                  <c:v>193.17671909986115</c:v>
                </c:pt>
                <c:pt idx="153">
                  <c:v>192.85511809070925</c:v>
                </c:pt>
                <c:pt idx="154">
                  <c:v>192.52912549865241</c:v>
                </c:pt>
                <c:pt idx="155">
                  <c:v>192.19875239574151</c:v>
                </c:pt>
                <c:pt idx="156">
                  <c:v>191.86401039275356</c:v>
                </c:pt>
                <c:pt idx="157">
                  <c:v>191.52491173106893</c:v>
                </c:pt>
                <c:pt idx="158">
                  <c:v>191.18146938348454</c:v>
                </c:pt>
                <c:pt idx="159">
                  <c:v>190.83369716431511</c:v>
                </c:pt>
                <c:pt idx="160">
                  <c:v>190.48160984888668</c:v>
                </c:pt>
                <c:pt idx="161">
                  <c:v>190.12522330227574</c:v>
                </c:pt>
                <c:pt idx="162">
                  <c:v>189.76455461698157</c:v>
                </c:pt>
                <c:pt idx="163">
                  <c:v>189.39962225913962</c:v>
                </c:pt>
                <c:pt idx="164">
                  <c:v>189.03044622218147</c:v>
                </c:pt>
                <c:pt idx="165">
                  <c:v>188.6570481871035</c:v>
                </c:pt>
                <c:pt idx="166">
                  <c:v>188.27945168778555</c:v>
                </c:pt>
                <c:pt idx="167">
                  <c:v>187.89768227974054</c:v>
                </c:pt>
                <c:pt idx="168">
                  <c:v>187.51176771041108</c:v>
                </c:pt>
                <c:pt idx="169">
                  <c:v>187.1217380888113</c:v>
                </c:pt>
                <c:pt idx="170">
                  <c:v>186.72782367161105</c:v>
                </c:pt>
                <c:pt idx="171">
                  <c:v>186.3294669286951</c:v>
                </c:pt>
                <c:pt idx="172">
                  <c:v>185.92729889013117</c:v>
                </c:pt>
                <c:pt idx="173">
                  <c:v>185.52116309970603</c:v>
                </c:pt>
                <c:pt idx="174">
                  <c:v>185.11110384728153</c:v>
                </c:pt>
                <c:pt idx="175">
                  <c:v>184.69716867616555</c:v>
                </c:pt>
                <c:pt idx="176">
                  <c:v>184.27940850194264</c:v>
                </c:pt>
                <c:pt idx="177">
                  <c:v>183.85787772731845</c:v>
                </c:pt>
                <c:pt idx="178">
                  <c:v>183.4326343597086</c:v>
                </c:pt>
                <c:pt idx="179">
                  <c:v>183.00374014194477</c:v>
                </c:pt>
                <c:pt idx="180">
                  <c:v>182.57126071127004</c:v>
                </c:pt>
                <c:pt idx="181">
                  <c:v>182.13526580728518</c:v>
                </c:pt>
                <c:pt idx="182">
                  <c:v>181.69582955659251</c:v>
                </c:pt>
                <c:pt idx="183">
                  <c:v>181.25303087001697</c:v>
                </c:pt>
                <c:pt idx="184">
                  <c:v>180.80695399747086</c:v>
                </c:pt>
                <c:pt idx="185">
                  <c:v>180.35768929609577</c:v>
                </c:pt>
                <c:pt idx="186">
                  <c:v>179.90533427798783</c:v>
                </c:pt>
                <c:pt idx="187">
                  <c:v>179.4499999134961</c:v>
                </c:pt>
                <c:pt idx="188">
                  <c:v>178.99178799473742</c:v>
                </c:pt>
                <c:pt idx="189">
                  <c:v>178.53084250958801</c:v>
                </c:pt>
                <c:pt idx="190">
                  <c:v>178.06730371231544</c:v>
                </c:pt>
                <c:pt idx="191">
                  <c:v>177.60133641969122</c:v>
                </c:pt>
                <c:pt idx="192">
                  <c:v>177.13312978986386</c:v>
                </c:pt>
                <c:pt idx="193">
                  <c:v>176.66290297400741</c:v>
                </c:pt>
                <c:pt idx="194">
                  <c:v>176.19084470872423</c:v>
                </c:pt>
                <c:pt idx="195">
                  <c:v>175.71694518726434</c:v>
                </c:pt>
                <c:pt idx="196">
                  <c:v>175.24290369765919</c:v>
                </c:pt>
                <c:pt idx="197">
                  <c:v>174.76778031287827</c:v>
                </c:pt>
                <c:pt idx="198">
                  <c:v>174.29265692809736</c:v>
                </c:pt>
                <c:pt idx="199">
                  <c:v>173.81753354331642</c:v>
                </c:pt>
                <c:pt idx="200">
                  <c:v>173.34914890099773</c:v>
                </c:pt>
                <c:pt idx="201">
                  <c:v>172.89150376405883</c:v>
                </c:pt>
                <c:pt idx="202">
                  <c:v>172.43385862711995</c:v>
                </c:pt>
                <c:pt idx="203">
                  <c:v>171.97621349018107</c:v>
                </c:pt>
                <c:pt idx="204">
                  <c:v>171.51856835324219</c:v>
                </c:pt>
                <c:pt idx="205">
                  <c:v>171.06092321630331</c:v>
                </c:pt>
                <c:pt idx="206">
                  <c:v>170.6032780793644</c:v>
                </c:pt>
                <c:pt idx="207">
                  <c:v>170.14563294242549</c:v>
                </c:pt>
                <c:pt idx="208">
                  <c:v>169.74436943933841</c:v>
                </c:pt>
                <c:pt idx="209">
                  <c:v>169.34458678852729</c:v>
                </c:pt>
                <c:pt idx="210">
                  <c:v>168.94480413771618</c:v>
                </c:pt>
                <c:pt idx="211">
                  <c:v>168.61391573549059</c:v>
                </c:pt>
                <c:pt idx="212">
                  <c:v>168.28377747040247</c:v>
                </c:pt>
                <c:pt idx="213">
                  <c:v>168.03946643703171</c:v>
                </c:pt>
                <c:pt idx="214">
                  <c:v>167.84741809386375</c:v>
                </c:pt>
                <c:pt idx="215">
                  <c:v>167.90040675865129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9AE4295-7AA2-446F-9E0B-6019E9C6F8C5}"/>
            </c:ext>
          </c:extLst>
        </c:ser>
        <c:ser>
          <c:idx val="3"/>
          <c:order val="3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Diagrammdaten!$F$8:$F$388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168.54494427808675</c:v>
                </c:pt>
                <c:pt idx="217">
                  <c:v>168.54494427808675</c:v>
                </c:pt>
                <c:pt idx="218">
                  <c:v>168.54494427808675</c:v>
                </c:pt>
                <c:pt idx="219">
                  <c:v>168.54494427808675</c:v>
                </c:pt>
                <c:pt idx="220">
                  <c:v>168.54494427808675</c:v>
                </c:pt>
                <c:pt idx="221">
                  <c:v>168.54494427808675</c:v>
                </c:pt>
                <c:pt idx="222">
                  <c:v>168.54494427808675</c:v>
                </c:pt>
                <c:pt idx="223">
                  <c:v>168.54494427808675</c:v>
                </c:pt>
                <c:pt idx="224">
                  <c:v>168.54494427808675</c:v>
                </c:pt>
                <c:pt idx="225">
                  <c:v>168.54494427808675</c:v>
                </c:pt>
                <c:pt idx="226">
                  <c:v>168.54494427808675</c:v>
                </c:pt>
                <c:pt idx="227">
                  <c:v>168.54494427808675</c:v>
                </c:pt>
                <c:pt idx="228">
                  <c:v>168.54494427808675</c:v>
                </c:pt>
                <c:pt idx="229">
                  <c:v>168.54494427808675</c:v>
                </c:pt>
                <c:pt idx="230">
                  <c:v>168.54494427808675</c:v>
                </c:pt>
                <c:pt idx="231">
                  <c:v>168.54494427808675</c:v>
                </c:pt>
                <c:pt idx="232">
                  <c:v>168.54494427808675</c:v>
                </c:pt>
                <c:pt idx="233">
                  <c:v>168.54494427808675</c:v>
                </c:pt>
                <c:pt idx="234">
                  <c:v>168.54494427808675</c:v>
                </c:pt>
                <c:pt idx="235">
                  <c:v>168.54494427808675</c:v>
                </c:pt>
                <c:pt idx="236">
                  <c:v>168.54494427808675</c:v>
                </c:pt>
                <c:pt idx="237">
                  <c:v>168.54494427808675</c:v>
                </c:pt>
                <c:pt idx="238">
                  <c:v>168.54494427808675</c:v>
                </c:pt>
                <c:pt idx="239">
                  <c:v>168.54494427808675</c:v>
                </c:pt>
                <c:pt idx="240">
                  <c:v>168.54494427808675</c:v>
                </c:pt>
                <c:pt idx="241">
                  <c:v>168.54494427808675</c:v>
                </c:pt>
                <c:pt idx="242">
                  <c:v>168.54494427808675</c:v>
                </c:pt>
                <c:pt idx="243">
                  <c:v>168.54494427808675</c:v>
                </c:pt>
                <c:pt idx="244">
                  <c:v>168.54494427808675</c:v>
                </c:pt>
                <c:pt idx="245">
                  <c:v>168.54494427808675</c:v>
                </c:pt>
                <c:pt idx="246">
                  <c:v>168.54494427808675</c:v>
                </c:pt>
                <c:pt idx="247">
                  <c:v>168.54494427808675</c:v>
                </c:pt>
                <c:pt idx="248">
                  <c:v>168.54494427808675</c:v>
                </c:pt>
                <c:pt idx="249">
                  <c:v>168.54494427808675</c:v>
                </c:pt>
                <c:pt idx="250">
                  <c:v>168.54494427808675</c:v>
                </c:pt>
                <c:pt idx="251">
                  <c:v>168.54494427808675</c:v>
                </c:pt>
                <c:pt idx="252">
                  <c:v>168.54494427808675</c:v>
                </c:pt>
                <c:pt idx="253">
                  <c:v>168.54494427808675</c:v>
                </c:pt>
                <c:pt idx="254">
                  <c:v>168.54494427808675</c:v>
                </c:pt>
                <c:pt idx="255">
                  <c:v>168.54494427808675</c:v>
                </c:pt>
                <c:pt idx="256">
                  <c:v>168.54494427808675</c:v>
                </c:pt>
                <c:pt idx="257">
                  <c:v>168.54494427808675</c:v>
                </c:pt>
                <c:pt idx="258">
                  <c:v>168.54494427808675</c:v>
                </c:pt>
                <c:pt idx="259">
                  <c:v>168.54494427808675</c:v>
                </c:pt>
                <c:pt idx="260">
                  <c:v>168.54494427808675</c:v>
                </c:pt>
                <c:pt idx="261">
                  <c:v>168.54494427808675</c:v>
                </c:pt>
                <c:pt idx="262">
                  <c:v>168.54494427808675</c:v>
                </c:pt>
                <c:pt idx="263">
                  <c:v>168.54494427808675</c:v>
                </c:pt>
                <c:pt idx="264">
                  <c:v>168.54494427808675</c:v>
                </c:pt>
                <c:pt idx="265">
                  <c:v>168.54494427808675</c:v>
                </c:pt>
                <c:pt idx="266">
                  <c:v>168.54494427808675</c:v>
                </c:pt>
                <c:pt idx="267">
                  <c:v>168.54494427808675</c:v>
                </c:pt>
                <c:pt idx="268">
                  <c:v>168.54494427808675</c:v>
                </c:pt>
                <c:pt idx="269">
                  <c:v>168.54494427808675</c:v>
                </c:pt>
                <c:pt idx="270">
                  <c:v>168.54494427808675</c:v>
                </c:pt>
                <c:pt idx="271">
                  <c:v>168.54494427808675</c:v>
                </c:pt>
                <c:pt idx="272">
                  <c:v>168.54494427808675</c:v>
                </c:pt>
                <c:pt idx="273">
                  <c:v>168.54494427808675</c:v>
                </c:pt>
                <c:pt idx="274">
                  <c:v>168.54494427808675</c:v>
                </c:pt>
                <c:pt idx="275">
                  <c:v>168.54494427808675</c:v>
                </c:pt>
                <c:pt idx="276">
                  <c:v>168.54494427808675</c:v>
                </c:pt>
                <c:pt idx="277">
                  <c:v>168.54494427808675</c:v>
                </c:pt>
                <c:pt idx="278">
                  <c:v>168.54494427808675</c:v>
                </c:pt>
                <c:pt idx="279">
                  <c:v>168.54494427808675</c:v>
                </c:pt>
                <c:pt idx="280">
                  <c:v>168.54494427808675</c:v>
                </c:pt>
                <c:pt idx="281">
                  <c:v>168.54494427808675</c:v>
                </c:pt>
                <c:pt idx="282">
                  <c:v>168.54494427808675</c:v>
                </c:pt>
                <c:pt idx="283">
                  <c:v>168.54494427808675</c:v>
                </c:pt>
                <c:pt idx="284">
                  <c:v>168.54494427808675</c:v>
                </c:pt>
                <c:pt idx="285">
                  <c:v>168.54494427808675</c:v>
                </c:pt>
                <c:pt idx="286">
                  <c:v>168.54494427808675</c:v>
                </c:pt>
                <c:pt idx="287">
                  <c:v>168.54494427808675</c:v>
                </c:pt>
                <c:pt idx="288">
                  <c:v>168.54494427808675</c:v>
                </c:pt>
                <c:pt idx="289">
                  <c:v>168.54494427808675</c:v>
                </c:pt>
                <c:pt idx="290">
                  <c:v>168.54494427808675</c:v>
                </c:pt>
                <c:pt idx="291">
                  <c:v>168.54494427808675</c:v>
                </c:pt>
                <c:pt idx="292">
                  <c:v>168.54494427808675</c:v>
                </c:pt>
                <c:pt idx="293">
                  <c:v>168.54494427808675</c:v>
                </c:pt>
                <c:pt idx="294">
                  <c:v>168.54494427808675</c:v>
                </c:pt>
                <c:pt idx="295">
                  <c:v>168.54494427808675</c:v>
                </c:pt>
                <c:pt idx="296">
                  <c:v>168.54494427808675</c:v>
                </c:pt>
                <c:pt idx="297">
                  <c:v>168.54494427808675</c:v>
                </c:pt>
                <c:pt idx="298">
                  <c:v>168.54494427808675</c:v>
                </c:pt>
                <c:pt idx="299">
                  <c:v>168.54494427808675</c:v>
                </c:pt>
                <c:pt idx="300">
                  <c:v>168.54494427808675</c:v>
                </c:pt>
                <c:pt idx="301">
                  <c:v>168.54494427808675</c:v>
                </c:pt>
                <c:pt idx="302">
                  <c:v>168.54494427808675</c:v>
                </c:pt>
                <c:pt idx="303">
                  <c:v>168.54494427808675</c:v>
                </c:pt>
                <c:pt idx="304">
                  <c:v>168.54494427808675</c:v>
                </c:pt>
                <c:pt idx="305">
                  <c:v>168.54494427808675</c:v>
                </c:pt>
                <c:pt idx="306">
                  <c:v>168.54494427808675</c:v>
                </c:pt>
                <c:pt idx="307">
                  <c:v>168.54494427808675</c:v>
                </c:pt>
                <c:pt idx="308">
                  <c:v>168.54494427808675</c:v>
                </c:pt>
                <c:pt idx="309">
                  <c:v>168.54494427808675</c:v>
                </c:pt>
                <c:pt idx="310">
                  <c:v>168.54494427808675</c:v>
                </c:pt>
                <c:pt idx="311">
                  <c:v>168.54494427808675</c:v>
                </c:pt>
                <c:pt idx="312">
                  <c:v>168.54494427808675</c:v>
                </c:pt>
                <c:pt idx="313">
                  <c:v>168.54494427808675</c:v>
                </c:pt>
                <c:pt idx="314">
                  <c:v>168.54494427808675</c:v>
                </c:pt>
                <c:pt idx="315">
                  <c:v>168.54494427808675</c:v>
                </c:pt>
                <c:pt idx="316">
                  <c:v>168.54494427808675</c:v>
                </c:pt>
                <c:pt idx="317">
                  <c:v>168.54494427808675</c:v>
                </c:pt>
                <c:pt idx="318">
                  <c:v>168.54494427808675</c:v>
                </c:pt>
                <c:pt idx="319">
                  <c:v>168.54494427808675</c:v>
                </c:pt>
                <c:pt idx="320">
                  <c:v>168.54494427808675</c:v>
                </c:pt>
                <c:pt idx="321">
                  <c:v>168.54494427808675</c:v>
                </c:pt>
                <c:pt idx="322">
                  <c:v>168.54494427808675</c:v>
                </c:pt>
                <c:pt idx="323">
                  <c:v>168.54494427808675</c:v>
                </c:pt>
                <c:pt idx="324">
                  <c:v>168.54494427808675</c:v>
                </c:pt>
                <c:pt idx="325">
                  <c:v>168.54494427808675</c:v>
                </c:pt>
                <c:pt idx="326">
                  <c:v>168.54494427808675</c:v>
                </c:pt>
                <c:pt idx="327">
                  <c:v>168.54494427808675</c:v>
                </c:pt>
                <c:pt idx="328">
                  <c:v>168.54494427808675</c:v>
                </c:pt>
                <c:pt idx="329">
                  <c:v>168.54494427808675</c:v>
                </c:pt>
                <c:pt idx="330">
                  <c:v>168.54494427808675</c:v>
                </c:pt>
                <c:pt idx="331">
                  <c:v>168.54494427808675</c:v>
                </c:pt>
                <c:pt idx="332">
                  <c:v>168.54494427808675</c:v>
                </c:pt>
                <c:pt idx="333">
                  <c:v>168.54494427808675</c:v>
                </c:pt>
                <c:pt idx="334">
                  <c:v>168.54494427808675</c:v>
                </c:pt>
                <c:pt idx="335">
                  <c:v>168.54494427808675</c:v>
                </c:pt>
                <c:pt idx="336">
                  <c:v>168.54494427808675</c:v>
                </c:pt>
                <c:pt idx="337">
                  <c:v>168.54494427808675</c:v>
                </c:pt>
                <c:pt idx="338">
                  <c:v>168.54494427808675</c:v>
                </c:pt>
                <c:pt idx="339">
                  <c:v>168.54494427808675</c:v>
                </c:pt>
                <c:pt idx="340">
                  <c:v>168.54494427808675</c:v>
                </c:pt>
                <c:pt idx="341">
                  <c:v>168.54494427808675</c:v>
                </c:pt>
                <c:pt idx="342">
                  <c:v>168.54494427808675</c:v>
                </c:pt>
                <c:pt idx="343">
                  <c:v>168.54494427808675</c:v>
                </c:pt>
                <c:pt idx="344">
                  <c:v>168.54494427808675</c:v>
                </c:pt>
                <c:pt idx="345">
                  <c:v>168.54494427808675</c:v>
                </c:pt>
                <c:pt idx="346">
                  <c:v>168.54494427808675</c:v>
                </c:pt>
                <c:pt idx="347">
                  <c:v>168.54494427808675</c:v>
                </c:pt>
                <c:pt idx="348">
                  <c:v>168.54494427808675</c:v>
                </c:pt>
                <c:pt idx="349">
                  <c:v>168.54494427808675</c:v>
                </c:pt>
                <c:pt idx="350">
                  <c:v>168.54494427808675</c:v>
                </c:pt>
                <c:pt idx="351">
                  <c:v>168.54494427808675</c:v>
                </c:pt>
                <c:pt idx="352">
                  <c:v>168.54494427808675</c:v>
                </c:pt>
                <c:pt idx="353">
                  <c:v>168.54494427808675</c:v>
                </c:pt>
                <c:pt idx="354">
                  <c:v>168.54494427808675</c:v>
                </c:pt>
                <c:pt idx="355">
                  <c:v>168.54494427808675</c:v>
                </c:pt>
                <c:pt idx="356">
                  <c:v>168.54494427808675</c:v>
                </c:pt>
                <c:pt idx="357">
                  <c:v>168.54494427808675</c:v>
                </c:pt>
                <c:pt idx="358">
                  <c:v>168.54494427808675</c:v>
                </c:pt>
                <c:pt idx="359">
                  <c:v>168.54494427808675</c:v>
                </c:pt>
                <c:pt idx="360">
                  <c:v>168.54494427808675</c:v>
                </c:pt>
                <c:pt idx="361">
                  <c:v>168.54494427808675</c:v>
                </c:pt>
                <c:pt idx="362">
                  <c:v>168.54494427808675</c:v>
                </c:pt>
                <c:pt idx="363">
                  <c:v>168.54494427808675</c:v>
                </c:pt>
                <c:pt idx="364">
                  <c:v>168.54494427808675</c:v>
                </c:pt>
                <c:pt idx="365">
                  <c:v>168.54494427808675</c:v>
                </c:pt>
                <c:pt idx="366">
                  <c:v>168.54494427808675</c:v>
                </c:pt>
                <c:pt idx="367">
                  <c:v>168.54494427808675</c:v>
                </c:pt>
                <c:pt idx="368">
                  <c:v>168.54494427808675</c:v>
                </c:pt>
                <c:pt idx="369">
                  <c:v>168.54494427808675</c:v>
                </c:pt>
                <c:pt idx="370">
                  <c:v>168.54494427808675</c:v>
                </c:pt>
                <c:pt idx="371">
                  <c:v>168.54494427808675</c:v>
                </c:pt>
                <c:pt idx="372">
                  <c:v>168.54494427808675</c:v>
                </c:pt>
                <c:pt idx="373">
                  <c:v>168.54494427808675</c:v>
                </c:pt>
                <c:pt idx="374">
                  <c:v>168.54494427808675</c:v>
                </c:pt>
                <c:pt idx="375">
                  <c:v>168.54494427808675</c:v>
                </c:pt>
                <c:pt idx="376">
                  <c:v>168.54494427808675</c:v>
                </c:pt>
                <c:pt idx="377">
                  <c:v>168.54494427808675</c:v>
                </c:pt>
                <c:pt idx="378">
                  <c:v>168.54494427808675</c:v>
                </c:pt>
                <c:pt idx="379">
                  <c:v>168.54494427808675</c:v>
                </c:pt>
                <c:pt idx="380">
                  <c:v>168.54494427808675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3-464D-940D-AFDE62BF7178}"/>
            </c:ext>
          </c:extLst>
        </c:ser>
        <c:ser>
          <c:idx val="4"/>
          <c:order val="4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Diagrammdaten!$C$8:$C$388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Diagrammdaten!$G$8:$G$388</c:f>
              <c:numCache>
                <c:formatCode>General</c:formatCode>
                <c:ptCount val="381"/>
                <c:pt idx="0">
                  <c:v>249.10758432028197</c:v>
                </c:pt>
                <c:pt idx="1">
                  <c:v>249.0697020259696</c:v>
                </c:pt>
                <c:pt idx="2">
                  <c:v>249.03041162618976</c:v>
                </c:pt>
                <c:pt idx="3">
                  <c:v>248.98966806549112</c:v>
                </c:pt>
                <c:pt idx="4">
                  <c:v>248.94742506021737</c:v>
                </c:pt>
                <c:pt idx="5">
                  <c:v>248.90363506914466</c:v>
                </c:pt>
                <c:pt idx="6">
                  <c:v>248.8582492633968</c:v>
                </c:pt>
                <c:pt idx="7">
                  <c:v>248.81121749561368</c:v>
                </c:pt>
                <c:pt idx="8">
                  <c:v>248.76248826834575</c:v>
                </c:pt>
                <c:pt idx="9">
                  <c:v>248.71200870164714</c:v>
                </c:pt>
                <c:pt idx="10">
                  <c:v>248.6597244998367</c:v>
                </c:pt>
                <c:pt idx="11">
                  <c:v>248.60557991739603</c:v>
                </c:pt>
                <c:pt idx="12">
                  <c:v>248.5495177239693</c:v>
                </c:pt>
                <c:pt idx="13">
                  <c:v>248.49147916842955</c:v>
                </c:pt>
                <c:pt idx="14">
                  <c:v>248.43140394197135</c:v>
                </c:pt>
                <c:pt idx="15">
                  <c:v>248.36923014018808</c:v>
                </c:pt>
                <c:pt idx="16">
                  <c:v>248.30489422408749</c:v>
                </c:pt>
                <c:pt idx="17">
                  <c:v>248.23833097999642</c:v>
                </c:pt>
                <c:pt idx="18">
                  <c:v>248.16947347829941</c:v>
                </c:pt>
                <c:pt idx="19">
                  <c:v>248.09825303095215</c:v>
                </c:pt>
                <c:pt idx="20">
                  <c:v>248.02459914770341</c:v>
                </c:pt>
                <c:pt idx="21">
                  <c:v>247.94843949095201</c:v>
                </c:pt>
                <c:pt idx="22">
                  <c:v>247.86969982915753</c:v>
                </c:pt>
                <c:pt idx="23">
                  <c:v>247.78830398871139</c:v>
                </c:pt>
                <c:pt idx="24">
                  <c:v>247.70417380416475</c:v>
                </c:pt>
                <c:pt idx="25">
                  <c:v>247.6172290666922</c:v>
                </c:pt>
                <c:pt idx="26">
                  <c:v>247.52738747065339</c:v>
                </c:pt>
                <c:pt idx="27">
                  <c:v>247.4345645580903</c:v>
                </c:pt>
                <c:pt idx="28">
                  <c:v>247.3386736609695</c:v>
                </c:pt>
                <c:pt idx="29">
                  <c:v>247.23962584094059</c:v>
                </c:pt>
                <c:pt idx="30">
                  <c:v>247.13732982633502</c:v>
                </c:pt>
                <c:pt idx="31">
                  <c:v>247.03169194606474</c:v>
                </c:pt>
                <c:pt idx="32">
                  <c:v>246.92261605999738</c:v>
                </c:pt>
                <c:pt idx="33">
                  <c:v>246.81000348526769</c:v>
                </c:pt>
                <c:pt idx="34">
                  <c:v>246.69375291782731</c:v>
                </c:pt>
                <c:pt idx="35">
                  <c:v>246.57376034830631</c:v>
                </c:pt>
                <c:pt idx="36">
                  <c:v>246.44991897092928</c:v>
                </c:pt>
                <c:pt idx="37">
                  <c:v>246.32211908373046</c:v>
                </c:pt>
                <c:pt idx="38">
                  <c:v>246.19024797753519</c:v>
                </c:pt>
                <c:pt idx="39">
                  <c:v>246.05418980991723</c:v>
                </c:pt>
                <c:pt idx="40">
                  <c:v>245.91382545819579</c:v>
                </c:pt>
                <c:pt idx="41">
                  <c:v>245.76903234166346</c:v>
                </c:pt>
                <c:pt idx="42">
                  <c:v>245.61968419570067</c:v>
                </c:pt>
                <c:pt idx="43">
                  <c:v>245.46565076430832</c:v>
                </c:pt>
                <c:pt idx="44">
                  <c:v>245.30679733832375</c:v>
                </c:pt>
                <c:pt idx="45">
                  <c:v>245.14298395103927</c:v>
                </c:pt>
                <c:pt idx="46">
                  <c:v>244.9740635750301</c:v>
                </c:pt>
                <c:pt idx="47">
                  <c:v>242.10720440871191</c:v>
                </c:pt>
                <c:pt idx="48">
                  <c:v>218.65464354090309</c:v>
                </c:pt>
                <c:pt idx="49">
                  <c:v>195.08860930988234</c:v>
                </c:pt>
                <c:pt idx="50">
                  <c:v>171.40910171565417</c:v>
                </c:pt>
                <c:pt idx="51">
                  <c:v>147.61612075821634</c:v>
                </c:pt>
                <c:pt idx="52">
                  <c:v>123.70966643756657</c:v>
                </c:pt>
                <c:pt idx="53">
                  <c:v>99.689738753709378</c:v>
                </c:pt>
                <c:pt idx="54">
                  <c:v>75.556337706640221</c:v>
                </c:pt>
                <c:pt idx="55">
                  <c:v>51.309463296363703</c:v>
                </c:pt>
                <c:pt idx="56">
                  <c:v>26.94911552287752</c:v>
                </c:pt>
                <c:pt idx="57">
                  <c:v>2.4752943861793142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3-464D-940D-AFDE62BF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Diagrammdaten!$L$8:$L$77</c:f>
              <c:numCache>
                <c:formatCode>General</c:formatCode>
                <c:ptCount val="70"/>
                <c:pt idx="0">
                  <c:v>47.884000000000071</c:v>
                </c:pt>
                <c:pt idx="1">
                  <c:v>53.996053427743234</c:v>
                </c:pt>
                <c:pt idx="2">
                  <c:v>60.108106855486398</c:v>
                </c:pt>
                <c:pt idx="3">
                  <c:v>66.220160283229561</c:v>
                </c:pt>
                <c:pt idx="4">
                  <c:v>72.332213710972724</c:v>
                </c:pt>
                <c:pt idx="5">
                  <c:v>78.444267138715887</c:v>
                </c:pt>
                <c:pt idx="6">
                  <c:v>84.55632056645905</c:v>
                </c:pt>
                <c:pt idx="7">
                  <c:v>90.668373994202227</c:v>
                </c:pt>
                <c:pt idx="8">
                  <c:v>96.780427421945376</c:v>
                </c:pt>
                <c:pt idx="9">
                  <c:v>102.89248084968855</c:v>
                </c:pt>
                <c:pt idx="10">
                  <c:v>109.0045342774317</c:v>
                </c:pt>
                <c:pt idx="11">
                  <c:v>115.11658770517488</c:v>
                </c:pt>
                <c:pt idx="12">
                  <c:v>121.22864113291804</c:v>
                </c:pt>
                <c:pt idx="13">
                  <c:v>127.34069456066121</c:v>
                </c:pt>
                <c:pt idx="14">
                  <c:v>133.45274798840438</c:v>
                </c:pt>
                <c:pt idx="15">
                  <c:v>139.56480141614753</c:v>
                </c:pt>
                <c:pt idx="16">
                  <c:v>145.67685484389068</c:v>
                </c:pt>
                <c:pt idx="17">
                  <c:v>151.78890827163386</c:v>
                </c:pt>
                <c:pt idx="18">
                  <c:v>157.90096169937704</c:v>
                </c:pt>
                <c:pt idx="19">
                  <c:v>164.01301512712018</c:v>
                </c:pt>
                <c:pt idx="20">
                  <c:v>170.12506855486333</c:v>
                </c:pt>
                <c:pt idx="21">
                  <c:v>176.23712198260651</c:v>
                </c:pt>
                <c:pt idx="22">
                  <c:v>182.34917541034969</c:v>
                </c:pt>
                <c:pt idx="23">
                  <c:v>188.46122883809284</c:v>
                </c:pt>
                <c:pt idx="24">
                  <c:v>194.57328226583601</c:v>
                </c:pt>
                <c:pt idx="25">
                  <c:v>200.68533569357916</c:v>
                </c:pt>
                <c:pt idx="26">
                  <c:v>206.79738912132234</c:v>
                </c:pt>
                <c:pt idx="27">
                  <c:v>212.90944254906549</c:v>
                </c:pt>
                <c:pt idx="28">
                  <c:v>213.11530334534405</c:v>
                </c:pt>
                <c:pt idx="29">
                  <c:v>215.09671087318316</c:v>
                </c:pt>
                <c:pt idx="30">
                  <c:v>216.46977996825069</c:v>
                </c:pt>
                <c:pt idx="31">
                  <c:v>217.14708372948724</c:v>
                </c:pt>
                <c:pt idx="32">
                  <c:v>217.18664870023304</c:v>
                </c:pt>
                <c:pt idx="33">
                  <c:v>217.11976458358242</c:v>
                </c:pt>
                <c:pt idx="34">
                  <c:v>216.69912051454844</c:v>
                </c:pt>
                <c:pt idx="35">
                  <c:v>216.53333128843872</c:v>
                </c:pt>
                <c:pt idx="36">
                  <c:v>216.09101257175962</c:v>
                </c:pt>
                <c:pt idx="37">
                  <c:v>215.89566713390104</c:v>
                </c:pt>
                <c:pt idx="38">
                  <c:v>215.42623598676914</c:v>
                </c:pt>
                <c:pt idx="39">
                  <c:v>214.8293647044818</c:v>
                </c:pt>
                <c:pt idx="40">
                  <c:v>213.22434190975093</c:v>
                </c:pt>
                <c:pt idx="41">
                  <c:v>212.90944254906549</c:v>
                </c:pt>
                <c:pt idx="42">
                  <c:v>207.01567674374172</c:v>
                </c:pt>
                <c:pt idx="43">
                  <c:v>201.12191093841795</c:v>
                </c:pt>
                <c:pt idx="44">
                  <c:v>195.22814513309419</c:v>
                </c:pt>
                <c:pt idx="45">
                  <c:v>189.33437932777042</c:v>
                </c:pt>
                <c:pt idx="46">
                  <c:v>183.44061352244665</c:v>
                </c:pt>
                <c:pt idx="47">
                  <c:v>177.54684771712289</c:v>
                </c:pt>
                <c:pt idx="48">
                  <c:v>171.65308191179912</c:v>
                </c:pt>
                <c:pt idx="49">
                  <c:v>165.75931610647535</c:v>
                </c:pt>
                <c:pt idx="50">
                  <c:v>159.86555030115159</c:v>
                </c:pt>
                <c:pt idx="51">
                  <c:v>153.97178449582782</c:v>
                </c:pt>
                <c:pt idx="52">
                  <c:v>148.07801869050405</c:v>
                </c:pt>
                <c:pt idx="53">
                  <c:v>142.18425288518031</c:v>
                </c:pt>
                <c:pt idx="54">
                  <c:v>136.29048707985655</c:v>
                </c:pt>
                <c:pt idx="55">
                  <c:v>130.39672127453278</c:v>
                </c:pt>
                <c:pt idx="56">
                  <c:v>124.50295546920901</c:v>
                </c:pt>
                <c:pt idx="57">
                  <c:v>118.60918966388525</c:v>
                </c:pt>
                <c:pt idx="58">
                  <c:v>112.71542385856148</c:v>
                </c:pt>
                <c:pt idx="59">
                  <c:v>106.82165805323771</c:v>
                </c:pt>
                <c:pt idx="60">
                  <c:v>100.92789224791395</c:v>
                </c:pt>
                <c:pt idx="61">
                  <c:v>95.034126442590178</c:v>
                </c:pt>
                <c:pt idx="62">
                  <c:v>89.140360637266426</c:v>
                </c:pt>
                <c:pt idx="63">
                  <c:v>83.246594831942645</c:v>
                </c:pt>
                <c:pt idx="64">
                  <c:v>77.352829026618878</c:v>
                </c:pt>
                <c:pt idx="65">
                  <c:v>71.459063221295139</c:v>
                </c:pt>
                <c:pt idx="66">
                  <c:v>65.565297415971372</c:v>
                </c:pt>
                <c:pt idx="67">
                  <c:v>59.671531610647605</c:v>
                </c:pt>
                <c:pt idx="68">
                  <c:v>53.777765805323838</c:v>
                </c:pt>
                <c:pt idx="69">
                  <c:v>47.884000000000071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5.4780051259929632</c:v>
                </c:pt>
                <c:pt idx="1">
                  <c:v>6.2465283664309963</c:v>
                </c:pt>
                <c:pt idx="2">
                  <c:v>7.094026716138905</c:v>
                </c:pt>
                <c:pt idx="3">
                  <c:v>8.0255579412624787</c:v>
                </c:pt>
                <c:pt idx="4">
                  <c:v>9.0463049806261271</c:v>
                </c:pt>
                <c:pt idx="5">
                  <c:v>10.161580260227899</c:v>
                </c:pt>
                <c:pt idx="6">
                  <c:v>11.376832494554185</c:v>
                </c:pt>
                <c:pt idx="7">
                  <c:v>12.697656236143098</c:v>
                </c:pt>
                <c:pt idx="8">
                  <c:v>14.129804656079587</c:v>
                </c:pt>
                <c:pt idx="9">
                  <c:v>15.67923451447156</c:v>
                </c:pt>
                <c:pt idx="10">
                  <c:v>17.352406968327372</c:v>
                </c:pt>
                <c:pt idx="11">
                  <c:v>19.155353708527862</c:v>
                </c:pt>
                <c:pt idx="12">
                  <c:v>21.094699875721581</c:v>
                </c:pt>
                <c:pt idx="13">
                  <c:v>23.177390130610402</c:v>
                </c:pt>
                <c:pt idx="14">
                  <c:v>25.410755922853671</c:v>
                </c:pt>
                <c:pt idx="15">
                  <c:v>27.802604003304531</c:v>
                </c:pt>
                <c:pt idx="16">
                  <c:v>30.363205999893026</c:v>
                </c:pt>
                <c:pt idx="17">
                  <c:v>33.096101826227539</c:v>
                </c:pt>
                <c:pt idx="18">
                  <c:v>36.017129110207115</c:v>
                </c:pt>
                <c:pt idx="19">
                  <c:v>39.136313339837116</c:v>
                </c:pt>
                <c:pt idx="20">
                  <c:v>42.466439159222979</c:v>
                </c:pt>
                <c:pt idx="21">
                  <c:v>46.023360530623989</c:v>
                </c:pt>
                <c:pt idx="22">
                  <c:v>49.826593298424697</c:v>
                </c:pt>
                <c:pt idx="23">
                  <c:v>53.902917038676897</c:v>
                </c:pt>
                <c:pt idx="24">
                  <c:v>58.288588500852839</c:v>
                </c:pt>
                <c:pt idx="25">
                  <c:v>63.115296932976065</c:v>
                </c:pt>
                <c:pt idx="26">
                  <c:v>68.296439810562831</c:v>
                </c:pt>
                <c:pt idx="27">
                  <c:v>74.339555460510013</c:v>
                </c:pt>
                <c:pt idx="28">
                  <c:v>74.556723930467271</c:v>
                </c:pt>
                <c:pt idx="29">
                  <c:v>76.933953502157294</c:v>
                </c:pt>
                <c:pt idx="30">
                  <c:v>78.941156502790562</c:v>
                </c:pt>
                <c:pt idx="31">
                  <c:v>80.494760566134005</c:v>
                </c:pt>
                <c:pt idx="32">
                  <c:v>80.896473762668705</c:v>
                </c:pt>
                <c:pt idx="33">
                  <c:v>81.224767037052715</c:v>
                </c:pt>
                <c:pt idx="34">
                  <c:v>81.685344406773822</c:v>
                </c:pt>
                <c:pt idx="35">
                  <c:v>81.838319578037911</c:v>
                </c:pt>
                <c:pt idx="36">
                  <c:v>82.075301596995402</c:v>
                </c:pt>
                <c:pt idx="37">
                  <c:v>82.127440129186695</c:v>
                </c:pt>
                <c:pt idx="38">
                  <c:v>82.17759431791859</c:v>
                </c:pt>
                <c:pt idx="39">
                  <c:v>82.142568673071494</c:v>
                </c:pt>
                <c:pt idx="40">
                  <c:v>81.790286378469247</c:v>
                </c:pt>
                <c:pt idx="41">
                  <c:v>81.686326049855197</c:v>
                </c:pt>
                <c:pt idx="42">
                  <c:v>79.403896306172044</c:v>
                </c:pt>
                <c:pt idx="43">
                  <c:v>76.706643047108898</c:v>
                </c:pt>
                <c:pt idx="44">
                  <c:v>73.917273160672508</c:v>
                </c:pt>
                <c:pt idx="45">
                  <c:v>71.162241328121723</c:v>
                </c:pt>
                <c:pt idx="46">
                  <c:v>68.499105449613097</c:v>
                </c:pt>
                <c:pt idx="47">
                  <c:v>65.950868682966799</c:v>
                </c:pt>
                <c:pt idx="48">
                  <c:v>63.532027644965225</c:v>
                </c:pt>
                <c:pt idx="49">
                  <c:v>61.252710857907914</c:v>
                </c:pt>
                <c:pt idx="50">
                  <c:v>59.119111530194637</c:v>
                </c:pt>
                <c:pt idx="51">
                  <c:v>57.135698205735828</c:v>
                </c:pt>
                <c:pt idx="52">
                  <c:v>55.304834874033894</c:v>
                </c:pt>
                <c:pt idx="53">
                  <c:v>53.628494465250789</c:v>
                </c:pt>
                <c:pt idx="54">
                  <c:v>52.108566858257042</c:v>
                </c:pt>
                <c:pt idx="55">
                  <c:v>50.747017816934239</c:v>
                </c:pt>
                <c:pt idx="56">
                  <c:v>49.546046180813249</c:v>
                </c:pt>
                <c:pt idx="57">
                  <c:v>48.508227960961797</c:v>
                </c:pt>
                <c:pt idx="58">
                  <c:v>47.636678138918917</c:v>
                </c:pt>
                <c:pt idx="59">
                  <c:v>46.935238191457664</c:v>
                </c:pt>
                <c:pt idx="60">
                  <c:v>46.40892779619076</c:v>
                </c:pt>
                <c:pt idx="61">
                  <c:v>46.063863329321116</c:v>
                </c:pt>
                <c:pt idx="62">
                  <c:v>45.907235940758852</c:v>
                </c:pt>
                <c:pt idx="63">
                  <c:v>45.948412119295952</c:v>
                </c:pt>
                <c:pt idx="64">
                  <c:v>46.199065481880361</c:v>
                </c:pt>
                <c:pt idx="65">
                  <c:v>46.673734775122661</c:v>
                </c:pt>
                <c:pt idx="66">
                  <c:v>47.390529862815043</c:v>
                </c:pt>
                <c:pt idx="67">
                  <c:v>48.372032320327683</c:v>
                </c:pt>
                <c:pt idx="68">
                  <c:v>49.646459563221228</c:v>
                </c:pt>
                <c:pt idx="69">
                  <c:v>51.249178858911719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23-464D-940D-AFDE62BF7178}"/>
            </c:ext>
          </c:extLst>
        </c:ser>
        <c:ser>
          <c:idx val="6"/>
          <c:order val="6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Diagrammdaten!$L$256:$L$296</c:f>
              <c:numCache>
                <c:formatCode>General</c:formatCode>
                <c:ptCount val="41"/>
                <c:pt idx="0">
                  <c:v>47.884000000000071</c:v>
                </c:pt>
                <c:pt idx="1">
                  <c:v>52.260760000149105</c:v>
                </c:pt>
                <c:pt idx="2">
                  <c:v>56.637520000298139</c:v>
                </c:pt>
                <c:pt idx="3">
                  <c:v>61.014280000447172</c:v>
                </c:pt>
                <c:pt idx="4">
                  <c:v>65.391040000596206</c:v>
                </c:pt>
                <c:pt idx="5">
                  <c:v>69.76780000074524</c:v>
                </c:pt>
                <c:pt idx="6">
                  <c:v>74.144560000894273</c:v>
                </c:pt>
                <c:pt idx="7">
                  <c:v>78.521320001043307</c:v>
                </c:pt>
                <c:pt idx="8">
                  <c:v>82.898080001192341</c:v>
                </c:pt>
                <c:pt idx="9">
                  <c:v>87.274840001341374</c:v>
                </c:pt>
                <c:pt idx="10">
                  <c:v>91.651600001490408</c:v>
                </c:pt>
                <c:pt idx="11">
                  <c:v>96.028360001639442</c:v>
                </c:pt>
                <c:pt idx="12">
                  <c:v>100.40512000178848</c:v>
                </c:pt>
                <c:pt idx="13">
                  <c:v>104.78188000193751</c:v>
                </c:pt>
                <c:pt idx="14">
                  <c:v>109.1586400020866</c:v>
                </c:pt>
                <c:pt idx="15">
                  <c:v>113.53540000223563</c:v>
                </c:pt>
                <c:pt idx="16">
                  <c:v>117.91216000238467</c:v>
                </c:pt>
                <c:pt idx="17">
                  <c:v>122.2889200025337</c:v>
                </c:pt>
                <c:pt idx="18">
                  <c:v>126.66568000268273</c:v>
                </c:pt>
                <c:pt idx="19">
                  <c:v>131.04244000283177</c:v>
                </c:pt>
                <c:pt idx="20">
                  <c:v>135.4192000029808</c:v>
                </c:pt>
                <c:pt idx="21">
                  <c:v>139.79596000312984</c:v>
                </c:pt>
                <c:pt idx="22">
                  <c:v>144.17272000327887</c:v>
                </c:pt>
                <c:pt idx="23">
                  <c:v>148.5494800034279</c:v>
                </c:pt>
                <c:pt idx="24">
                  <c:v>152.92624000357694</c:v>
                </c:pt>
                <c:pt idx="25">
                  <c:v>157.30300000372597</c:v>
                </c:pt>
                <c:pt idx="26">
                  <c:v>161.679760003875</c:v>
                </c:pt>
                <c:pt idx="27">
                  <c:v>166.05652000402404</c:v>
                </c:pt>
                <c:pt idx="28">
                  <c:v>170.43328000417307</c:v>
                </c:pt>
                <c:pt idx="29">
                  <c:v>174.8100400043221</c:v>
                </c:pt>
                <c:pt idx="30">
                  <c:v>179.18680000447114</c:v>
                </c:pt>
                <c:pt idx="31">
                  <c:v>183.56356000462017</c:v>
                </c:pt>
                <c:pt idx="32">
                  <c:v>187.94032000476921</c:v>
                </c:pt>
                <c:pt idx="33">
                  <c:v>192.31708000491824</c:v>
                </c:pt>
                <c:pt idx="34">
                  <c:v>196.69384000506727</c:v>
                </c:pt>
                <c:pt idx="35">
                  <c:v>201.07060000521631</c:v>
                </c:pt>
                <c:pt idx="36">
                  <c:v>205.44736000536534</c:v>
                </c:pt>
                <c:pt idx="37">
                  <c:v>209.82412000551437</c:v>
                </c:pt>
                <c:pt idx="38">
                  <c:v>214.20088000566341</c:v>
                </c:pt>
                <c:pt idx="39">
                  <c:v>218.57764000581244</c:v>
                </c:pt>
                <c:pt idx="40">
                  <c:v>222.95440000596147</c:v>
                </c:pt>
              </c:numCache>
            </c:numRef>
          </c:xVal>
          <c:yVal>
            <c:numRef>
              <c:f>Diagrammdaten!$K$256:$K$296</c:f>
              <c:numCache>
                <c:formatCode>General</c:formatCode>
                <c:ptCount val="41"/>
                <c:pt idx="0">
                  <c:v>5.179643433349451</c:v>
                </c:pt>
                <c:pt idx="1">
                  <c:v>5.690561898357319</c:v>
                </c:pt>
                <c:pt idx="2">
                  <c:v>6.2385925725646123</c:v>
                </c:pt>
                <c:pt idx="3">
                  <c:v>6.825395560929695</c:v>
                </c:pt>
                <c:pt idx="4">
                  <c:v>7.4526521748979997</c:v>
                </c:pt>
                <c:pt idx="5">
                  <c:v>8.1220643662310241</c:v>
                </c:pt>
                <c:pt idx="6">
                  <c:v>8.8353543202131775</c:v>
                </c:pt>
                <c:pt idx="7">
                  <c:v>9.5942642191494194</c:v>
                </c:pt>
                <c:pt idx="8">
                  <c:v>10.400556183845032</c:v>
                </c:pt>
                <c:pt idx="9">
                  <c:v>11.256012395801237</c:v>
                </c:pt>
                <c:pt idx="10">
                  <c:v>12.162435399008638</c:v>
                </c:pt>
                <c:pt idx="11">
                  <c:v>13.12164858209297</c:v>
                </c:pt>
                <c:pt idx="12">
                  <c:v>14.135496853100509</c:v>
                </c:pt>
                <c:pt idx="13">
                  <c:v>15.205847540490653</c:v>
                </c:pt>
                <c:pt idx="14">
                  <c:v>16.334591579694806</c:v>
                </c:pt>
                <c:pt idx="15">
                  <c:v>17.523645066186731</c:v>
                </c:pt>
                <c:pt idx="16">
                  <c:v>18.774951265593533</c:v>
                </c:pt>
                <c:pt idx="17">
                  <c:v>20.09048316632229</c:v>
                </c:pt>
                <c:pt idx="18">
                  <c:v>21.472246644534383</c:v>
                </c:pt>
                <c:pt idx="19">
                  <c:v>22.922284294019239</c:v>
                </c:pt>
                <c:pt idx="20">
                  <c:v>24.442679965043133</c:v>
                </c:pt>
                <c:pt idx="21">
                  <c:v>26.035564065652519</c:v>
                </c:pt>
                <c:pt idx="22">
                  <c:v>27.703119713043016</c:v>
                </c:pt>
                <c:pt idx="23">
                  <c:v>29.447589887066314</c:v>
                </c:pt>
                <c:pt idx="24">
                  <c:v>31.271285838462976</c:v>
                </c:pt>
                <c:pt idx="25">
                  <c:v>33.176597146455947</c:v>
                </c:pt>
                <c:pt idx="26">
                  <c:v>35.166004004476882</c:v>
                </c:pt>
                <c:pt idx="27">
                  <c:v>37.242092524682882</c:v>
                </c:pt>
                <c:pt idx="28">
                  <c:v>39.40757405146131</c:v>
                </c:pt>
                <c:pt idx="29">
                  <c:v>41.665309602075148</c:v>
                </c:pt>
                <c:pt idx="30">
                  <c:v>44.018340595742728</c:v>
                </c:pt>
                <c:pt idx="31">
                  <c:v>46.46992720935107</c:v>
                </c:pt>
                <c:pt idx="32">
                  <c:v>49.023596810330844</c:v>
                </c:pt>
                <c:pt idx="33">
                  <c:v>51.683208775895139</c:v>
                </c:pt>
                <c:pt idx="34">
                  <c:v>54.453051446377017</c:v>
                </c:pt>
                <c:pt idx="35">
                  <c:v>57.338004121264795</c:v>
                </c:pt>
                <c:pt idx="36">
                  <c:v>60.343818172330835</c:v>
                </c:pt>
                <c:pt idx="37">
                  <c:v>63.4775854036277</c:v>
                </c:pt>
                <c:pt idx="38">
                  <c:v>66.748524248563641</c:v>
                </c:pt>
                <c:pt idx="39">
                  <c:v>70.169980059503217</c:v>
                </c:pt>
                <c:pt idx="40">
                  <c:v>73.771278108842608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84E97742-3EE4-4656-8FC2-740CA744D32C}"/>
            </c:ext>
          </c:extLst>
        </c:ser>
        <c:ser>
          <c:idx val="7"/>
          <c:order val="7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Diagrammdaten!$L$298:$L$327</c:f>
              <c:numCache>
                <c:formatCode>General</c:formatCode>
                <c:ptCount val="30"/>
                <c:pt idx="0">
                  <c:v>47.884000000000071</c:v>
                </c:pt>
                <c:pt idx="1">
                  <c:v>53.705211052225877</c:v>
                </c:pt>
                <c:pt idx="2">
                  <c:v>59.526422104451683</c:v>
                </c:pt>
                <c:pt idx="3">
                  <c:v>65.347633156677489</c:v>
                </c:pt>
                <c:pt idx="4">
                  <c:v>71.168844208903295</c:v>
                </c:pt>
                <c:pt idx="5">
                  <c:v>76.9900552611291</c:v>
                </c:pt>
                <c:pt idx="6">
                  <c:v>82.811266313354906</c:v>
                </c:pt>
                <c:pt idx="7">
                  <c:v>88.632477365580712</c:v>
                </c:pt>
                <c:pt idx="8">
                  <c:v>94.453688417806518</c:v>
                </c:pt>
                <c:pt idx="9">
                  <c:v>100.27489947003232</c:v>
                </c:pt>
                <c:pt idx="10">
                  <c:v>106.09611052225813</c:v>
                </c:pt>
                <c:pt idx="11">
                  <c:v>111.91732157448394</c:v>
                </c:pt>
                <c:pt idx="12">
                  <c:v>117.73853262670974</c:v>
                </c:pt>
                <c:pt idx="13">
                  <c:v>123.55974367893555</c:v>
                </c:pt>
                <c:pt idx="14">
                  <c:v>129.38095473116135</c:v>
                </c:pt>
                <c:pt idx="15">
                  <c:v>135.20216578338716</c:v>
                </c:pt>
                <c:pt idx="16">
                  <c:v>141.02337683561296</c:v>
                </c:pt>
                <c:pt idx="17">
                  <c:v>146.84458788783877</c:v>
                </c:pt>
                <c:pt idx="18">
                  <c:v>152.66579894006458</c:v>
                </c:pt>
                <c:pt idx="19">
                  <c:v>158.48700999229038</c:v>
                </c:pt>
                <c:pt idx="20">
                  <c:v>164.30822104451619</c:v>
                </c:pt>
                <c:pt idx="21">
                  <c:v>170.12943209674199</c:v>
                </c:pt>
                <c:pt idx="22">
                  <c:v>175.9506431489678</c:v>
                </c:pt>
                <c:pt idx="23">
                  <c:v>181.77185420119361</c:v>
                </c:pt>
                <c:pt idx="24">
                  <c:v>187.59306525341941</c:v>
                </c:pt>
                <c:pt idx="25">
                  <c:v>193.41427630564522</c:v>
                </c:pt>
                <c:pt idx="26">
                  <c:v>199.23548735787102</c:v>
                </c:pt>
                <c:pt idx="27">
                  <c:v>205.05669841009683</c:v>
                </c:pt>
                <c:pt idx="28">
                  <c:v>210.87790946232263</c:v>
                </c:pt>
                <c:pt idx="29">
                  <c:v>216.69912051454844</c:v>
                </c:pt>
              </c:numCache>
            </c:numRef>
          </c:xVal>
          <c:yVal>
            <c:numRef>
              <c:f>Diagrammdaten!$K$298:$K$327</c:f>
              <c:numCache>
                <c:formatCode>General</c:formatCode>
                <c:ptCount val="30"/>
                <c:pt idx="0">
                  <c:v>54.249178858911719</c:v>
                </c:pt>
                <c:pt idx="1">
                  <c:v>52.664363407576069</c:v>
                </c:pt>
                <c:pt idx="2">
                  <c:v>51.40003231788009</c:v>
                </c:pt>
                <c:pt idx="3">
                  <c:v>50.422039629483656</c:v>
                </c:pt>
                <c:pt idx="4">
                  <c:v>49.703056462019831</c:v>
                </c:pt>
                <c:pt idx="5">
                  <c:v>49.221145655561216</c:v>
                </c:pt>
                <c:pt idx="6">
                  <c:v>48.959101170097277</c:v>
                </c:pt>
                <c:pt idx="7">
                  <c:v>48.902828994722412</c:v>
                </c:pt>
                <c:pt idx="8">
                  <c:v>49.040237729303101</c:v>
                </c:pt>
                <c:pt idx="9">
                  <c:v>49.362146363389712</c:v>
                </c:pt>
                <c:pt idx="10">
                  <c:v>49.861173471192402</c:v>
                </c:pt>
                <c:pt idx="11">
                  <c:v>50.531397928398562</c:v>
                </c:pt>
                <c:pt idx="12">
                  <c:v>51.368765341961051</c:v>
                </c:pt>
                <c:pt idx="13">
                  <c:v>52.368889762331087</c:v>
                </c:pt>
                <c:pt idx="14">
                  <c:v>53.528518650089161</c:v>
                </c:pt>
                <c:pt idx="15">
                  <c:v>54.845101014529511</c:v>
                </c:pt>
                <c:pt idx="16">
                  <c:v>56.316468002074117</c:v>
                </c:pt>
                <c:pt idx="17">
                  <c:v>57.940872900767133</c:v>
                </c:pt>
                <c:pt idx="18">
                  <c:v>59.716932633410508</c:v>
                </c:pt>
                <c:pt idx="19">
                  <c:v>61.642103419846549</c:v>
                </c:pt>
                <c:pt idx="20">
                  <c:v>63.71401451613437</c:v>
                </c:pt>
                <c:pt idx="21">
                  <c:v>65.929211829067867</c:v>
                </c:pt>
                <c:pt idx="22">
                  <c:v>68.282233623562746</c:v>
                </c:pt>
                <c:pt idx="23">
                  <c:v>70.764954852547746</c:v>
                </c:pt>
                <c:pt idx="24">
                  <c:v>73.364513310303693</c:v>
                </c:pt>
                <c:pt idx="25">
                  <c:v>76.061587611447692</c:v>
                </c:pt>
                <c:pt idx="26">
                  <c:v>78.81922862244744</c:v>
                </c:pt>
                <c:pt idx="27">
                  <c:v>81.507379398410805</c:v>
                </c:pt>
                <c:pt idx="28">
                  <c:v>84.006386183492225</c:v>
                </c:pt>
                <c:pt idx="29">
                  <c:v>84.685344406773822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929A488-D642-46C3-A9D5-2416841400B5}"/>
            </c:ext>
          </c:extLst>
        </c:ser>
        <c:ser>
          <c:idx val="8"/>
          <c:order val="8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Diagrammdaten!$L$329:$L$358</c:f>
              <c:numCache>
                <c:formatCode>General</c:formatCode>
                <c:ptCount val="30"/>
                <c:pt idx="0">
                  <c:v>47.884000000000071</c:v>
                </c:pt>
                <c:pt idx="1">
                  <c:v>53.722022368973626</c:v>
                </c:pt>
                <c:pt idx="2">
                  <c:v>59.56004473794718</c:v>
                </c:pt>
                <c:pt idx="3">
                  <c:v>65.39806710692072</c:v>
                </c:pt>
                <c:pt idx="4">
                  <c:v>71.236089475894275</c:v>
                </c:pt>
                <c:pt idx="5">
                  <c:v>77.074111844867829</c:v>
                </c:pt>
                <c:pt idx="6">
                  <c:v>82.91213421384137</c:v>
                </c:pt>
                <c:pt idx="7">
                  <c:v>88.750156582814924</c:v>
                </c:pt>
                <c:pt idx="8">
                  <c:v>94.588178951788478</c:v>
                </c:pt>
                <c:pt idx="9">
                  <c:v>100.42620132076203</c:v>
                </c:pt>
                <c:pt idx="10">
                  <c:v>106.26422368973559</c:v>
                </c:pt>
                <c:pt idx="11">
                  <c:v>112.10224605870913</c:v>
                </c:pt>
                <c:pt idx="12">
                  <c:v>117.94026842768268</c:v>
                </c:pt>
                <c:pt idx="13">
                  <c:v>123.77829079665624</c:v>
                </c:pt>
                <c:pt idx="14">
                  <c:v>129.61631316562978</c:v>
                </c:pt>
                <c:pt idx="15">
                  <c:v>135.45433553460333</c:v>
                </c:pt>
                <c:pt idx="16">
                  <c:v>141.29235790357689</c:v>
                </c:pt>
                <c:pt idx="17">
                  <c:v>147.13038027255044</c:v>
                </c:pt>
                <c:pt idx="18">
                  <c:v>152.96840264152399</c:v>
                </c:pt>
                <c:pt idx="19">
                  <c:v>158.80642501049755</c:v>
                </c:pt>
                <c:pt idx="20">
                  <c:v>164.6444473794711</c:v>
                </c:pt>
                <c:pt idx="21">
                  <c:v>170.48246974844466</c:v>
                </c:pt>
                <c:pt idx="22">
                  <c:v>176.32049211741818</c:v>
                </c:pt>
                <c:pt idx="23">
                  <c:v>182.15851448639174</c:v>
                </c:pt>
                <c:pt idx="24">
                  <c:v>187.99653685536529</c:v>
                </c:pt>
                <c:pt idx="25">
                  <c:v>193.83455922433885</c:v>
                </c:pt>
                <c:pt idx="26">
                  <c:v>199.6725815933124</c:v>
                </c:pt>
                <c:pt idx="27">
                  <c:v>205.51060396228596</c:v>
                </c:pt>
                <c:pt idx="28">
                  <c:v>211.34862633125948</c:v>
                </c:pt>
                <c:pt idx="29">
                  <c:v>217.18664870023304</c:v>
                </c:pt>
              </c:numCache>
            </c:numRef>
          </c:xVal>
          <c:yVal>
            <c:numRef>
              <c:f>Diagrammdaten!$K$329:$K$358</c:f>
              <c:numCache>
                <c:formatCode>General</c:formatCode>
                <c:ptCount val="30"/>
                <c:pt idx="0">
                  <c:v>2.4780051259929632</c:v>
                </c:pt>
                <c:pt idx="1">
                  <c:v>3.2104599332675336</c:v>
                </c:pt>
                <c:pt idx="2">
                  <c:v>4.0147345983788778</c:v>
                </c:pt>
                <c:pt idx="3">
                  <c:v>4.8949818046756448</c:v>
                </c:pt>
                <c:pt idx="4">
                  <c:v>5.8564245962950601</c:v>
                </c:pt>
                <c:pt idx="5">
                  <c:v>6.9029427794701999</c:v>
                </c:pt>
                <c:pt idx="6">
                  <c:v>8.0394947701484778</c:v>
                </c:pt>
                <c:pt idx="7">
                  <c:v>9.2713091561138921</c:v>
                </c:pt>
                <c:pt idx="8">
                  <c:v>10.603085389059821</c:v>
                </c:pt>
                <c:pt idx="9">
                  <c:v>12.039852172418426</c:v>
                </c:pt>
                <c:pt idx="10">
                  <c:v>13.586873765952987</c:v>
                </c:pt>
                <c:pt idx="11">
                  <c:v>15.249592936904534</c:v>
                </c:pt>
                <c:pt idx="12">
                  <c:v>17.033658727159636</c:v>
                </c:pt>
                <c:pt idx="13">
                  <c:v>18.945376817165933</c:v>
                </c:pt>
                <c:pt idx="14">
                  <c:v>20.990785665133657</c:v>
                </c:pt>
                <c:pt idx="15">
                  <c:v>23.176208762572006</c:v>
                </c:pt>
                <c:pt idx="16">
                  <c:v>25.508607393240041</c:v>
                </c:pt>
                <c:pt idx="17">
                  <c:v>27.995474228307575</c:v>
                </c:pt>
                <c:pt idx="18">
                  <c:v>30.644973518769611</c:v>
                </c:pt>
                <c:pt idx="19">
                  <c:v>33.466550208449242</c:v>
                </c:pt>
                <c:pt idx="20">
                  <c:v>36.470502620113258</c:v>
                </c:pt>
                <c:pt idx="21">
                  <c:v>39.668178690413654</c:v>
                </c:pt>
                <c:pt idx="22">
                  <c:v>43.073587576943865</c:v>
                </c:pt>
                <c:pt idx="23">
                  <c:v>46.703908661604409</c:v>
                </c:pt>
                <c:pt idx="24">
                  <c:v>50.58211318954023</c:v>
                </c:pt>
                <c:pt idx="25">
                  <c:v>54.739597871776695</c:v>
                </c:pt>
                <c:pt idx="26">
                  <c:v>59.295247173517502</c:v>
                </c:pt>
                <c:pt idx="27">
                  <c:v>64.156072857380096</c:v>
                </c:pt>
                <c:pt idx="28">
                  <c:v>69.693005578099459</c:v>
                </c:pt>
                <c:pt idx="29">
                  <c:v>77.896473762668705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ECC6D3D-3E6E-4A80-9290-6EF6839D0822}"/>
            </c:ext>
          </c:extLst>
        </c:ser>
        <c:ser>
          <c:idx val="9"/>
          <c:order val="9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  <c:numCache>
                <c:formatCode>General</c:formatCode>
                <c:ptCount val="25"/>
                <c:pt idx="0">
                  <c:v>1</c:v>
                </c:pt>
                <c:pt idx="1">
                  <c:v>2.9535999999999945</c:v>
                </c:pt>
                <c:pt idx="2">
                  <c:v>4.9070000000000107</c:v>
                </c:pt>
                <c:pt idx="3">
                  <c:v>6.8606000000000051</c:v>
                </c:pt>
                <c:pt idx="4">
                  <c:v>8.813999999999993</c:v>
                </c:pt>
                <c:pt idx="5">
                  <c:v>10.767599999999987</c:v>
                </c:pt>
                <c:pt idx="6">
                  <c:v>12.721000000000004</c:v>
                </c:pt>
                <c:pt idx="7">
                  <c:v>14.674599999999998</c:v>
                </c:pt>
                <c:pt idx="8">
                  <c:v>16.627999999999986</c:v>
                </c:pt>
                <c:pt idx="9">
                  <c:v>18.581600000000009</c:v>
                </c:pt>
                <c:pt idx="10">
                  <c:v>20.534999999999997</c:v>
                </c:pt>
                <c:pt idx="11">
                  <c:v>22.488599999999991</c:v>
                </c:pt>
                <c:pt idx="12">
                  <c:v>24.442000000000007</c:v>
                </c:pt>
                <c:pt idx="13">
                  <c:v>26.395600000000002</c:v>
                </c:pt>
                <c:pt idx="14">
                  <c:v>28.34899999999999</c:v>
                </c:pt>
                <c:pt idx="15">
                  <c:v>30.302600000000012</c:v>
                </c:pt>
                <c:pt idx="16">
                  <c:v>32.256</c:v>
                </c:pt>
                <c:pt idx="17">
                  <c:v>34.209599999999995</c:v>
                </c:pt>
                <c:pt idx="18">
                  <c:v>36.162999999999997</c:v>
                </c:pt>
                <c:pt idx="19">
                  <c:v>38.116600000000005</c:v>
                </c:pt>
                <c:pt idx="20">
                  <c:v>40.069999999999993</c:v>
                </c:pt>
                <c:pt idx="21">
                  <c:v>42.023600000000002</c:v>
                </c:pt>
                <c:pt idx="22">
                  <c:v>43.977000000000004</c:v>
                </c:pt>
                <c:pt idx="23">
                  <c:v>45.930599999999998</c:v>
                </c:pt>
                <c:pt idx="24">
                  <c:v>47.884</c:v>
                </c:pt>
              </c:numCache>
            </c:numRef>
          </c:xVal>
          <c:yVal>
            <c:numRef>
              <c:f>Diagrammdaten!$K$79:$K$103</c:f>
              <c:numCache>
                <c:formatCode>General</c:formatCode>
                <c:ptCount val="25"/>
                <c:pt idx="0">
                  <c:v>0.89239999999999997</c:v>
                </c:pt>
                <c:pt idx="1">
                  <c:v>0.9677</c:v>
                </c:pt>
                <c:pt idx="2">
                  <c:v>1.0486</c:v>
                </c:pt>
                <c:pt idx="3">
                  <c:v>1.1353</c:v>
                </c:pt>
                <c:pt idx="4">
                  <c:v>1.2282999999999999</c:v>
                </c:pt>
                <c:pt idx="5">
                  <c:v>1.3280000000000001</c:v>
                </c:pt>
                <c:pt idx="6">
                  <c:v>1.4346000000000001</c:v>
                </c:pt>
                <c:pt idx="7">
                  <c:v>1.5488</c:v>
                </c:pt>
                <c:pt idx="8">
                  <c:v>1.6709000000000001</c:v>
                </c:pt>
                <c:pt idx="9">
                  <c:v>1.8013999999999999</c:v>
                </c:pt>
                <c:pt idx="10">
                  <c:v>1.9408000000000001</c:v>
                </c:pt>
                <c:pt idx="11">
                  <c:v>2.0897000000000001</c:v>
                </c:pt>
                <c:pt idx="12">
                  <c:v>2.2484999999999999</c:v>
                </c:pt>
                <c:pt idx="13">
                  <c:v>2.4180000000000001</c:v>
                </c:pt>
                <c:pt idx="14">
                  <c:v>2.5985</c:v>
                </c:pt>
                <c:pt idx="15">
                  <c:v>2.7909999999999999</c:v>
                </c:pt>
                <c:pt idx="16">
                  <c:v>2.9958999999999998</c:v>
                </c:pt>
                <c:pt idx="17">
                  <c:v>3.214</c:v>
                </c:pt>
                <c:pt idx="18">
                  <c:v>3.4462000000000002</c:v>
                </c:pt>
                <c:pt idx="19">
                  <c:v>3.6930000000000001</c:v>
                </c:pt>
                <c:pt idx="20">
                  <c:v>3.9554999999999998</c:v>
                </c:pt>
                <c:pt idx="21">
                  <c:v>4.2343999999999999</c:v>
                </c:pt>
                <c:pt idx="22">
                  <c:v>4.5308000000000002</c:v>
                </c:pt>
                <c:pt idx="23">
                  <c:v>4.8455000000000004</c:v>
                </c:pt>
                <c:pt idx="24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23-464D-940D-AFDE62BF7178}"/>
            </c:ext>
          </c:extLst>
        </c:ser>
        <c:ser>
          <c:idx val="10"/>
          <c:order val="10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  <c:numCache>
                <c:formatCode>General</c:formatCode>
                <c:ptCount val="15"/>
                <c:pt idx="0">
                  <c:v>47.884</c:v>
                </c:pt>
                <c:pt idx="1">
                  <c:v>48.613799999999998</c:v>
                </c:pt>
                <c:pt idx="2">
                  <c:v>49.343599999999995</c:v>
                </c:pt>
                <c:pt idx="3">
                  <c:v>50.073400000000007</c:v>
                </c:pt>
                <c:pt idx="4">
                  <c:v>50.803200000000004</c:v>
                </c:pt>
                <c:pt idx="5">
                  <c:v>51.532799999999995</c:v>
                </c:pt>
                <c:pt idx="6">
                  <c:v>52.262600000000006</c:v>
                </c:pt>
                <c:pt idx="7">
                  <c:v>52.992400000000004</c:v>
                </c:pt>
                <c:pt idx="8">
                  <c:v>53.722200000000001</c:v>
                </c:pt>
                <c:pt idx="9">
                  <c:v>54.451999999999998</c:v>
                </c:pt>
                <c:pt idx="10">
                  <c:v>55.181799999999996</c:v>
                </c:pt>
                <c:pt idx="11">
                  <c:v>55.911600000000007</c:v>
                </c:pt>
                <c:pt idx="12">
                  <c:v>56.641400000000004</c:v>
                </c:pt>
                <c:pt idx="13">
                  <c:v>57.371200000000002</c:v>
                </c:pt>
                <c:pt idx="14">
                  <c:v>58.100800000000007</c:v>
                </c:pt>
              </c:numCache>
            </c:numRef>
          </c:xVal>
          <c:yVal>
            <c:numRef>
              <c:f>Diagrammdaten!$K$105:$K$119</c:f>
              <c:numCache>
                <c:formatCode>General</c:formatCode>
                <c:ptCount val="15"/>
                <c:pt idx="0">
                  <c:v>5.1795999999999998</c:v>
                </c:pt>
                <c:pt idx="1">
                  <c:v>22.274000000000001</c:v>
                </c:pt>
                <c:pt idx="2">
                  <c:v>39.428800000000003</c:v>
                </c:pt>
                <c:pt idx="3">
                  <c:v>56.643999999999998</c:v>
                </c:pt>
                <c:pt idx="4">
                  <c:v>73.919700000000006</c:v>
                </c:pt>
                <c:pt idx="5">
                  <c:v>91.255700000000004</c:v>
                </c:pt>
                <c:pt idx="6">
                  <c:v>108.6523</c:v>
                </c:pt>
                <c:pt idx="7">
                  <c:v>126.1092</c:v>
                </c:pt>
                <c:pt idx="8">
                  <c:v>143.6266</c:v>
                </c:pt>
                <c:pt idx="9">
                  <c:v>161.20439999999999</c:v>
                </c:pt>
                <c:pt idx="10">
                  <c:v>178.84270000000001</c:v>
                </c:pt>
                <c:pt idx="11">
                  <c:v>196.54130000000001</c:v>
                </c:pt>
                <c:pt idx="12">
                  <c:v>214.3005</c:v>
                </c:pt>
                <c:pt idx="13">
                  <c:v>232.12</c:v>
                </c:pt>
                <c:pt idx="1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23-464D-940D-AFDE62BF7178}"/>
            </c:ext>
          </c:extLst>
        </c:ser>
        <c:ser>
          <c:idx val="11"/>
          <c:order val="11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  <c:numCache>
                <c:formatCode>General</c:formatCode>
                <c:ptCount val="1"/>
                <c:pt idx="0">
                  <c:v>47.884</c:v>
                </c:pt>
              </c:numCache>
            </c:numRef>
          </c:xVal>
          <c:yVal>
            <c:numRef>
              <c:f>Diagrammdaten!$K$121</c:f>
              <c:numCache>
                <c:formatCode>General</c:formatCode>
                <c:ptCount val="1"/>
                <c:pt idx="0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23-464D-940D-AFDE62BF7178}"/>
            </c:ext>
          </c:extLst>
        </c:ser>
        <c:ser>
          <c:idx val="12"/>
          <c:order val="12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  <c:numCache>
                <c:formatCode>General</c:formatCode>
                <c:ptCount val="1"/>
                <c:pt idx="0">
                  <c:v>216.90944254906549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81.455055721913254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823-464D-940D-AFDE62BF7178}"/>
            </c:ext>
          </c:extLst>
        </c:ser>
        <c:ser>
          <c:idx val="13"/>
          <c:order val="13"/>
          <c:tx>
            <c:v>Gassäule Kaverne voll (210 bar unten)</c:v>
          </c:tx>
          <c:spPr>
            <a:ln w="25400">
              <a:solidFill>
                <a:srgbClr val="00304F"/>
              </a:solidFill>
              <a:prstDash val="dash"/>
            </a:ln>
          </c:spPr>
          <c:marker>
            <c:symbol val="none"/>
          </c:marker>
          <c:xVal>
            <c:numRef>
              <c:f>Diagrammdaten!$L$158:$L$182</c:f>
              <c:numCache>
                <c:formatCode>General</c:formatCode>
                <c:ptCount val="25"/>
                <c:pt idx="0">
                  <c:v>181</c:v>
                </c:pt>
                <c:pt idx="1">
                  <c:v>184</c:v>
                </c:pt>
                <c:pt idx="2">
                  <c:v>187</c:v>
                </c:pt>
                <c:pt idx="3">
                  <c:v>190</c:v>
                </c:pt>
                <c:pt idx="4">
                  <c:v>193</c:v>
                </c:pt>
                <c:pt idx="5">
                  <c:v>196</c:v>
                </c:pt>
                <c:pt idx="6">
                  <c:v>199</c:v>
                </c:pt>
                <c:pt idx="7">
                  <c:v>202</c:v>
                </c:pt>
                <c:pt idx="8">
                  <c:v>205</c:v>
                </c:pt>
                <c:pt idx="9">
                  <c:v>208</c:v>
                </c:pt>
                <c:pt idx="10">
                  <c:v>211</c:v>
                </c:pt>
                <c:pt idx="11">
                  <c:v>214</c:v>
                </c:pt>
                <c:pt idx="12">
                  <c:v>217</c:v>
                </c:pt>
                <c:pt idx="13">
                  <c:v>220</c:v>
                </c:pt>
                <c:pt idx="14">
                  <c:v>223</c:v>
                </c:pt>
                <c:pt idx="15">
                  <c:v>226</c:v>
                </c:pt>
                <c:pt idx="16">
                  <c:v>229</c:v>
                </c:pt>
                <c:pt idx="17">
                  <c:v>232</c:v>
                </c:pt>
                <c:pt idx="18">
                  <c:v>235</c:v>
                </c:pt>
                <c:pt idx="19">
                  <c:v>238</c:v>
                </c:pt>
                <c:pt idx="20">
                  <c:v>241</c:v>
                </c:pt>
                <c:pt idx="21">
                  <c:v>244</c:v>
                </c:pt>
                <c:pt idx="22">
                  <c:v>247</c:v>
                </c:pt>
                <c:pt idx="23">
                  <c:v>250</c:v>
                </c:pt>
                <c:pt idx="24">
                  <c:v>253</c:v>
                </c:pt>
              </c:numCache>
            </c:numRef>
          </c:xVal>
          <c:yVal>
            <c:numRef>
              <c:f>Diagrammdaten!$K$158:$K$182</c:f>
              <c:numCache>
                <c:formatCode>General</c:formatCode>
                <c:ptCount val="25"/>
                <c:pt idx="0">
                  <c:v>114.93130198208927</c:v>
                </c:pt>
                <c:pt idx="1">
                  <c:v>119.16100924115156</c:v>
                </c:pt>
                <c:pt idx="2">
                  <c:v>123.36557182169967</c:v>
                </c:pt>
                <c:pt idx="3">
                  <c:v>127.54518251936265</c:v>
                </c:pt>
                <c:pt idx="4">
                  <c:v>131.70004500354221</c:v>
                </c:pt>
                <c:pt idx="5">
                  <c:v>135.83037358755291</c:v>
                </c:pt>
                <c:pt idx="6">
                  <c:v>139.93639309319369</c:v>
                </c:pt>
                <c:pt idx="7">
                  <c:v>144.01833877875904</c:v>
                </c:pt>
                <c:pt idx="8">
                  <c:v>148.07645628272289</c:v>
                </c:pt>
                <c:pt idx="9">
                  <c:v>152.11100152709446</c:v>
                </c:pt>
                <c:pt idx="10">
                  <c:v>156.1222405259621</c:v>
                </c:pt>
                <c:pt idx="11">
                  <c:v>160.11044905533242</c:v>
                </c:pt>
                <c:pt idx="12">
                  <c:v>164.07591215772621</c:v>
                </c:pt>
                <c:pt idx="13">
                  <c:v>168.01892347570219</c:v>
                </c:pt>
                <c:pt idx="14">
                  <c:v>171.93978442887101</c:v>
                </c:pt>
                <c:pt idx="15">
                  <c:v>175.8388032658045</c:v>
                </c:pt>
                <c:pt idx="16">
                  <c:v>179.71629403339674</c:v>
                </c:pt>
                <c:pt idx="17">
                  <c:v>183.57257551082256</c:v>
                </c:pt>
                <c:pt idx="18">
                  <c:v>187.40797015367133</c:v>
                </c:pt>
                <c:pt idx="19">
                  <c:v>191.22280308741125</c:v>
                </c:pt>
                <c:pt idx="20">
                  <c:v>195.01740117986344</c:v>
                </c:pt>
                <c:pt idx="21">
                  <c:v>198.79209221167758</c:v>
                </c:pt>
                <c:pt idx="22">
                  <c:v>202.54720415346492</c:v>
                </c:pt>
                <c:pt idx="23">
                  <c:v>206.28306454936461</c:v>
                </c:pt>
                <c:pt idx="24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823-464D-940D-AFDE62BF7178}"/>
            </c:ext>
          </c:extLst>
        </c:ser>
        <c:ser>
          <c:idx val="14"/>
          <c:order val="14"/>
          <c:tx>
            <c:v>Gassäule Grenzfall (Kopf = Cricondenbar)</c:v>
          </c:tx>
          <c:spPr>
            <a:ln w="19050">
              <a:solidFill>
                <a:srgbClr val="2E75B6"/>
              </a:solidFill>
              <a:prstDash val="lgDash"/>
            </a:ln>
          </c:spPr>
          <c:marker>
            <c:symbol val="none"/>
          </c:marker>
          <c:xVal>
            <c:numRef>
              <c:f>Diagrammdaten!$L$184:$L$208</c:f>
              <c:numCache>
                <c:formatCode>General</c:formatCode>
                <c:ptCount val="25"/>
                <c:pt idx="0">
                  <c:v>181</c:v>
                </c:pt>
                <c:pt idx="1">
                  <c:v>184</c:v>
                </c:pt>
                <c:pt idx="2">
                  <c:v>187</c:v>
                </c:pt>
                <c:pt idx="3">
                  <c:v>190</c:v>
                </c:pt>
                <c:pt idx="4">
                  <c:v>193</c:v>
                </c:pt>
                <c:pt idx="5">
                  <c:v>196</c:v>
                </c:pt>
                <c:pt idx="6">
                  <c:v>199</c:v>
                </c:pt>
                <c:pt idx="7">
                  <c:v>202</c:v>
                </c:pt>
                <c:pt idx="8">
                  <c:v>205</c:v>
                </c:pt>
                <c:pt idx="9">
                  <c:v>208</c:v>
                </c:pt>
                <c:pt idx="10">
                  <c:v>211</c:v>
                </c:pt>
                <c:pt idx="11">
                  <c:v>214</c:v>
                </c:pt>
                <c:pt idx="12">
                  <c:v>217</c:v>
                </c:pt>
                <c:pt idx="13">
                  <c:v>220</c:v>
                </c:pt>
                <c:pt idx="14">
                  <c:v>223</c:v>
                </c:pt>
                <c:pt idx="15">
                  <c:v>226</c:v>
                </c:pt>
                <c:pt idx="16">
                  <c:v>229</c:v>
                </c:pt>
                <c:pt idx="17">
                  <c:v>232</c:v>
                </c:pt>
                <c:pt idx="18">
                  <c:v>235</c:v>
                </c:pt>
                <c:pt idx="19">
                  <c:v>238</c:v>
                </c:pt>
                <c:pt idx="20">
                  <c:v>241</c:v>
                </c:pt>
                <c:pt idx="21">
                  <c:v>244</c:v>
                </c:pt>
                <c:pt idx="22">
                  <c:v>247</c:v>
                </c:pt>
                <c:pt idx="23">
                  <c:v>250</c:v>
                </c:pt>
                <c:pt idx="24">
                  <c:v>253</c:v>
                </c:pt>
              </c:numCache>
            </c:numRef>
          </c:xVal>
          <c:yVal>
            <c:numRef>
              <c:f>Diagrammdaten!$K$184:$K$208</c:f>
              <c:numCache>
                <c:formatCode>General</c:formatCode>
                <c:ptCount val="25"/>
                <c:pt idx="0">
                  <c:v>82.177594317918306</c:v>
                </c:pt>
                <c:pt idx="1">
                  <c:v>86.209691651860339</c:v>
                </c:pt>
                <c:pt idx="2">
                  <c:v>90.211177120067802</c:v>
                </c:pt>
                <c:pt idx="3">
                  <c:v>94.182258243427555</c:v>
                </c:pt>
                <c:pt idx="4">
                  <c:v>98.123172361781016</c:v>
                </c:pt>
                <c:pt idx="5">
                  <c:v>102.03418671869966</c:v>
                </c:pt>
                <c:pt idx="6">
                  <c:v>105.91559827455201</c:v>
                </c:pt>
                <c:pt idx="7">
                  <c:v>109.76773312810479</c:v>
                </c:pt>
                <c:pt idx="8">
                  <c:v>113.5909454657578</c:v>
                </c:pt>
                <c:pt idx="9">
                  <c:v>117.38561602364186</c:v>
                </c:pt>
                <c:pt idx="10">
                  <c:v>121.15215012053648</c:v>
                </c:pt>
                <c:pt idx="11">
                  <c:v>124.89097537730567</c:v>
                </c:pt>
                <c:pt idx="12">
                  <c:v>128.60253926602752</c:v>
                </c:pt>
                <c:pt idx="13">
                  <c:v>132.28730662468095</c:v>
                </c:pt>
                <c:pt idx="14">
                  <c:v>135.94575723768324</c:v>
                </c:pt>
                <c:pt idx="15">
                  <c:v>139.5783835328474</c:v>
                </c:pt>
                <c:pt idx="16">
                  <c:v>143.18568839769392</c:v>
                </c:pt>
                <c:pt idx="17">
                  <c:v>146.76818308560837</c:v>
                </c:pt>
                <c:pt idx="18">
                  <c:v>150.32638517168738</c:v>
                </c:pt>
                <c:pt idx="19">
                  <c:v>153.86081652844035</c:v>
                </c:pt>
                <c:pt idx="20">
                  <c:v>157.3720013160563</c:v>
                </c:pt>
                <c:pt idx="21">
                  <c:v>160.86046401088927</c:v>
                </c:pt>
                <c:pt idx="22">
                  <c:v>164.32672751959655</c:v>
                </c:pt>
                <c:pt idx="23">
                  <c:v>167.77131143828865</c:v>
                </c:pt>
                <c:pt idx="24">
                  <c:v>171.19473051369846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823-464D-940D-AFDE62BF7178}"/>
            </c:ext>
          </c:extLst>
        </c:ser>
        <c:ser>
          <c:idx val="15"/>
          <c:order val="15"/>
          <c:tx>
            <c:v>Gassäule Kaverne leer (70 bar unten)</c:v>
          </c:tx>
          <c:spPr>
            <a:ln w="25400">
              <a:solidFill>
                <a:srgbClr val="00304F"/>
              </a:solidFill>
              <a:prstDash val="sysDot"/>
            </a:ln>
          </c:spPr>
          <c:marker>
            <c:symbol val="none"/>
          </c:marker>
          <c:xVal>
            <c:numRef>
              <c:f>Diagrammdaten!$L$210:$L$234</c:f>
              <c:numCache>
                <c:formatCode>General</c:formatCode>
                <c:ptCount val="25"/>
                <c:pt idx="0">
                  <c:v>181</c:v>
                </c:pt>
                <c:pt idx="1">
                  <c:v>184</c:v>
                </c:pt>
                <c:pt idx="2">
                  <c:v>187</c:v>
                </c:pt>
                <c:pt idx="3">
                  <c:v>190</c:v>
                </c:pt>
                <c:pt idx="4">
                  <c:v>193</c:v>
                </c:pt>
                <c:pt idx="5">
                  <c:v>196</c:v>
                </c:pt>
                <c:pt idx="6">
                  <c:v>199</c:v>
                </c:pt>
                <c:pt idx="7">
                  <c:v>202</c:v>
                </c:pt>
                <c:pt idx="8">
                  <c:v>205</c:v>
                </c:pt>
                <c:pt idx="9">
                  <c:v>208</c:v>
                </c:pt>
                <c:pt idx="10">
                  <c:v>211</c:v>
                </c:pt>
                <c:pt idx="11">
                  <c:v>214</c:v>
                </c:pt>
                <c:pt idx="12">
                  <c:v>217</c:v>
                </c:pt>
                <c:pt idx="13">
                  <c:v>220</c:v>
                </c:pt>
                <c:pt idx="14">
                  <c:v>223</c:v>
                </c:pt>
                <c:pt idx="15">
                  <c:v>226</c:v>
                </c:pt>
                <c:pt idx="16">
                  <c:v>229</c:v>
                </c:pt>
                <c:pt idx="17">
                  <c:v>232</c:v>
                </c:pt>
                <c:pt idx="18">
                  <c:v>235</c:v>
                </c:pt>
                <c:pt idx="19">
                  <c:v>238</c:v>
                </c:pt>
                <c:pt idx="20">
                  <c:v>241</c:v>
                </c:pt>
                <c:pt idx="21">
                  <c:v>244</c:v>
                </c:pt>
                <c:pt idx="22">
                  <c:v>247</c:v>
                </c:pt>
                <c:pt idx="23">
                  <c:v>250</c:v>
                </c:pt>
                <c:pt idx="24">
                  <c:v>253</c:v>
                </c:pt>
              </c:numCache>
            </c:numRef>
          </c:xVal>
          <c:yVal>
            <c:numRef>
              <c:f>Diagrammdaten!$K$210:$K$234</c:f>
              <c:numCache>
                <c:formatCode>General</c:formatCode>
                <c:ptCount val="25"/>
                <c:pt idx="0">
                  <c:v>50.705458672726493</c:v>
                </c:pt>
                <c:pt idx="1">
                  <c:v>51.659629523059941</c:v>
                </c:pt>
                <c:pt idx="2">
                  <c:v>52.470044683915283</c:v>
                </c:pt>
                <c:pt idx="3">
                  <c:v>53.247139379139881</c:v>
                </c:pt>
                <c:pt idx="4">
                  <c:v>54.025823839409902</c:v>
                </c:pt>
                <c:pt idx="5">
                  <c:v>54.806181480706428</c:v>
                </c:pt>
                <c:pt idx="6">
                  <c:v>55.588281924562459</c:v>
                </c:pt>
                <c:pt idx="7">
                  <c:v>56.372183362205107</c:v>
                </c:pt>
                <c:pt idx="8">
                  <c:v>57.157934412263899</c:v>
                </c:pt>
                <c:pt idx="9">
                  <c:v>57.945575615657937</c:v>
                </c:pt>
                <c:pt idx="10">
                  <c:v>58.735140660834205</c:v>
                </c:pt>
                <c:pt idx="11">
                  <c:v>59.526657401485011</c:v>
                </c:pt>
                <c:pt idx="12">
                  <c:v>60.320148709509233</c:v>
                </c:pt>
                <c:pt idx="13">
                  <c:v>61.115633193748572</c:v>
                </c:pt>
                <c:pt idx="14">
                  <c:v>61.913125807204182</c:v>
                </c:pt>
                <c:pt idx="15">
                  <c:v>62.712638360362611</c:v>
                </c:pt>
                <c:pt idx="16">
                  <c:v>63.514179954897848</c:v>
                </c:pt>
                <c:pt idx="17">
                  <c:v>64.317757349714327</c:v>
                </c:pt>
                <c:pt idx="18">
                  <c:v>65.123375269629022</c:v>
                </c:pt>
                <c:pt idx="19">
                  <c:v>65.931036665690229</c:v>
                </c:pt>
                <c:pt idx="20">
                  <c:v>66.740742935030426</c:v>
                </c:pt>
                <c:pt idx="21">
                  <c:v>67.552494107155084</c:v>
                </c:pt>
                <c:pt idx="22">
                  <c:v>68.366289002634076</c:v>
                </c:pt>
                <c:pt idx="23">
                  <c:v>69.182125369272583</c:v>
                </c:pt>
                <c:pt idx="2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23-464D-940D-AFDE62BF7178}"/>
            </c:ext>
          </c:extLst>
        </c:ser>
        <c:ser>
          <c:idx val="16"/>
          <c:order val="16"/>
          <c:tx>
            <c:v>Kaverne V1 (LCCS, 1200 m): 70–210 bar</c:v>
          </c:tx>
          <c:spPr>
            <a:ln w="63500">
              <a:solidFill>
                <a:srgbClr val="00304F"/>
              </a:solidFill>
            </a:ln>
          </c:spPr>
          <c:marker>
            <c:symbol val="none"/>
          </c:marker>
          <c:xVal>
            <c:numRef>
              <c:f>Diagrammdaten!$L$236:$L$237</c:f>
              <c:numCache>
                <c:formatCode>General</c:formatCode>
                <c:ptCount val="2"/>
                <c:pt idx="0">
                  <c:v>253</c:v>
                </c:pt>
                <c:pt idx="1">
                  <c:v>253</c:v>
                </c:pt>
              </c:numCache>
            </c:numRef>
          </c:xVal>
          <c:yVal>
            <c:numRef>
              <c:f>Diagrammdaten!$K$236:$K$237</c:f>
              <c:numCache>
                <c:formatCode>General</c:formatCode>
                <c:ptCount val="2"/>
                <c:pt idx="0">
                  <c:v>70</c:v>
                </c:pt>
                <c:pt idx="1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823-464D-940D-AFDE62BF7178}"/>
            </c:ext>
          </c:extLst>
        </c:ser>
        <c:ser>
          <c:idx val="17"/>
          <c:order val="17"/>
          <c:tx>
            <c:v>Bohrlochkopf (0 m): 50,7–114,9 bar</c:v>
          </c:tx>
          <c:spPr>
            <a:ln w="635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Diagrammdaten!$L$239:$L$240</c:f>
              <c:numCache>
                <c:formatCode>General</c:formatCode>
                <c:ptCount val="2"/>
                <c:pt idx="0">
                  <c:v>181</c:v>
                </c:pt>
                <c:pt idx="1">
                  <c:v>181</c:v>
                </c:pt>
              </c:numCache>
            </c:numRef>
          </c:xVal>
          <c:yVal>
            <c:numRef>
              <c:f>Diagrammdaten!$K$239:$K$240</c:f>
              <c:numCache>
                <c:formatCode>General</c:formatCode>
                <c:ptCount val="2"/>
                <c:pt idx="0">
                  <c:v>50.705458672726493</c:v>
                </c:pt>
                <c:pt idx="1">
                  <c:v>114.93130198208927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823-464D-940D-AFDE62BF7178}"/>
            </c:ext>
          </c:extLst>
        </c:ser>
        <c:ser>
          <c:idx val="18"/>
          <c:order val="18"/>
          <c:tx>
            <c:v>Beschriftung Phasengebiete K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823-464D-940D-AFDE62BF71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823-464D-940D-AFDE62BF71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823-464D-940D-AFDE62BF71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823-464D-940D-AFDE62BF71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D96A9CE3-31E3-4490-BF49-CA180C41C4AD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Diagrammdaten!$L$242:$L$246</c:f>
              <c:numCache>
                <c:formatCode>General</c:formatCode>
                <c:ptCount val="5"/>
                <c:pt idx="0">
                  <c:v>19</c:v>
                </c:pt>
                <c:pt idx="1">
                  <c:v>137</c:v>
                </c:pt>
                <c:pt idx="2">
                  <c:v>317</c:v>
                </c:pt>
                <c:pt idx="3">
                  <c:v>317</c:v>
                </c:pt>
                <c:pt idx="4">
                  <c:v>111</c:v>
                </c:pt>
              </c:numCache>
            </c:numRef>
          </c:xVal>
          <c:yVal>
            <c:numRef>
              <c:f>Diagrammdaten!$K$242:$K$246</c:f>
              <c:numCache>
                <c:formatCode>General</c:formatCode>
                <c:ptCount val="5"/>
                <c:pt idx="0">
                  <c:v>150</c:v>
                </c:pt>
                <c:pt idx="1">
                  <c:v>170</c:v>
                </c:pt>
                <c:pt idx="2">
                  <c:v>25</c:v>
                </c:pt>
                <c:pt idx="3">
                  <c:v>160</c:v>
                </c:pt>
                <c:pt idx="4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823-464D-940D-AFDE62BF7178}"/>
            </c:ext>
          </c:extLst>
        </c:ser>
        <c:ser>
          <c:idx val="19"/>
          <c:order val="19"/>
          <c:tx>
            <c:v>Beschriftung Punkte K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Kaverne voll 210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823-464D-940D-AFDE62BF71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Grenzfall 171,2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823-464D-940D-AFDE62BF71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Kaverne leer 70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823-464D-940D-AFDE62BF71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114,9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823-464D-940D-AFDE62BF71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82,2 bar = Cricondenbar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8823-464D-940D-AFDE62BF717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50,7 bar – 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823-464D-940D-AFDE62BF717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Betriebsfenster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8823-464D-940D-AFDE62BF717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Diagrammdaten!$L$247:$L$253</c:f>
              <c:numCache>
                <c:formatCode>General</c:formatCode>
                <c:ptCount val="7"/>
                <c:pt idx="0">
                  <c:v>281</c:v>
                </c:pt>
                <c:pt idx="1">
                  <c:v>281</c:v>
                </c:pt>
                <c:pt idx="2">
                  <c:v>277</c:v>
                </c:pt>
                <c:pt idx="3">
                  <c:v>149</c:v>
                </c:pt>
                <c:pt idx="4">
                  <c:v>145</c:v>
                </c:pt>
                <c:pt idx="5">
                  <c:v>139</c:v>
                </c:pt>
                <c:pt idx="6">
                  <c:v>219</c:v>
                </c:pt>
              </c:numCache>
            </c:numRef>
          </c:xVal>
          <c:yVal>
            <c:numRef>
              <c:f>Diagrammdaten!$K$247:$K$253</c:f>
              <c:numCache>
                <c:formatCode>General</c:formatCode>
                <c:ptCount val="7"/>
                <c:pt idx="0">
                  <c:v>216</c:v>
                </c:pt>
                <c:pt idx="1">
                  <c:v>172</c:v>
                </c:pt>
                <c:pt idx="2">
                  <c:v>64</c:v>
                </c:pt>
                <c:pt idx="3">
                  <c:v>118.93130198208927</c:v>
                </c:pt>
                <c:pt idx="4">
                  <c:v>83.17759431791859</c:v>
                </c:pt>
                <c:pt idx="5">
                  <c:v>44.705458672726493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823-464D-940D-AFDE62BF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0001"/>
        <c:axId val="60090002"/>
      </c:scatter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90002"/>
        <c:scaling>
          <c:orientation val="minMax"/>
          <c:max val="25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90001"/>
        <c:crosses val="autoZero"/>
        <c:crossBetween val="midCat"/>
        <c:majorUnit val="25"/>
      </c:valAx>
      <c:valAx>
        <c:axId val="60090002"/>
        <c:scaling>
          <c:orientation val="minMax"/>
          <c:max val="25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90001"/>
        <c:crosses val="max"/>
        <c:crossBetween val="midCat"/>
      </c:valAx>
      <c:catAx>
        <c:axId val="60090001"/>
        <c:scaling>
          <c:orientation val="minMax"/>
        </c:scaling>
        <c:delete val="1"/>
        <c:axPos val="b"/>
        <c:majorTickMark val="out"/>
        <c:minorTickMark val="none"/>
        <c:tickLblPos val="none"/>
        <c:crossAx val="60090002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6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_orig2.xml.rels><?xml version="1.0" encoding="UTF-8" standalone="yes"?>
<Relationships xmlns="http://schemas.openxmlformats.org/package/2006/relationships"><Relationship Id="rId2" Type="http://schemas.openxmlformats.org/officeDocument/2006/relationships/chart" Target="../charts/chart_orig2_chart2.xml"/><Relationship Id="rId1" Type="http://schemas.openxmlformats.org/officeDocument/2006/relationships/chart" Target="../charts/chart_orig2_chart1.xml"/></Relationships>
</file>

<file path=xl/drawings/_rels/drawing_orig3.xml.rels><?xml version="1.0" encoding="UTF-8" standalone="yes"?>
<Relationships xmlns="http://schemas.openxmlformats.org/package/2006/relationships"><Relationship Id="rId3" Type="http://schemas.openxmlformats.org/officeDocument/2006/relationships/chart" Target="../charts/chart_orig3_chart5.xml"/><Relationship Id="rId2" Type="http://schemas.openxmlformats.org/officeDocument/2006/relationships/chart" Target="../charts/chart_orig3_chart4.xml"/><Relationship Id="rId1" Type="http://schemas.openxmlformats.org/officeDocument/2006/relationships/chart" Target="../charts/chart_orig3_chart3.xml"/></Relationships>
</file>

<file path=xl/drawings/_rels/drawing_orig4.xml.rels><?xml version="1.0" encoding="UTF-8" standalone="yes"?>
<Relationships xmlns="http://schemas.openxmlformats.org/package/2006/relationships"><Relationship Id="rId3" Type="http://schemas.openxmlformats.org/officeDocument/2006/relationships/chart" Target="../charts/chart_orig4_chart8.xml"/><Relationship Id="rId2" Type="http://schemas.openxmlformats.org/officeDocument/2006/relationships/chart" Target="../charts/chart_orig4_chart7.xml"/><Relationship Id="rId1" Type="http://schemas.openxmlformats.org/officeDocument/2006/relationships/chart" Target="../charts/chart_orig4_chart6.xml"/></Relationships>
</file>

<file path=xl/drawings/_rels/drawing_ori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_orig5_chart9.xml"/></Relationships>
</file>

<file path=xl/drawings/_rels/drawing_orig6.xml.rels><?xml version="1.0" encoding="UTF-8" standalone="yes"?>
<Relationships xmlns="http://schemas.openxmlformats.org/package/2006/relationships"><Relationship Id="rId3" Type="http://schemas.openxmlformats.org/officeDocument/2006/relationships/chart" Target="../charts/chart_orig6_chart12.xml"/><Relationship Id="rId2" Type="http://schemas.openxmlformats.org/officeDocument/2006/relationships/chart" Target="../charts/chart_orig6_chart11.xml"/><Relationship Id="rId1" Type="http://schemas.openxmlformats.org/officeDocument/2006/relationships/chart" Target="../charts/chart_orig6_chart10.xml"/></Relationships>
</file>

<file path=xl/drawings/_rels/drawing_orig7.xml.rels><?xml version="1.0" encoding="UTF-8" standalone="yes"?>
<Relationships xmlns="http://schemas.openxmlformats.org/package/2006/relationships"><Relationship Id="rId2" Type="http://schemas.openxmlformats.org/officeDocument/2006/relationships/chart" Target="../charts/chart_orig7_chart14.xml"/><Relationship Id="rId1" Type="http://schemas.openxmlformats.org/officeDocument/2006/relationships/chart" Target="../charts/chart_orig7_chart13.xml"/></Relationships>
</file>

<file path=xl/drawings/drawing6.xml><?xml version="1.0" encoding="utf-8"?>
<wsDr xmlns="http://schemas.openxmlformats.org/drawingml/2006/spreadsheetDrawing">
  <oneCellAnchor>
    <from>
      <col>7</col>
      <colOff>0</colOff>
      <row>6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59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_ori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21</xdr:row>
      <xdr:rowOff>38100</xdr:rowOff>
    </xdr:from>
    <xdr:to>
      <xdr:col>6</xdr:col>
      <xdr:colOff>0</xdr:colOff>
      <xdr:row>22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6225" y="4229100"/>
          <a:ext cx="3810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 i="0">
              <a:solidFill>
                <a:srgbClr val="007335"/>
              </a:solidFill>
              <a:latin typeface="Calibri"/>
              <a:cs typeface="Calibri"/>
            </a:rPr>
            <a:t>S1 – Anlieferung in dichter Phase (Pipeline)</a:t>
          </a:r>
        </a:p>
      </xdr:txBody>
    </xdr:sp>
    <xdr:clientData/>
  </xdr:twoCellAnchor>
  <xdr:twoCellAnchor>
    <xdr:from>
      <xdr:col>1</xdr:col>
      <xdr:colOff>95250</xdr:colOff>
      <xdr:row>22</xdr:row>
      <xdr:rowOff>95250</xdr:rowOff>
    </xdr:from>
    <xdr:to>
      <xdr:col>2</xdr:col>
      <xdr:colOff>381000</xdr:colOff>
      <xdr:row>24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6225" y="447675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Netzübergabe S1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dichte Phase</a:t>
          </a:r>
        </a:p>
      </xdr:txBody>
    </xdr:sp>
    <xdr:clientData/>
  </xdr:twoCellAnchor>
  <xdr:twoCellAnchor>
    <xdr:from>
      <xdr:col>2</xdr:col>
      <xdr:colOff>381000</xdr:colOff>
      <xdr:row>23</xdr:row>
      <xdr:rowOff>0</xdr:rowOff>
    </xdr:from>
    <xdr:to>
      <xdr:col>2</xdr:col>
      <xdr:colOff>647700</xdr:colOff>
      <xdr:row>24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43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2</xdr:col>
      <xdr:colOff>647700</xdr:colOff>
      <xdr:row>22</xdr:row>
      <xdr:rowOff>95250</xdr:rowOff>
    </xdr:from>
    <xdr:to>
      <xdr:col>4</xdr:col>
      <xdr:colOff>152400</xdr:colOff>
      <xdr:row>24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609725" y="4476750"/>
          <a:ext cx="1066800" cy="457200"/>
        </a:xfrm>
        <a:prstGeom prst="rect">
          <a:avLst/>
        </a:prstGeom>
        <a:solidFill>
          <a:srgbClr val="EFF2F4"/>
        </a:solidFill>
        <a:ln w="19050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Messtechnik &amp;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Filtration</a:t>
          </a:r>
        </a:p>
      </xdr:txBody>
    </xdr:sp>
    <xdr:clientData/>
  </xdr:twoCellAnchor>
  <xdr:twoCellAnchor>
    <xdr:from>
      <xdr:col>4</xdr:col>
      <xdr:colOff>209550</xdr:colOff>
      <xdr:row>23</xdr:row>
      <xdr:rowOff>133350</xdr:rowOff>
    </xdr:from>
    <xdr:to>
      <xdr:col>11</xdr:col>
      <xdr:colOff>95250</xdr:colOff>
      <xdr:row>23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33675" y="4705350"/>
          <a:ext cx="5353050" cy="190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19050</xdr:colOff>
      <xdr:row>23</xdr:row>
      <xdr:rowOff>0</xdr:rowOff>
    </xdr:from>
    <xdr:to>
      <xdr:col>11</xdr:col>
      <xdr:colOff>266700</xdr:colOff>
      <xdr:row>24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010525" y="45720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22</xdr:row>
      <xdr:rowOff>133350</xdr:rowOff>
    </xdr:from>
    <xdr:to>
      <xdr:col>11</xdr:col>
      <xdr:colOff>209550</xdr:colOff>
      <xdr:row>23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733675" y="4514850"/>
          <a:ext cx="54673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keine Verdichtung nötig – das CO₂ ist bereits dicht</a:t>
          </a:r>
        </a:p>
      </xdr:txBody>
    </xdr:sp>
    <xdr:clientData/>
  </xdr:twoCellAnchor>
  <xdr:twoCellAnchor>
    <xdr:from>
      <xdr:col>11</xdr:col>
      <xdr:colOff>285750</xdr:colOff>
      <xdr:row>22</xdr:row>
      <xdr:rowOff>95250</xdr:rowOff>
    </xdr:from>
    <xdr:to>
      <xdr:col>12</xdr:col>
      <xdr:colOff>571500</xdr:colOff>
      <xdr:row>24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277225" y="447675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Pumpe</a:t>
          </a:r>
        </a:p>
      </xdr:txBody>
    </xdr:sp>
    <xdr:clientData/>
  </xdr:twoCellAnchor>
  <xdr:twoCellAnchor>
    <xdr:from>
      <xdr:col>12</xdr:col>
      <xdr:colOff>571500</xdr:colOff>
      <xdr:row>23</xdr:row>
      <xdr:rowOff>0</xdr:rowOff>
    </xdr:from>
    <xdr:to>
      <xdr:col>13</xdr:col>
      <xdr:colOff>57150</xdr:colOff>
      <xdr:row>24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344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</xdr:col>
      <xdr:colOff>95250</xdr:colOff>
      <xdr:row>26</xdr:row>
      <xdr:rowOff>57150</xdr:rowOff>
    </xdr:from>
    <xdr:to>
      <xdr:col>6</xdr:col>
      <xdr:colOff>0</xdr:colOff>
      <xdr:row>27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6225" y="5200650"/>
          <a:ext cx="3810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 i="0">
              <a:solidFill>
                <a:srgbClr val="164A73"/>
              </a:solidFill>
              <a:latin typeface="Calibri"/>
              <a:cs typeface="Calibri"/>
            </a:rPr>
            <a:t>S2 – gasförmige Anlieferung</a:t>
          </a:r>
        </a:p>
      </xdr:txBody>
    </xdr:sp>
    <xdr:clientData/>
  </xdr:twoCellAnchor>
  <xdr:twoCellAnchor>
    <xdr:from>
      <xdr:col>1</xdr:col>
      <xdr:colOff>95250</xdr:colOff>
      <xdr:row>27</xdr:row>
      <xdr:rowOff>114300</xdr:rowOff>
    </xdr:from>
    <xdr:to>
      <xdr:col>2</xdr:col>
      <xdr:colOff>381000</xdr:colOff>
      <xdr:row>30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76225" y="5448300"/>
          <a:ext cx="1066800" cy="457200"/>
        </a:xfrm>
        <a:prstGeom prst="rect">
          <a:avLst/>
        </a:prstGeom>
        <a:solidFill>
          <a:srgbClr val="CFE2F3"/>
        </a:solidFill>
        <a:ln w="19050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Netzübergabe S2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gasförmig</a:t>
          </a:r>
        </a:p>
      </xdr:txBody>
    </xdr:sp>
    <xdr:clientData/>
  </xdr:twoCellAnchor>
  <xdr:twoCellAnchor>
    <xdr:from>
      <xdr:col>2</xdr:col>
      <xdr:colOff>381000</xdr:colOff>
      <xdr:row>28</xdr:row>
      <xdr:rowOff>19050</xdr:rowOff>
    </xdr:from>
    <xdr:to>
      <xdr:col>2</xdr:col>
      <xdr:colOff>647700</xdr:colOff>
      <xdr:row>29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343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2</xdr:col>
      <xdr:colOff>647700</xdr:colOff>
      <xdr:row>27</xdr:row>
      <xdr:rowOff>114300</xdr:rowOff>
    </xdr:from>
    <xdr:to>
      <xdr:col>4</xdr:col>
      <xdr:colOff>152400</xdr:colOff>
      <xdr:row>30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609725" y="5448300"/>
          <a:ext cx="1066800" cy="457200"/>
        </a:xfrm>
        <a:prstGeom prst="rect">
          <a:avLst/>
        </a:prstGeom>
        <a:solidFill>
          <a:srgbClr val="EFF2F4"/>
        </a:solidFill>
        <a:ln w="19050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Messtechnik &amp;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Filtration</a:t>
          </a:r>
        </a:p>
      </xdr:txBody>
    </xdr:sp>
    <xdr:clientData/>
  </xdr:twoCellAnchor>
  <xdr:twoCellAnchor>
    <xdr:from>
      <xdr:col>7</xdr:col>
      <xdr:colOff>742950</xdr:colOff>
      <xdr:row>27</xdr:row>
      <xdr:rowOff>114300</xdr:rowOff>
    </xdr:from>
    <xdr:to>
      <xdr:col>9</xdr:col>
      <xdr:colOff>247650</xdr:colOff>
      <xdr:row>30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610225" y="5448300"/>
          <a:ext cx="1066800" cy="457200"/>
        </a:xfrm>
        <a:prstGeom prst="rect">
          <a:avLst/>
        </a:prstGeom>
        <a:solidFill>
          <a:srgbClr val="CFE2F3"/>
        </a:solidFill>
        <a:ln w="19050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Verdichter
2 Stufen</a:t>
          </a:r>
        </a:p>
      </xdr:txBody>
    </xdr:sp>
    <xdr:clientData/>
  </xdr:twoCellAnchor>
  <xdr:twoCellAnchor>
    <xdr:from>
      <xdr:col>9</xdr:col>
      <xdr:colOff>247650</xdr:colOff>
      <xdr:row>28</xdr:row>
      <xdr:rowOff>19050</xdr:rowOff>
    </xdr:from>
    <xdr:to>
      <xdr:col>9</xdr:col>
      <xdr:colOff>514350</xdr:colOff>
      <xdr:row>29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77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9</xdr:col>
      <xdr:colOff>514350</xdr:colOff>
      <xdr:row>27</xdr:row>
      <xdr:rowOff>114300</xdr:rowOff>
    </xdr:from>
    <xdr:to>
      <xdr:col>11</xdr:col>
      <xdr:colOff>19050</xdr:colOff>
      <xdr:row>30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43725" y="544830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Kühler
91 bar</a:t>
          </a:r>
        </a:p>
      </xdr:txBody>
    </xdr:sp>
    <xdr:clientData/>
  </xdr:twoCellAnchor>
  <xdr:twoCellAnchor>
    <xdr:from>
      <xdr:col>11</xdr:col>
      <xdr:colOff>19050</xdr:colOff>
      <xdr:row>28</xdr:row>
      <xdr:rowOff>19050</xdr:rowOff>
    </xdr:from>
    <xdr:to>
      <xdr:col>11</xdr:col>
      <xdr:colOff>285750</xdr:colOff>
      <xdr:row>29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0105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11</xdr:col>
      <xdr:colOff>285750</xdr:colOff>
      <xdr:row>27</xdr:row>
      <xdr:rowOff>114300</xdr:rowOff>
    </xdr:from>
    <xdr:to>
      <xdr:col>12</xdr:col>
      <xdr:colOff>571500</xdr:colOff>
      <xdr:row>30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277225" y="544830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Pumpe</a:t>
          </a:r>
        </a:p>
      </xdr:txBody>
    </xdr:sp>
    <xdr:clientData/>
  </xdr:twoCellAnchor>
  <xdr:twoCellAnchor>
    <xdr:from>
      <xdr:col>12</xdr:col>
      <xdr:colOff>571500</xdr:colOff>
      <xdr:row>28</xdr:row>
      <xdr:rowOff>19050</xdr:rowOff>
    </xdr:from>
    <xdr:to>
      <xdr:col>13</xdr:col>
      <xdr:colOff>57150</xdr:colOff>
      <xdr:row>29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344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28</xdr:row>
      <xdr:rowOff>152400</xdr:rowOff>
    </xdr:from>
    <xdr:to>
      <xdr:col>7</xdr:col>
      <xdr:colOff>552450</xdr:colOff>
      <xdr:row>28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33675" y="5676900"/>
          <a:ext cx="2686050" cy="190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476250</xdr:colOff>
      <xdr:row>28</xdr:row>
      <xdr:rowOff>19050</xdr:rowOff>
    </xdr:from>
    <xdr:to>
      <xdr:col>7</xdr:col>
      <xdr:colOff>723900</xdr:colOff>
      <xdr:row>29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343525" y="55435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27</xdr:row>
      <xdr:rowOff>152400</xdr:rowOff>
    </xdr:from>
    <xdr:to>
      <xdr:col>7</xdr:col>
      <xdr:colOff>666750</xdr:colOff>
      <xdr:row>28</xdr:row>
      <xdr:rowOff>133350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733675" y="5486400"/>
          <a:ext cx="28003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Zwischenkühlung auf 40 °C · über der Cricondentherm, keine Kondensation</a:t>
          </a:r>
        </a:p>
      </xdr:txBody>
    </xdr:sp>
    <xdr:clientData/>
  </xdr:twoCellAnchor>
  <xdr:twoCellAnchor>
    <xdr:from>
      <xdr:col>13</xdr:col>
      <xdr:colOff>57150</xdr:colOff>
      <xdr:row>22</xdr:row>
      <xdr:rowOff>95250</xdr:rowOff>
    </xdr:from>
    <xdr:to>
      <xdr:col>14</xdr:col>
      <xdr:colOff>342900</xdr:colOff>
      <xdr:row>30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610725" y="4476750"/>
          <a:ext cx="1066800" cy="142875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Bohrloch-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kopf</a:t>
          </a:r>
        </a:p>
      </xdr:txBody>
    </xdr:sp>
    <xdr:clientData/>
  </xdr:twoCellAnchor>
  <xdr:twoCellAnchor>
    <xdr:from>
      <xdr:col>14</xdr:col>
      <xdr:colOff>342900</xdr:colOff>
      <xdr:row>25</xdr:row>
      <xdr:rowOff>104775</xdr:rowOff>
    </xdr:from>
    <xdr:to>
      <xdr:col>14</xdr:col>
      <xdr:colOff>609600</xdr:colOff>
      <xdr:row>26</xdr:row>
      <xdr:rowOff>161925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677525" y="5057775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14</xdr:col>
      <xdr:colOff>609600</xdr:colOff>
      <xdr:row>22</xdr:row>
      <xdr:rowOff>95250</xdr:rowOff>
    </xdr:from>
    <xdr:to>
      <xdr:col>16</xdr:col>
      <xdr:colOff>114300</xdr:colOff>
      <xdr:row>30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944225" y="4476750"/>
          <a:ext cx="1066800" cy="1428750"/>
        </a:xfrm>
        <a:prstGeom prst="rect">
          <a:avLst/>
        </a:prstGeom>
        <a:gradFill>
          <a:gsLst>
            <a:gs pos="0">
              <a:srgbClr val="D9EAD3"/>
            </a:gs>
            <a:gs pos="100000">
              <a:srgbClr val="FCE5CD"/>
            </a:gs>
          </a:gsLst>
          <a:lin ang="5400000" scaled="0"/>
        </a:gradFill>
        <a:ln w="19050" cmpd="sng">
          <a:solidFill>
            <a:srgbClr val="00304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Gassäule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im Bohrloch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(1200 m)</a:t>
          </a:r>
        </a:p>
      </xdr:txBody>
    </xdr:sp>
    <xdr:clientData/>
  </xdr:twoCellAnchor>
  <xdr:twoCellAnchor>
    <xdr:from>
      <xdr:col>16</xdr:col>
      <xdr:colOff>114300</xdr:colOff>
      <xdr:row>23</xdr:row>
      <xdr:rowOff>0</xdr:rowOff>
    </xdr:from>
    <xdr:to>
      <xdr:col>16</xdr:col>
      <xdr:colOff>381000</xdr:colOff>
      <xdr:row>24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2011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16</xdr:col>
      <xdr:colOff>114300</xdr:colOff>
      <xdr:row>28</xdr:row>
      <xdr:rowOff>19050</xdr:rowOff>
    </xdr:from>
    <xdr:to>
      <xdr:col>16</xdr:col>
      <xdr:colOff>381000</xdr:colOff>
      <xdr:row>29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011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8A8A8A"/>
              </a:solidFill>
              <a:latin typeface="Calibri"/>
              <a:cs typeface="Calibri"/>
            </a:rPr>
            <a:t>⇢</a:t>
          </a:r>
        </a:p>
      </xdr:txBody>
    </xdr:sp>
    <xdr:clientData/>
  </xdr:twoCellAnchor>
  <xdr:twoCellAnchor>
    <xdr:from>
      <xdr:col>16</xdr:col>
      <xdr:colOff>381000</xdr:colOff>
      <xdr:row>22</xdr:row>
      <xdr:rowOff>95250</xdr:rowOff>
    </xdr:from>
    <xdr:to>
      <xdr:col>17</xdr:col>
      <xdr:colOff>666750</xdr:colOff>
      <xdr:row>24</xdr:row>
      <xdr:rowOff>171450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2277725" y="4476750"/>
          <a:ext cx="1066800" cy="457200"/>
        </a:xfrm>
        <a:prstGeom prst="rect">
          <a:avLst/>
        </a:prstGeom>
        <a:solidFill>
          <a:srgbClr val="FCE5CD"/>
        </a:solidFill>
        <a:ln w="31750" cmpd="sng">
          <a:solidFill>
            <a:srgbClr val="00304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Kaverne V1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tief · 1200 m</a:t>
          </a:r>
        </a:p>
      </xdr:txBody>
    </xdr:sp>
    <xdr:clientData/>
  </xdr:twoCellAnchor>
  <xdr:twoCellAnchor>
    <xdr:from>
      <xdr:col>16</xdr:col>
      <xdr:colOff>381000</xdr:colOff>
      <xdr:row>27</xdr:row>
      <xdr:rowOff>114300</xdr:rowOff>
    </xdr:from>
    <xdr:to>
      <xdr:col>17</xdr:col>
      <xdr:colOff>666750</xdr:colOff>
      <xdr:row>30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277725" y="5448300"/>
          <a:ext cx="1066800" cy="457200"/>
        </a:xfrm>
        <a:prstGeom prst="rect">
          <a:avLst/>
        </a:prstGeom>
        <a:solidFill>
          <a:srgbClr val="FFFFFF"/>
        </a:solidFill>
        <a:ln w="19050" cmpd="sng">
          <a:solidFill>
            <a:srgbClr val="8A8A8A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8A8A8A"/>
              </a:solidFill>
              <a:latin typeface="Calibri"/>
              <a:cs typeface="Calibri"/>
            </a:rPr>
            <a:t>Kaverne V2</a:t>
          </a:r>
        </a:p>
        <a:p>
          <a:r>
            <a:rPr lang="en-US" sz="900" b="1">
              <a:solidFill>
                <a:srgbClr val="8A8A8A"/>
              </a:solidFill>
              <a:latin typeface="Calibri"/>
              <a:cs typeface="Calibri"/>
            </a:rPr>
            <a:t>flach · entfällt</a:t>
          </a:r>
        </a:p>
      </xdr:txBody>
    </xdr:sp>
    <xdr:clientData/>
  </xdr:twoCellAnchor>
  <xdr:twoCellAnchor>
    <xdr:from>
      <xdr:col>0</xdr:col>
      <xdr:colOff>133350</xdr:colOff>
      <xdr:row>24</xdr:row>
      <xdr:rowOff>180975</xdr:rowOff>
    </xdr:from>
    <xdr:to>
      <xdr:col>2</xdr:col>
      <xdr:colOff>523875</xdr:colOff>
      <xdr:row>25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333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91 bar · 15 °C</a:t>
          </a:r>
        </a:p>
      </xdr:txBody>
    </xdr:sp>
    <xdr:clientData/>
  </xdr:twoCellAnchor>
  <xdr:twoCellAnchor>
    <xdr:from>
      <xdr:col>11</xdr:col>
      <xdr:colOff>142875</xdr:colOff>
      <xdr:row>24</xdr:row>
      <xdr:rowOff>180975</xdr:rowOff>
    </xdr:from>
    <xdr:to>
      <xdr:col>12</xdr:col>
      <xdr:colOff>714375</xdr:colOff>
      <xdr:row>25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81343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114,3 bar · 18,3 °C</a:t>
          </a:r>
        </a:p>
      </xdr:txBody>
    </xdr:sp>
    <xdr:clientData/>
  </xdr:twoCellAnchor>
  <xdr:twoCellAnchor>
    <xdr:from>
      <xdr:col>0</xdr:col>
      <xdr:colOff>133350</xdr:colOff>
      <xdr:row>30</xdr:row>
      <xdr:rowOff>9525</xdr:rowOff>
    </xdr:from>
    <xdr:to>
      <xdr:col>2</xdr:col>
      <xdr:colOff>523875</xdr:colOff>
      <xdr:row>30</xdr:row>
      <xdr:rowOff>180975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33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30 bar · 15 °C</a:t>
          </a:r>
        </a:p>
      </xdr:txBody>
    </xdr:sp>
    <xdr:clientData/>
  </xdr:twoCellAnchor>
  <xdr:twoCellAnchor>
    <xdr:from>
      <xdr:col>7</xdr:col>
      <xdr:colOff>600075</xdr:colOff>
      <xdr:row>30</xdr:row>
      <xdr:rowOff>9525</xdr:rowOff>
    </xdr:from>
    <xdr:to>
      <xdr:col>9</xdr:col>
      <xdr:colOff>390525</xdr:colOff>
      <xdr:row>30</xdr:row>
      <xdr:rowOff>180975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467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91 bar · 85 °C (2 Stufen)</a:t>
          </a:r>
        </a:p>
      </xdr:txBody>
    </xdr:sp>
    <xdr:clientData/>
  </xdr:twoCellAnchor>
  <xdr:twoCellAnchor>
    <xdr:from>
      <xdr:col>9</xdr:col>
      <xdr:colOff>371475</xdr:colOff>
      <xdr:row>30</xdr:row>
      <xdr:rowOff>9525</xdr:rowOff>
    </xdr:from>
    <xdr:to>
      <xdr:col>11</xdr:col>
      <xdr:colOff>161925</xdr:colOff>
      <xdr:row>30</xdr:row>
      <xdr:rowOff>180975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8008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91 bar · 26 °C</a:t>
          </a:r>
        </a:p>
      </xdr:txBody>
    </xdr:sp>
    <xdr:clientData/>
  </xdr:twoCellAnchor>
  <xdr:twoCellAnchor>
    <xdr:from>
      <xdr:col>11</xdr:col>
      <xdr:colOff>142875</xdr:colOff>
      <xdr:row>30</xdr:row>
      <xdr:rowOff>9525</xdr:rowOff>
    </xdr:from>
    <xdr:to>
      <xdr:col>12</xdr:col>
      <xdr:colOff>714375</xdr:colOff>
      <xdr:row>30</xdr:row>
      <xdr:rowOff>180975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134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127,3 bar · 34,4 °C</a:t>
          </a:r>
        </a:p>
      </xdr:txBody>
    </xdr:sp>
    <xdr:clientData/>
  </xdr:twoCellAnchor>
  <xdr:twoCellAnchor>
    <xdr:from>
      <xdr:col>16</xdr:col>
      <xdr:colOff>238125</xdr:colOff>
      <xdr:row>24</xdr:row>
      <xdr:rowOff>180975</xdr:rowOff>
    </xdr:from>
    <xdr:to>
      <xdr:col>18</xdr:col>
      <xdr:colOff>28575</xdr:colOff>
      <xdr:row>25</xdr:row>
      <xdr:rowOff>161925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21348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70–210 bar · 46 °C</a:t>
          </a:r>
        </a:p>
      </xdr:txBody>
    </xdr:sp>
    <xdr:clientData/>
  </xdr:twoCellAnchor>
  <xdr:twoCellAnchor>
    <xdr:from>
      <xdr:col>12</xdr:col>
      <xdr:colOff>695325</xdr:colOff>
      <xdr:row>30</xdr:row>
      <xdr:rowOff>9525</xdr:rowOff>
    </xdr:from>
    <xdr:to>
      <xdr:col>14</xdr:col>
      <xdr:colOff>485775</xdr:colOff>
      <xdr:row>30</xdr:row>
      <xdr:rowOff>180975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94678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Kopf: 114,3 / 127,3 bar</a:t>
          </a:r>
        </a:p>
      </xdr:txBody>
    </xdr:sp>
    <xdr:clientData/>
  </xdr:twoCellAnchor>
  <xdr:twoCellAnchor>
    <xdr:from>
      <xdr:col>14</xdr:col>
      <xdr:colOff>466725</xdr:colOff>
      <xdr:row>30</xdr:row>
      <xdr:rowOff>9525</xdr:rowOff>
    </xdr:from>
    <xdr:to>
      <xdr:col>16</xdr:col>
      <xdr:colOff>257175</xdr:colOff>
      <xdr:row>30</xdr:row>
      <xdr:rowOff>180975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801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+83–96 bar aus der Säule</a:t>
          </a:r>
        </a:p>
      </xdr:txBody>
    </xdr:sp>
    <xdr:clientData/>
  </xdr:twoCellAnchor>
  <xdr:twoCellAnchor>
    <xdr:from>
      <xdr:col>1</xdr:col>
      <xdr:colOff>95250</xdr:colOff>
      <xdr:row>31</xdr:row>
      <xdr:rowOff>57150</xdr:rowOff>
    </xdr:from>
    <xdr:to>
      <xdr:col>5</xdr:col>
      <xdr:colOff>400050</xdr:colOff>
      <xdr:row>32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76225" y="6153150"/>
          <a:ext cx="34290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595959"/>
              </a:solidFill>
              <a:latin typeface="Calibri"/>
              <a:cs typeface="Calibri"/>
            </a:rPr>
            <a:t>Farbe der Kästen = Phase am Austritt (wie im Phasendiagramm):</a:t>
          </a:r>
        </a:p>
      </xdr:txBody>
    </xdr:sp>
    <xdr:clientData/>
  </xdr:twoCellAnchor>
  <xdr:twoCellAnchor>
    <xdr:from>
      <xdr:col>5</xdr:col>
      <xdr:colOff>400050</xdr:colOff>
      <xdr:row>31</xdr:row>
      <xdr:rowOff>85725</xdr:rowOff>
    </xdr:from>
    <xdr:to>
      <xdr:col>5</xdr:col>
      <xdr:colOff>552450</xdr:colOff>
      <xdr:row>32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705225" y="6181725"/>
          <a:ext cx="152400" cy="104775"/>
        </a:xfrm>
        <a:prstGeom prst="rect">
          <a:avLst/>
        </a:prstGeom>
        <a:solidFill>
          <a:srgbClr val="D9EAD3"/>
        </a:solidFill>
        <a:ln w="9525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590550</xdr:colOff>
      <xdr:row>31</xdr:row>
      <xdr:rowOff>57150</xdr:rowOff>
    </xdr:from>
    <xdr:to>
      <xdr:col>7</xdr:col>
      <xdr:colOff>266700</xdr:colOff>
      <xdr:row>32</xdr:row>
      <xdr:rowOff>38100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389572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dicht / flüssig</a:t>
          </a:r>
        </a:p>
      </xdr:txBody>
    </xdr:sp>
    <xdr:clientData/>
  </xdr:twoCellAnchor>
  <xdr:twoCellAnchor>
    <xdr:from>
      <xdr:col>7</xdr:col>
      <xdr:colOff>266700</xdr:colOff>
      <xdr:row>31</xdr:row>
      <xdr:rowOff>85725</xdr:rowOff>
    </xdr:from>
    <xdr:to>
      <xdr:col>7</xdr:col>
      <xdr:colOff>419100</xdr:colOff>
      <xdr:row>32</xdr:row>
      <xdr:rowOff>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133975" y="6181725"/>
          <a:ext cx="152400" cy="104775"/>
        </a:xfrm>
        <a:prstGeom prst="rect">
          <a:avLst/>
        </a:prstGeom>
        <a:solidFill>
          <a:srgbClr val="CFE2F3"/>
        </a:solidFill>
        <a:ln w="9525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457200</xdr:colOff>
      <xdr:row>31</xdr:row>
      <xdr:rowOff>57150</xdr:rowOff>
    </xdr:from>
    <xdr:to>
      <xdr:col>9</xdr:col>
      <xdr:colOff>133350</xdr:colOff>
      <xdr:row>32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32447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gasförmig</a:t>
          </a:r>
        </a:p>
      </xdr:txBody>
    </xdr:sp>
    <xdr:clientData/>
  </xdr:twoCellAnchor>
  <xdr:twoCellAnchor>
    <xdr:from>
      <xdr:col>9</xdr:col>
      <xdr:colOff>133350</xdr:colOff>
      <xdr:row>31</xdr:row>
      <xdr:rowOff>85725</xdr:rowOff>
    </xdr:from>
    <xdr:to>
      <xdr:col>9</xdr:col>
      <xdr:colOff>285750</xdr:colOff>
      <xdr:row>32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562725" y="6181725"/>
          <a:ext cx="152400" cy="104775"/>
        </a:xfrm>
        <a:prstGeom prst="rect">
          <a:avLst/>
        </a:prstGeom>
        <a:solidFill>
          <a:srgbClr val="FCE5CD"/>
        </a:solidFill>
        <a:ln w="9525" cmpd="sng">
          <a:solidFill>
            <a:srgbClr val="A3480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323850</xdr:colOff>
      <xdr:row>31</xdr:row>
      <xdr:rowOff>57150</xdr:rowOff>
    </xdr:from>
    <xdr:to>
      <xdr:col>11</xdr:col>
      <xdr:colOff>0</xdr:colOff>
      <xdr:row>32</xdr:row>
      <xdr:rowOff>38100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75322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überkritisch</a:t>
          </a:r>
        </a:p>
      </xdr:txBody>
    </xdr:sp>
    <xdr:clientData/>
  </xdr:twoCellAnchor>
  <xdr:twoCellAnchor>
    <xdr:from>
      <xdr:col>11</xdr:col>
      <xdr:colOff>0</xdr:colOff>
      <xdr:row>31</xdr:row>
      <xdr:rowOff>85725</xdr:rowOff>
    </xdr:from>
    <xdr:to>
      <xdr:col>11</xdr:col>
      <xdr:colOff>152400</xdr:colOff>
      <xdr:row>32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7991475" y="6181725"/>
          <a:ext cx="152400" cy="104775"/>
        </a:xfrm>
        <a:prstGeom prst="rect">
          <a:avLst/>
        </a:prstGeom>
        <a:solidFill>
          <a:srgbClr val="EFF2F4"/>
        </a:solidFill>
        <a:ln w="9525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190500</xdr:colOff>
      <xdr:row>31</xdr:row>
      <xdr:rowOff>57150</xdr:rowOff>
    </xdr:from>
    <xdr:to>
      <xdr:col>12</xdr:col>
      <xdr:colOff>647700</xdr:colOff>
      <xdr:row>32</xdr:row>
      <xdr:rowOff>38100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818197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keine Zustandsänderung</a:t>
          </a:r>
        </a:p>
      </xdr:txBody>
    </xdr:sp>
    <xdr:clientData/>
  </xdr:twoCellAnchor>
  <xdr:twoCellAnchor>
    <xdr:from>
      <xdr:col>1</xdr:col>
      <xdr:colOff>95250</xdr:colOff>
      <xdr:row>32</xdr:row>
      <xdr:rowOff>57150</xdr:rowOff>
    </xdr:from>
    <xdr:to>
      <xdr:col>9</xdr:col>
      <xdr:colOff>514350</xdr:colOff>
      <xdr:row>33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276225" y="6343650"/>
          <a:ext cx="66675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Ausspeicherung (Druckreduzierung, Vorwärmung, Aufbereitung, Rückgabe) folgt als eigener Teil.</a:t>
          </a:r>
        </a:p>
      </xdr:txBody>
    </xdr:sp>
    <xdr:clientData/>
  </xdr:twoCellAnchor>
</xdr:wsDr>
</file>

<file path=xl/drawings/drawing_ori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24</xdr:col>
      <xdr:colOff>203200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377F4-4BE0-4338-BF99-509D7ED54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355600</xdr:colOff>
      <xdr:row>4</xdr:row>
      <xdr:rowOff>0</xdr:rowOff>
    </xdr:from>
    <xdr:to>
      <xdr:col>37</xdr:col>
      <xdr:colOff>558800</xdr:colOff>
      <xdr:row>28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1179D70-C335-48ED-8A58-22505EDF2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_ori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47625</xdr:rowOff>
    </xdr:from>
    <xdr:to>
      <xdr:col>2</xdr:col>
      <xdr:colOff>809625</xdr:colOff>
      <xdr:row>50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152399</xdr:colOff>
      <xdr:row>29</xdr:row>
      <xdr:rowOff>57150</xdr:rowOff>
    </xdr:from>
    <xdr:to>
      <xdr:col>8</xdr:col>
      <xdr:colOff>257175</xdr:colOff>
      <xdr:row>50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671719</xdr:colOff>
      <xdr:row>29</xdr:row>
      <xdr:rowOff>43898</xdr:rowOff>
    </xdr:from>
    <xdr:to>
      <xdr:col>13</xdr:col>
      <xdr:colOff>473449</xdr:colOff>
      <xdr:row>50</xdr:row>
      <xdr:rowOff>139148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_ori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24</xdr:row>
      <xdr:rowOff>0</xdr:rowOff>
    </xdr:from>
    <xdr:to>
      <xdr:col>20</xdr:col>
      <xdr:colOff>295275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4</xdr:row>
      <xdr:rowOff>66675</xdr:rowOff>
    </xdr:from>
    <xdr:to>
      <xdr:col>18</xdr:col>
      <xdr:colOff>152400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447675</xdr:colOff>
      <xdr:row>23</xdr:row>
      <xdr:rowOff>171450</xdr:rowOff>
    </xdr:from>
    <xdr:to>
      <xdr:col>28</xdr:col>
      <xdr:colOff>219075</xdr:colOff>
      <xdr:row>37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_ori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21</xdr:col>
      <xdr:colOff>469900</xdr:colOff>
      <xdr:row>26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B6D3D-7143-45AA-B30C-4B2E26C29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_ori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18</xdr:col>
      <xdr:colOff>635000</xdr:colOff>
      <xdr:row>19</xdr:row>
      <xdr:rowOff>127000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541A0EA-4732-D5F0-5C90-872C4D9C6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317500</xdr:rowOff>
    </xdr:from>
    <xdr:to>
      <xdr:col>23</xdr:col>
      <xdr:colOff>444500</xdr:colOff>
      <xdr:row>47</xdr:row>
      <xdr:rowOff>142875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7C55DF3B-CACF-4DF7-A3EE-8A759EBC9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50</xdr:row>
      <xdr:rowOff>142875</xdr:rowOff>
    </xdr:from>
    <xdr:to>
      <xdr:col>23</xdr:col>
      <xdr:colOff>444500</xdr:colOff>
      <xdr:row>69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935A0-84A1-421E-9791-559243F58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_ori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18</xdr:col>
      <xdr:colOff>228600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18</xdr:col>
      <xdr:colOff>228600</xdr:colOff>
      <xdr:row>70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ZeichnungOrig" Type="http://schemas.openxmlformats.org/officeDocument/2006/relationships/drawing" Target="../drawings/drawing_orig1.xml"/></Relationships>
</file>

<file path=xl/worksheets/_rels/sheet2.xml.rels><Relationships xmlns="http://schemas.openxmlformats.org/package/2006/relationships"><Relationship Id="rIdZeichnungOrig" Type="http://schemas.openxmlformats.org/officeDocument/2006/relationships/drawing" Target="../drawings/drawing_orig2.xml"/></Relationships>
</file>

<file path=xl/worksheets/_rels/sheet3.xml.rels><Relationships xmlns="http://schemas.openxmlformats.org/package/2006/relationships"><Relationship Id="rIdZeichnungOrig" Type="http://schemas.openxmlformats.org/officeDocument/2006/relationships/drawing" Target="../drawings/drawing_orig3.xml"/></Relationships>
</file>

<file path=xl/worksheets/_rels/sheet4.xml.rels><Relationships xmlns="http://schemas.openxmlformats.org/package/2006/relationships"><Relationship Id="rIdZeichnungOrig" Type="http://schemas.openxmlformats.org/officeDocument/2006/relationships/drawing" Target="../drawings/drawing_orig4.xml"/></Relationships>
</file>

<file path=xl/worksheets/_rels/sheet5.xml.rels><Relationships xmlns="http://schemas.openxmlformats.org/package/2006/relationships"><Relationship Id="rIdZeichnungOrig" Type="http://schemas.openxmlformats.org/officeDocument/2006/relationships/drawing" Target="../drawings/drawing_orig5.xml"/></Relationships>
</file>

<file path=xl/worksheets/_rels/sheet6.xml.rels><Relationships xmlns="http://schemas.openxmlformats.org/package/2006/relationships"><Relationship Id="rIdZeichnungOrig" Type="http://schemas.openxmlformats.org/officeDocument/2006/relationships/drawing" Target="../drawings/drawing_orig6.x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Id="rIdZeichnungOrig" Type="http://schemas.openxmlformats.org/officeDocument/2006/relationships/drawing" Target="../drawings/drawing_orig7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304F"/>
    <outlinePr summaryBelow="1" summaryRight="1"/>
    <pageSetUpPr fitToPage="1"/>
  </sheetPr>
  <dimension ref="A1:Q90"/>
  <sheetViews>
    <sheetView showGridLines="0" tabSelected="1" topLeftCell="A80" workbookViewId="0">
      <selection activeCell="A1" sqref="A1"/>
    </sheetView>
  </sheetViews>
  <sheetFormatPr baseColWidth="10" defaultColWidth="9.140625" defaultRowHeight="15"/>
  <cols>
    <col width="2.7109375" customWidth="1" style="72" min="1" max="1"/>
    <col width="11.7109375" customWidth="1" style="72" min="2" max="19"/>
  </cols>
  <sheetData>
    <row r="1" ht="30" customHeight="1" s="72">
      <c r="B1" s="1" t="inlineStr">
        <is>
          <t>CO₂-Zwischenspeicherung in Salzkavernen – Obertageanlage · Worst-Case-Gemisch</t>
        </is>
      </c>
    </row>
    <row r="2">
      <c r="B2" s="2" t="inlineStr">
        <is>
          <t>Rechenübersicht Einspeicherung · Masterarbeit Sarah Maxara · TH Köln / Uniper Energy Storage</t>
        </is>
      </c>
    </row>
    <row r="3">
      <c r="B3" s="2" t="inlineStr">
        <is>
          <t>Stand: 15.10.2026 (nach der Besprechung mit K. Vosbeck) · Stoffdaten: CoolProp 8.0.0, Mehrfluid-Helmholtz-Modell (GERG-2008-Mischungsregel, Reinstoffe u. a. Span &amp; Wagner 1996) · Worst-Case-Gemisch 95 % CO₂, 2,4 % N₂, 1 % Ar, 1 % CH₄, 0,5 % H₂, 0,1 % CO (mol-%)</t>
        </is>
      </c>
    </row>
    <row r="4"/>
    <row r="5">
      <c r="B5" s="69" t="inlineStr">
        <is>
          <t>Worum geht es?</t>
        </is>
      </c>
      <c r="C5" s="89" t="n"/>
      <c r="D5" s="89" t="n"/>
      <c r="E5" s="89" t="n"/>
      <c r="F5" s="89" t="n"/>
      <c r="G5" s="89" t="n"/>
      <c r="H5" s="89" t="n"/>
      <c r="J5" s="69" t="inlineStr">
        <is>
          <t>Farblegende der Zellen</t>
        </is>
      </c>
      <c r="K5" s="89" t="n"/>
      <c r="L5" s="89" t="n"/>
      <c r="M5" s="89" t="n"/>
      <c r="N5" s="89" t="n"/>
      <c r="O5" s="89" t="n"/>
    </row>
    <row r="6" ht="22.5" customHeight="1" s="72">
      <c r="B6" s="70" t="inlineStr">
        <is>
          <t>Diese Mappe zeigt Schritt für Schritt, wie die Obertageanlage für die Einspeicherung berechnet wird:
1. Welcher Druck muss am Bohrlochkopf anliegen? → das gibt die Kaverne über die Gassäule vor.
2. Wie bringt die Anlage das CO₂ auf diesen Druck? → Pumpe (dichte Anlieferung, S1) bzw. zwei Verdichterstufen, Kühler und Pumpe (gasförmige Anlieferung, S2).
3. Wo liegen alle Zustände im Phasendiagramm – und wo liegt das Betriebsfenster von Bohrloch und Kaverne?
Diese Mappe rechnet das Worst-Case-Gemisch mit 5 % Begleitstoffen – gleicher Aufbau wie die Mappe für reines CO₂. Was sich an den Grenzen ändert und warum: Blatt „Gemisch &amp; Grenzen“.</t>
        </is>
      </c>
      <c r="J6" s="4" t="n">
        <v>91</v>
      </c>
      <c r="K6" s="70" t="inlineStr">
        <is>
          <t>Annahme – darf geändert werden</t>
        </is>
      </c>
    </row>
    <row r="7" ht="22.5" customHeight="1" s="72">
      <c r="J7" s="5" t="n">
        <v>246.6</v>
      </c>
      <c r="K7" s="70" t="inlineStr">
        <is>
          <t>Stoffwert aus CoolProp – fest</t>
        </is>
      </c>
    </row>
    <row r="8" ht="22.5" customHeight="1" s="72">
      <c r="J8" s="6" t="n">
        <v>100</v>
      </c>
      <c r="K8" s="70" t="inlineStr">
        <is>
          <t>Excel-Formel – rechnet sofort mit</t>
        </is>
      </c>
    </row>
    <row r="9" ht="22.5" customHeight="1" s="72">
      <c r="J9" s="7" t="n">
        <v>114.9</v>
      </c>
      <c r="K9" s="70" t="inlineStr">
        <is>
          <t>wichtiges Ergebnis</t>
        </is>
      </c>
    </row>
    <row r="10" ht="22.5" customHeight="1" s="72">
      <c r="J10" s="8" t="inlineStr">
        <is>
          <t>rot</t>
        </is>
      </c>
      <c r="K10" s="70" t="inlineStr">
        <is>
          <t>Stoffwert passt nicht mehr zu den Annahmen</t>
        </is>
      </c>
    </row>
    <row r="11"/>
    <row r="12">
      <c r="B12" s="69" t="inlineStr">
        <is>
          <t>Inhalt</t>
        </is>
      </c>
      <c r="C12" s="89" t="n"/>
      <c r="D12" s="89" t="n"/>
      <c r="E12" s="89" t="n"/>
      <c r="F12" s="89" t="n"/>
      <c r="G12" s="89" t="n"/>
      <c r="H12" s="89" t="n"/>
    </row>
    <row r="13">
      <c r="B13" s="71" t="inlineStr">
        <is>
          <t>→ Kaverne &amp; Gassäule</t>
        </is>
      </c>
      <c r="E13" s="70" t="inlineStr">
        <is>
          <t>Welchen Kopfdruck gibt die Kaverne vor? Stillstand für drei Füllstände (wie Q-028, Fig. 3) und – neu – im Betrieb: strömende Säule beim Einspeisen (Zieldruck der Pumpe).</t>
        </is>
      </c>
    </row>
    <row r="14">
      <c r="B14" s="71" t="inlineStr">
        <is>
          <t>→ Medienvergleich</t>
        </is>
      </c>
      <c r="E14" s="70" t="inlineStr">
        <is>
          <t>Warum braucht CO₂ oben weniger Druck als Erdgas oder Wasserstoff? Mit reinem CO₂ zum Vergleich.</t>
        </is>
      </c>
    </row>
    <row r="15">
      <c r="B15" s="71" t="inlineStr">
        <is>
          <t>→ Einspeicherung S1</t>
        </is>
      </c>
      <c r="E15" s="70" t="inlineStr">
        <is>
          <t>Anlieferung dicht: Pumpe – jeder Rechenschritt einzeln. Mit Phasendiagramm der Schritte.</t>
        </is>
      </c>
    </row>
    <row r="16">
      <c r="B16" s="71" t="inlineStr">
        <is>
          <t>→ Einspeicherung S2</t>
        </is>
      </c>
      <c r="E16" s="70" t="inlineStr">
        <is>
          <t>Anlieferung gasförmig: 2 Verdichterstufen (Zwischenkühler 40 °C), Kühler bei 91 bar auf 26 °C, Pumpe – mit Begründung des Wegs.</t>
        </is>
      </c>
    </row>
    <row r="17">
      <c r="B17" s="71" t="inlineStr">
        <is>
          <t>→ Phasendiagramm</t>
        </is>
      </c>
      <c r="E17" s="70" t="inlineStr">
        <is>
          <t>Diagramm 1: Prozesspfade bis zum Bohrlochkopf. Diagramm 2: Betriebsfenster von Bohrloch und Kaverne (nur Stillstand).</t>
        </is>
      </c>
    </row>
    <row r="18">
      <c r="B18" s="71" t="inlineStr">
        <is>
          <t>→ Quellen</t>
        </is>
      </c>
      <c r="E18" s="70" t="inlineStr">
        <is>
          <t>Herkunft aller Annahmen und Stoffdaten.</t>
        </is>
      </c>
    </row>
    <row r="19">
      <c r="B19" s="71" t="inlineStr">
        <is>
          <t>→ Diagrammdaten</t>
        </is>
      </c>
      <c r="E19" s="70" t="inlineStr">
        <is>
          <t>Hilfstabellen für die Diagramme (nicht ändern).</t>
        </is>
      </c>
    </row>
    <row r="20">
      <c r="B20" s="71" t="inlineStr">
        <is>
          <t>→ Gemisch &amp; Grenzen</t>
        </is>
      </c>
      <c r="E20" s="70" t="inlineStr">
        <is>
          <t>Was die Begleitstoffe ändern: Zweiphasengebiet, Unsicherheit ±3 bar, neue Grenzen der Anlage. Mit Phasendiagrammen rein vs. Gemisch.</t>
        </is>
      </c>
    </row>
    <row r="21" ht="15.75" customHeight="1" s="72">
      <c r="B21" s="73" t="inlineStr">
        <is>
          <t>Prozesskette Einspeicherung – Szenarien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>
      <c r="B35" s="61" t="inlineStr">
        <is>
          <t>Neu (15.10.2026):</t>
        </is>
      </c>
      <c r="D35" s="29" t="inlineStr">
        <is>
          <t>→ Annahmen &amp; Begründung</t>
        </is>
      </c>
      <c r="G35" s="29" t="inlineStr">
        <is>
          <t>→ Kühlung</t>
        </is>
      </c>
      <c r="I35" s="29" t="inlineStr">
        <is>
          <t>→ Massenströme</t>
        </is>
      </c>
    </row>
    <row r="36">
      <c r="B36" s="25" t="inlineStr">
        <is>
          <t>Annahmen mit Quelle und Fundstelle (Seite, Folie, Tabelle) · warum Zwischenkühler 40 °C und Kühler vor der Pumpe 26 °C · ein Massenstrom, viele Volumenströme</t>
        </is>
      </c>
    </row>
    <row r="37" ht="15.75" customHeight="1" s="72">
      <c r="B37" s="73" t="inlineStr">
        <is>
          <t>Szenarien &amp; Annahmen</t>
        </is>
      </c>
    </row>
    <row r="38" ht="27.95" customHeight="1" s="72">
      <c r="B38" s="74" t="inlineStr">
        <is>
          <t>Blaue Werte dürfen geändert werden. Weiße Formelwerte rechnen sofort mit. Graue Stoffwerte (CoolProp) kann Excel nicht selbst berechnen – ändert sich eine Annahme, zeigt der Status, welche Werte neu berechnet werden müssen.</t>
        </is>
      </c>
    </row>
    <row r="39" ht="21.95" customHeight="1" s="72">
      <c r="B39" s="76" t="inlineStr">
        <is>
          <t>Status</t>
        </is>
      </c>
      <c r="C39" s="90" t="n"/>
      <c r="D39" s="91" t="n"/>
      <c r="E39" s="76">
        <f>IF(Stand_ok,"✔ Alle grauen Stoffwerte passen zu den Annahmen.","⚠ Mindestens eine Annahme wurde geändert – rot markierte Stoffwerte sind veraltet und müssen neu berechnet werden.")</f>
        <v/>
      </c>
      <c r="F39" s="90" t="n"/>
      <c r="G39" s="90" t="n"/>
      <c r="H39" s="90" t="n"/>
      <c r="I39" s="90" t="n"/>
      <c r="J39" s="90" t="n"/>
      <c r="K39" s="90" t="n"/>
      <c r="L39" s="90" t="n"/>
      <c r="M39" s="90" t="n"/>
      <c r="N39" s="90" t="n"/>
      <c r="O39" s="91" t="n"/>
      <c r="Q39" s="11">
        <f>COUNTIF($N$42:$N$69,"⚠*")=0</f>
        <v/>
      </c>
    </row>
    <row r="40"/>
    <row r="41" ht="20.1" customHeight="1" s="72">
      <c r="B41" s="75" t="inlineStr">
        <is>
          <t>Größe</t>
        </is>
      </c>
      <c r="C41" s="90" t="n"/>
      <c r="D41" s="91" t="n"/>
      <c r="E41" s="75" t="inlineStr">
        <is>
          <t>Symbol</t>
        </is>
      </c>
      <c r="F41" s="75" t="inlineStr">
        <is>
          <t>Wert</t>
        </is>
      </c>
      <c r="G41" s="75" t="inlineStr">
        <is>
          <t>Einheit</t>
        </is>
      </c>
      <c r="H41" s="75" t="inlineStr">
        <is>
          <t>Quelle / Begründung</t>
        </is>
      </c>
      <c r="I41" s="90" t="n"/>
      <c r="J41" s="90" t="n"/>
      <c r="K41" s="90" t="n"/>
      <c r="L41" s="91" t="n"/>
      <c r="M41" s="75" t="inlineStr">
        <is>
          <t>gerechnet mit</t>
        </is>
      </c>
      <c r="N41" s="75" t="inlineStr">
        <is>
          <t>Status</t>
        </is>
      </c>
      <c r="O41" s="91" t="n"/>
    </row>
    <row r="42" ht="26.1" customHeight="1" s="72">
      <c r="B42" s="77" t="inlineStr">
        <is>
          <t>Anlieferszenario S1 – dichte Phase (Pipeline OGE)</t>
        </is>
      </c>
      <c r="C42" s="90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  <c r="M42" s="90" t="n"/>
      <c r="N42" s="90" t="n"/>
      <c r="O42" s="91" t="n"/>
    </row>
    <row r="43" ht="26.1" customHeight="1" s="72">
      <c r="B43" s="78" t="inlineStr">
        <is>
          <t>Übergabedruck</t>
        </is>
      </c>
      <c r="C43" s="90" t="n"/>
      <c r="D43" s="91" t="n"/>
      <c r="E43" s="78" t="inlineStr">
        <is>
          <t>p_S1</t>
        </is>
      </c>
      <c r="F43" s="4" t="n">
        <v>91</v>
      </c>
      <c r="G43" s="78" t="inlineStr">
        <is>
          <t>bar</t>
        </is>
      </c>
      <c r="H43" s="78" t="inlineStr">
        <is>
          <t>OGE-Notizen 16.09.2026, Pkt. 6: mind. 91 bar (vorher 85 bar), Worst Case mit Begleitstoffen</t>
        </is>
      </c>
      <c r="I43" s="90" t="n"/>
      <c r="J43" s="90" t="n"/>
      <c r="K43" s="90" t="n"/>
      <c r="L43" s="91" t="n"/>
      <c r="M43" s="5" t="n">
        <v>91</v>
      </c>
      <c r="N43" s="78">
        <f>IF(ABS(F43-M43)&lt;0.000000001,"✔ passt","⚠ geändert – neu rechnen")</f>
        <v/>
      </c>
      <c r="O43" s="91" t="n"/>
    </row>
    <row r="44">
      <c r="B44" s="78" t="inlineStr">
        <is>
          <t>Übergabetemperatur</t>
        </is>
      </c>
      <c r="C44" s="90" t="n"/>
      <c r="D44" s="91" t="n"/>
      <c r="E44" s="78" t="inlineStr">
        <is>
          <t>T_S1</t>
        </is>
      </c>
      <c r="F44" s="4" t="n">
        <v>15</v>
      </c>
      <c r="G44" s="78" t="inlineStr">
        <is>
          <t>°C</t>
        </is>
      </c>
      <c r="H44" s="78" t="inlineStr">
        <is>
          <t>Annahme: Medientemperatur der Fernleitung (nicht Gebirgstemperatur)</t>
        </is>
      </c>
      <c r="I44" s="90" t="n"/>
      <c r="J44" s="90" t="n"/>
      <c r="K44" s="90" t="n"/>
      <c r="L44" s="91" t="n"/>
      <c r="M44" s="5" t="n">
        <v>15</v>
      </c>
      <c r="N44" s="78">
        <f>IF(ABS(F44-M44)&lt;0.000000001,"✔ passt","⚠ geändert – neu rechnen")</f>
        <v/>
      </c>
      <c r="O44" s="91" t="n"/>
    </row>
    <row r="45" s="72">
      <c r="B45" s="77" t="inlineStr">
        <is>
          <t>Anlieferszenario S2 – gasförmig</t>
        </is>
      </c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90" t="n"/>
      <c r="M45" s="90" t="n"/>
      <c r="N45" s="90" t="n"/>
      <c r="O45" s="91" t="n"/>
    </row>
    <row r="46" ht="26.1" customHeight="1" s="72">
      <c r="B46" s="78" t="inlineStr">
        <is>
          <t>Übergabedruck</t>
        </is>
      </c>
      <c r="C46" s="90" t="n"/>
      <c r="D46" s="91" t="n"/>
      <c r="E46" s="78" t="inlineStr">
        <is>
          <t>p_S2</t>
        </is>
      </c>
      <c r="F46" s="4" t="n">
        <v>30</v>
      </c>
      <c r="G46" s="78" t="inlineStr">
        <is>
          <t>bar</t>
        </is>
      </c>
      <c r="H46" s="78" t="inlineStr">
        <is>
          <t>Annahme aus Vorarbeit; alte Tabelle nennt Q-040 (ISO 27913) – dort noch nicht ausgewertet, zu prüfen</t>
        </is>
      </c>
      <c r="I46" s="90" t="n"/>
      <c r="J46" s="90" t="n"/>
      <c r="K46" s="90" t="n"/>
      <c r="L46" s="91" t="n"/>
      <c r="M46" s="5" t="n">
        <v>30</v>
      </c>
      <c r="N46" s="78">
        <f>IF(ABS(F46-M46)&lt;0.000000001,"✔ passt","⚠ geändert – neu rechnen")</f>
        <v/>
      </c>
      <c r="O46" s="91" t="n"/>
    </row>
    <row r="47">
      <c r="B47" s="78" t="inlineStr">
        <is>
          <t>Übergabetemperatur</t>
        </is>
      </c>
      <c r="C47" s="90" t="n"/>
      <c r="D47" s="91" t="n"/>
      <c r="E47" s="78" t="inlineStr">
        <is>
          <t>T_S2</t>
        </is>
      </c>
      <c r="F47" s="4" t="n">
        <v>15</v>
      </c>
      <c r="G47" s="78" t="inlineStr">
        <is>
          <t>°C</t>
        </is>
      </c>
      <c r="H47" s="78" t="inlineStr">
        <is>
          <t>Annahme: Medientemperatur</t>
        </is>
      </c>
      <c r="I47" s="90" t="n"/>
      <c r="J47" s="90" t="n"/>
      <c r="K47" s="90" t="n"/>
      <c r="L47" s="91" t="n"/>
      <c r="M47" s="5" t="n">
        <v>15</v>
      </c>
      <c r="N47" s="78">
        <f>IF(ABS(F47-M47)&lt;0.000000001,"✔ passt","⚠ geändert – neu rechnen")</f>
        <v/>
      </c>
      <c r="O47" s="91" t="n"/>
    </row>
    <row r="48" ht="39" customHeight="1" s="72">
      <c r="B48" s="78" t="inlineStr">
        <is>
          <t>CO₂-Temperatur nach dem Zwischenkühler (S2)</t>
        </is>
      </c>
      <c r="C48" s="90" t="n"/>
      <c r="D48" s="91" t="n"/>
      <c r="E48" s="78" t="inlineStr">
        <is>
          <t>T_ZK</t>
        </is>
      </c>
      <c r="F48" s="4" t="n">
        <v>40</v>
      </c>
      <c r="G48" s="78" t="inlineStr">
        <is>
          <t>°C</t>
        </is>
      </c>
      <c r="H48" s="78" t="inlineStr">
        <is>
          <t>Q-017 S. 37 (Tab. 3): Soll-Kühltemperatur CO₂ 40 °C; Q-063 Kap. 5.1: CO₂ „no more than about 40 °C“, Kühlung zwischen den Stufen – Begründung: Blatt „Kühlung“</t>
        </is>
      </c>
      <c r="I48" s="90" t="n"/>
      <c r="J48" s="90" t="n"/>
      <c r="K48" s="90" t="n"/>
      <c r="L48" s="91" t="n"/>
      <c r="M48" s="5" t="n">
        <v>40</v>
      </c>
      <c r="N48" s="78">
        <f>IF(ABS(F48-M48)&lt;0.000000001,"✔ passt","⚠ geändert – neu rechnen")</f>
        <v/>
      </c>
      <c r="O48" s="91" t="n"/>
    </row>
    <row r="49" ht="26.1" customHeight="1" s="72">
      <c r="B49" s="78" t="inlineStr">
        <is>
          <t>Max. Austrittstemperatur je Verdichterstufe</t>
        </is>
      </c>
      <c r="C49" s="90" t="n"/>
      <c r="D49" s="91" t="n"/>
      <c r="E49" s="78" t="inlineStr">
        <is>
          <t>T_max</t>
        </is>
      </c>
      <c r="F49" s="4" t="n">
        <v>95</v>
      </c>
      <c r="G49" s="78" t="inlineStr">
        <is>
          <t>°C</t>
        </is>
      </c>
      <c r="H49" s="78" t="inlineStr">
        <is>
          <t>Q-016 S. 4 (Kap. 2.3, dort Lit. [24]): höchstens 95 °C nach jeder Stufe → legt die Zahl der Stufen fest</t>
        </is>
      </c>
      <c r="I49" s="90" t="n"/>
      <c r="J49" s="90" t="n"/>
      <c r="K49" s="90" t="n"/>
      <c r="L49" s="91" t="n"/>
      <c r="M49" s="5" t="n">
        <v>95</v>
      </c>
      <c r="N49" s="78">
        <f>IF(ABS(F49-M49)&lt;0.000000001,"✔ passt","⚠ geändert – neu rechnen")</f>
        <v/>
      </c>
      <c r="O49" s="91" t="n"/>
    </row>
    <row r="50" ht="26.1" customHeight="1" s="72">
      <c r="B50" s="78" t="inlineStr">
        <is>
          <t>Druck nach Verdichtung = Kühldruck (S2)</t>
        </is>
      </c>
      <c r="C50" s="90" t="n"/>
      <c r="D50" s="91" t="n"/>
      <c r="E50" s="78" t="inlineStr">
        <is>
          <t>p_ük</t>
        </is>
      </c>
      <c r="F50" s="4" t="n">
        <v>91</v>
      </c>
      <c r="G50" s="78" t="inlineStr">
        <is>
          <t>bar</t>
        </is>
      </c>
      <c r="H50" s="78" t="inlineStr">
        <is>
          <t>über der Cricondenbar (82,2 bar) + 8,8 bar ≥ 3 bar Unsicherheit → Kühler ohne Phasenwechsel; = Übergabedruck S1 (gleicher Pumpeneintritt)</t>
        </is>
      </c>
      <c r="I50" s="90" t="n"/>
      <c r="J50" s="90" t="n"/>
      <c r="K50" s="90" t="n"/>
      <c r="L50" s="91" t="n"/>
      <c r="M50" s="5" t="n">
        <v>91</v>
      </c>
      <c r="N50" s="78">
        <f>IF(ABS(F50-M50)&lt;0.000000001,"✔ passt","⚠ geändert – neu rechnen")</f>
        <v/>
      </c>
      <c r="O50" s="91" t="n"/>
    </row>
    <row r="51" ht="39" customHeight="1" s="72">
      <c r="B51" s="78" t="inlineStr">
        <is>
          <t>Zwischendruck (S2)</t>
        </is>
      </c>
      <c r="C51" s="90" t="n"/>
      <c r="D51" s="91" t="n"/>
      <c r="E51" s="78" t="inlineStr">
        <is>
          <t>p_zw</t>
        </is>
      </c>
      <c r="F51" s="4" t="n">
        <v>55</v>
      </c>
      <c r="G51" s="78" t="inlineStr">
        <is>
          <t>bar</t>
        </is>
      </c>
      <c r="H51" s="78" t="inlineStr">
        <is>
          <t>eigene Herleitung (Blatt „Kühlung“): höchster runder Druck mit Z ≥ 0,7 (Q-017 S. 44) am Eintritt Stufe 2 bei 40 °C für rein und Gemisch; beide Stufen &lt; 95 °C</t>
        </is>
      </c>
      <c r="I51" s="90" t="n"/>
      <c r="J51" s="90" t="n"/>
      <c r="K51" s="90" t="n"/>
      <c r="L51" s="91" t="n"/>
      <c r="M51" s="5" t="n">
        <v>55</v>
      </c>
      <c r="N51" s="78">
        <f>IF(ABS(F51-M51)&lt;0.000000001,"✔ passt","⚠ geändert – neu rechnen")</f>
        <v/>
      </c>
      <c r="O51" s="91" t="n"/>
    </row>
    <row r="52">
      <c r="B52" s="77" t="inlineStr">
        <is>
          <t>Kaverne V1 – tief (Referenzkaverne; flache Kaverne entfällt)</t>
        </is>
      </c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  <c r="N52" s="90" t="n"/>
      <c r="O52" s="91" t="n"/>
    </row>
    <row r="53" ht="39" customHeight="1" s="72">
      <c r="B53" s="78" t="inlineStr">
        <is>
          <t>Teufe (LCCS)</t>
        </is>
      </c>
      <c r="C53" s="90" t="n"/>
      <c r="D53" s="91" t="n"/>
      <c r="E53" s="78" t="inlineStr">
        <is>
          <t>z</t>
        </is>
      </c>
      <c r="F53" s="14" t="n">
        <v>1200</v>
      </c>
      <c r="G53" s="78" t="inlineStr">
        <is>
          <t>m</t>
        </is>
      </c>
      <c r="H53" s="78" t="inlineStr">
        <is>
          <t>Q-030 Tab. 1, Option 2; abgestimmt mit M. Wall (Uniper). Flache Kaverne entfällt: Q-030 S. 17 (DBI: fast sofort Flüssigphase in Kaverne bzw. am Kopf), Besprechung K. Vosbeck 15.10.2026</t>
        </is>
      </c>
      <c r="I53" s="90" t="n"/>
      <c r="J53" s="90" t="n"/>
      <c r="K53" s="90" t="n"/>
      <c r="L53" s="91" t="n"/>
      <c r="M53" s="15" t="n">
        <v>1200</v>
      </c>
      <c r="N53" s="78">
        <f>IF(ABS(F53-M53)&lt;0.000000001,"✔ passt","⚠ geändert – neu rechnen")</f>
        <v/>
      </c>
      <c r="O53" s="91" t="n"/>
    </row>
    <row r="54">
      <c r="B54" s="78" t="inlineStr">
        <is>
          <t>Gebirgstemperatur an der Oberfläche</t>
        </is>
      </c>
      <c r="C54" s="90" t="n"/>
      <c r="D54" s="91" t="n"/>
      <c r="E54" s="78" t="inlineStr">
        <is>
          <t>T₀</t>
        </is>
      </c>
      <c r="F54" s="4" t="n">
        <v>10</v>
      </c>
      <c r="G54" s="78" t="inlineStr">
        <is>
          <t>°C</t>
        </is>
      </c>
      <c r="H54" s="78" t="inlineStr">
        <is>
          <t>Q-028 Kap. 3 (S. 5), Fig. 3: 10 °C an der Oberfläche</t>
        </is>
      </c>
      <c r="I54" s="90" t="n"/>
      <c r="J54" s="90" t="n"/>
      <c r="K54" s="90" t="n"/>
      <c r="L54" s="91" t="n"/>
      <c r="M54" s="5" t="n">
        <v>10</v>
      </c>
      <c r="N54" s="78">
        <f>IF(ABS(F54-M54)&lt;0.000000001,"✔ passt","⚠ geändert – neu rechnen")</f>
        <v/>
      </c>
      <c r="O54" s="91" t="n"/>
    </row>
    <row r="55">
      <c r="B55" s="78" t="inlineStr">
        <is>
          <t>Geothermischer Gradient</t>
        </is>
      </c>
      <c r="C55" s="90" t="n"/>
      <c r="D55" s="91" t="n"/>
      <c r="E55" s="78" t="inlineStr">
        <is>
          <t>grad T</t>
        </is>
      </c>
      <c r="F55" s="16" t="n">
        <v>0.03</v>
      </c>
      <c r="G55" s="78" t="inlineStr">
        <is>
          <t>K/m</t>
        </is>
      </c>
      <c r="H55" s="78" t="inlineStr">
        <is>
          <t>Q-028 Kap. 3 (S. 5), Fig. 3: 0,03 K/m</t>
        </is>
      </c>
      <c r="I55" s="90" t="n"/>
      <c r="J55" s="90" t="n"/>
      <c r="K55" s="90" t="n"/>
      <c r="L55" s="91" t="n"/>
      <c r="M55" s="17" t="n">
        <v>0.03</v>
      </c>
      <c r="N55" s="78">
        <f>IF(ABS(F55-M55)&lt;0.000000001,"✔ passt","⚠ geändert – neu rechnen")</f>
        <v/>
      </c>
      <c r="O55" s="91" t="n"/>
    </row>
    <row r="56">
      <c r="B56" s="78" t="inlineStr">
        <is>
          <t>Maximaldruck an der LCCS</t>
        </is>
      </c>
      <c r="C56" s="90" t="n"/>
      <c r="D56" s="91" t="n"/>
      <c r="E56" s="78" t="inlineStr">
        <is>
          <t>p_max</t>
        </is>
      </c>
      <c r="F56" s="4" t="n">
        <v>210</v>
      </c>
      <c r="G56" s="78" t="inlineStr">
        <is>
          <t>bar</t>
        </is>
      </c>
      <c r="H56" s="78" t="inlineStr">
        <is>
          <t>Zwischenwert aus Q-028 Tab. 1 (200 bar) und Q-030 Tab. 1, Opt. 2 (240 bar); Vorgabe M. Wall</t>
        </is>
      </c>
      <c r="I56" s="90" t="n"/>
      <c r="J56" s="90" t="n"/>
      <c r="K56" s="90" t="n"/>
      <c r="L56" s="91" t="n"/>
      <c r="M56" s="5" t="n">
        <v>210</v>
      </c>
      <c r="N56" s="78">
        <f>IF(ABS(F56-M56)&lt;0.000000001,"✔ passt","⚠ geändert – neu rechnen")</f>
        <v/>
      </c>
      <c r="O56" s="91" t="n"/>
    </row>
    <row r="57">
      <c r="B57" s="78" t="inlineStr">
        <is>
          <t>Minimaldruck an der LCCS</t>
        </is>
      </c>
      <c r="C57" s="90" t="n"/>
      <c r="D57" s="91" t="n"/>
      <c r="E57" s="78" t="inlineStr">
        <is>
          <t>p_min</t>
        </is>
      </c>
      <c r="F57" s="4" t="n">
        <v>70</v>
      </c>
      <c r="G57" s="78" t="inlineStr">
        <is>
          <t>bar</t>
        </is>
      </c>
      <c r="H57" s="78" t="inlineStr">
        <is>
          <t>Q-028 Tab. 1: geomechanisches Minimum</t>
        </is>
      </c>
      <c r="I57" s="90" t="n"/>
      <c r="J57" s="90" t="n"/>
      <c r="K57" s="90" t="n"/>
      <c r="L57" s="91" t="n"/>
      <c r="M57" s="5" t="n">
        <v>70</v>
      </c>
      <c r="N57" s="78">
        <f>IF(ABS(F57-M57)&lt;0.000000001,"✔ passt","⚠ geändert – neu rechnen")</f>
        <v/>
      </c>
      <c r="O57" s="91" t="n"/>
    </row>
    <row r="58">
      <c r="B58" s="78" t="inlineStr">
        <is>
          <t>Dichte Salzgestein</t>
        </is>
      </c>
      <c r="C58" s="90" t="n"/>
      <c r="D58" s="91" t="n"/>
      <c r="E58" s="78" t="inlineStr">
        <is>
          <t>ρ_Salz</t>
        </is>
      </c>
      <c r="F58" s="14" t="n">
        <v>2200</v>
      </c>
      <c r="G58" s="78" t="inlineStr">
        <is>
          <t>kg/m³</t>
        </is>
      </c>
      <c r="H58" s="78" t="inlineStr">
        <is>
          <t>Q-028; nur für den lithostatischen Druck (Formel unten)</t>
        </is>
      </c>
      <c r="I58" s="90" t="n"/>
      <c r="J58" s="90" t="n"/>
      <c r="K58" s="90" t="n"/>
      <c r="L58" s="91" t="n"/>
      <c r="M58" s="15" t="n">
        <v>2200</v>
      </c>
      <c r="N58" s="78">
        <f>IF(ABS(F58-M58)&lt;0.000000001,"✔ passt","⚠ geändert – neu rechnen")</f>
        <v/>
      </c>
      <c r="O58" s="91" t="n"/>
    </row>
    <row r="59" s="72">
      <c r="B59" s="77" t="inlineStr">
        <is>
          <t>Kühler vor der Pumpe (S2, 91 bar)</t>
        </is>
      </c>
      <c r="C59" s="90" t="n"/>
      <c r="D59" s="90" t="n"/>
      <c r="E59" s="90" t="n"/>
      <c r="F59" s="90" t="n"/>
      <c r="G59" s="90" t="n"/>
      <c r="H59" s="90" t="n"/>
      <c r="I59" s="90" t="n"/>
      <c r="J59" s="90" t="n"/>
      <c r="K59" s="90" t="n"/>
      <c r="L59" s="90" t="n"/>
      <c r="M59" s="90" t="n"/>
      <c r="N59" s="90" t="n"/>
      <c r="O59" s="91" t="n"/>
    </row>
    <row r="60" ht="26.1" customHeight="1" s="72">
      <c r="B60" s="78" t="inlineStr">
        <is>
          <t>Kühlwassertemperatur (Auslegung)</t>
        </is>
      </c>
      <c r="C60" s="90" t="n"/>
      <c r="D60" s="91" t="n"/>
      <c r="E60" s="78" t="inlineStr">
        <is>
          <t>T_KW</t>
        </is>
      </c>
      <c r="F60" s="4" t="n">
        <v>20</v>
      </c>
      <c r="G60" s="78" t="inlineStr">
        <is>
          <t>°C</t>
        </is>
      </c>
      <c r="H60" s="78" t="inlineStr">
        <is>
          <t>eigene Annahme – Standortwert, mit Hersteller/Standort zu bestätigen; 15 / 25 °C: Blatt „Kühlung“</t>
        </is>
      </c>
      <c r="I60" s="90" t="n"/>
      <c r="J60" s="90" t="n"/>
      <c r="K60" s="90" t="n"/>
      <c r="L60" s="91" t="n"/>
      <c r="M60" s="5" t="n">
        <v>20</v>
      </c>
      <c r="N60" s="78">
        <f>IF(ABS(F60-M60)&lt;0.000000001,"✔ passt","⚠ geändert – neu rechnen")</f>
        <v/>
      </c>
      <c r="O60" s="91" t="n"/>
    </row>
    <row r="61" ht="39" customHeight="1" s="72">
      <c r="B61" s="78" t="inlineStr">
        <is>
          <t>CO₂-Temperatur nach dem Kühler vor der Pumpe (S2)</t>
        </is>
      </c>
      <c r="C61" s="90" t="n"/>
      <c r="D61" s="91" t="n"/>
      <c r="E61" s="78" t="inlineStr">
        <is>
          <t>T_K</t>
        </is>
      </c>
      <c r="F61" s="6">
        <f>T_KW+6</f>
        <v/>
      </c>
      <c r="G61" s="78" t="inlineStr">
        <is>
          <t>°C</t>
        </is>
      </c>
      <c r="H61" s="78" t="inlineStr">
        <is>
          <t>T_K = T_KW + 6 K: CO₂ selten kälter als Kühlmittel + 6 K (Q-120 Folie 24); für Pumpen 27–32 °C oder kälter (Q-120 Folie 32) → Pumpeneintritt 660 kg/m³ – Blatt „Kühlung“</t>
        </is>
      </c>
      <c r="I61" s="90" t="n"/>
      <c r="J61" s="90" t="n"/>
      <c r="K61" s="90" t="n"/>
      <c r="L61" s="91" t="n"/>
      <c r="M61" s="5" t="n">
        <v>26</v>
      </c>
      <c r="N61" s="78">
        <f>IF(ABS(F61-M61)&lt;0.000000001,"✔ passt","⚠ geändert – neu rechnen")</f>
        <v/>
      </c>
      <c r="O61" s="91" t="n"/>
    </row>
    <row r="62">
      <c r="B62" s="77" t="inlineStr">
        <is>
          <t>Betrieb &amp; Maschinen</t>
        </is>
      </c>
      <c r="C62" s="90" t="n"/>
      <c r="D62" s="90" t="n"/>
      <c r="E62" s="90" t="n"/>
      <c r="F62" s="90" t="n"/>
      <c r="G62" s="90" t="n"/>
      <c r="H62" s="90" t="n"/>
      <c r="I62" s="90" t="n"/>
      <c r="J62" s="90" t="n"/>
      <c r="K62" s="90" t="n"/>
      <c r="L62" s="90" t="n"/>
      <c r="M62" s="90" t="n"/>
      <c r="N62" s="90" t="n"/>
      <c r="O62" s="91" t="n"/>
    </row>
    <row r="63">
      <c r="B63" s="78" t="inlineStr">
        <is>
          <t>Normvolumenstrom, unterer Fall</t>
        </is>
      </c>
      <c r="C63" s="90" t="n"/>
      <c r="D63" s="91" t="n"/>
      <c r="E63" s="78" t="inlineStr">
        <is>
          <t>V_n,min</t>
        </is>
      </c>
      <c r="F63" s="14" t="n">
        <v>50000</v>
      </c>
      <c r="G63" s="78" t="inlineStr">
        <is>
          <t>Nm³/h</t>
        </is>
      </c>
      <c r="H63" s="78" t="inlineStr">
        <is>
          <t>abgestimmt mit Martina Wall (Uniper)</t>
        </is>
      </c>
      <c r="I63" s="90" t="n"/>
      <c r="J63" s="90" t="n"/>
      <c r="K63" s="90" t="n"/>
      <c r="L63" s="91" t="n"/>
      <c r="M63" s="19" t="inlineStr">
        <is>
          <t>–</t>
        </is>
      </c>
      <c r="N63" s="78" t="inlineStr">
        <is>
          <t>rechnet live mit</t>
        </is>
      </c>
      <c r="O63" s="91" t="n"/>
    </row>
    <row r="64">
      <c r="B64" s="78" t="inlineStr">
        <is>
          <t>Normvolumenstrom, oberer Fall</t>
        </is>
      </c>
      <c r="C64" s="90" t="n"/>
      <c r="D64" s="91" t="n"/>
      <c r="E64" s="78" t="inlineStr">
        <is>
          <t>V_n,max</t>
        </is>
      </c>
      <c r="F64" s="14" t="n">
        <v>100000</v>
      </c>
      <c r="G64" s="78" t="inlineStr">
        <is>
          <t>Nm³/h</t>
        </is>
      </c>
      <c r="H64" s="78" t="inlineStr">
        <is>
          <t>abgestimmt mit Martina Wall (Uniper)</t>
        </is>
      </c>
      <c r="I64" s="90" t="n"/>
      <c r="J64" s="90" t="n"/>
      <c r="K64" s="90" t="n"/>
      <c r="L64" s="91" t="n"/>
      <c r="M64" s="19" t="inlineStr">
        <is>
          <t>–</t>
        </is>
      </c>
      <c r="N64" s="78" t="inlineStr">
        <is>
          <t>rechnet live mit</t>
        </is>
      </c>
      <c r="O64" s="91" t="n"/>
    </row>
    <row r="65" ht="26.1" customHeight="1" s="72">
      <c r="B65" s="78" t="inlineStr">
        <is>
          <t>Isentroper Wirkungsgrad Verdichter 1. Stufe (S2)</t>
        </is>
      </c>
      <c r="C65" s="90" t="n"/>
      <c r="D65" s="91" t="n"/>
      <c r="E65" s="78" t="inlineStr">
        <is>
          <t>η_V1</t>
        </is>
      </c>
      <c r="F65" s="16" t="n">
        <v>0.84</v>
      </c>
      <c r="G65" s="78" t="inlineStr">
        <is>
          <t>–</t>
        </is>
      </c>
      <c r="H65" s="78" t="inlineStr">
        <is>
          <t>Q-016 S. 4 (Kap. 2.3): 84 % in der ersten Stufe</t>
        </is>
      </c>
      <c r="I65" s="90" t="n"/>
      <c r="J65" s="90" t="n"/>
      <c r="K65" s="90" t="n"/>
      <c r="L65" s="91" t="n"/>
      <c r="M65" s="17" t="n">
        <v>0.84</v>
      </c>
      <c r="N65" s="78">
        <f>IF(ABS(F65-M65)&lt;0.000000001,"✔ passt","⚠ geändert – neu rechnen")</f>
        <v/>
      </c>
      <c r="O65" s="91" t="n"/>
    </row>
    <row r="66" ht="26.1" customHeight="1" s="72">
      <c r="B66" s="78" t="inlineStr">
        <is>
          <t>Isentroper Wirkungsgrad Verdichter 2. Stufe (S2)</t>
        </is>
      </c>
      <c r="C66" s="90" t="n"/>
      <c r="D66" s="91" t="n"/>
      <c r="E66" s="78" t="inlineStr">
        <is>
          <t>η_V2</t>
        </is>
      </c>
      <c r="F66" s="16" t="n">
        <v>0.82</v>
      </c>
      <c r="G66" s="78" t="inlineStr">
        <is>
          <t>–</t>
        </is>
      </c>
      <c r="H66" s="78" t="inlineStr">
        <is>
          <t>Q-016 S. 4 (Kap. 2.3): je weitere Stufe 2 % weniger → 82 %</t>
        </is>
      </c>
      <c r="I66" s="90" t="n"/>
      <c r="J66" s="90" t="n"/>
      <c r="K66" s="90" t="n"/>
      <c r="L66" s="91" t="n"/>
      <c r="M66" s="17" t="n">
        <v>0.82</v>
      </c>
      <c r="N66" s="78">
        <f>IF(ABS(F66-M66)&lt;0.000000001,"✔ passt","⚠ geändert – neu rechnen")</f>
        <v/>
      </c>
      <c r="O66" s="91" t="n"/>
    </row>
    <row r="67" ht="26.1" customHeight="1" s="72">
      <c r="B67" s="78" t="inlineStr">
        <is>
          <t>Isentroper Wirkungsgrad Pumpe (S1 und S2)</t>
        </is>
      </c>
      <c r="C67" s="90" t="n"/>
      <c r="D67" s="91" t="n"/>
      <c r="E67" s="78" t="inlineStr">
        <is>
          <t>η_P</t>
        </is>
      </c>
      <c r="F67" s="16" t="n">
        <v>0.8</v>
      </c>
      <c r="G67" s="78" t="inlineStr">
        <is>
          <t>–</t>
        </is>
      </c>
      <c r="H67" s="78" t="inlineStr">
        <is>
          <t>eigene Annahme – Lücke: Q-016 S. 4 nennt nur eine Glykolpumpe (70 %); Herstellerwert einholen (Messe Hamburg 20.–22.10.2026)</t>
        </is>
      </c>
      <c r="I67" s="90" t="n"/>
      <c r="J67" s="90" t="n"/>
      <c r="K67" s="90" t="n"/>
      <c r="L67" s="91" t="n"/>
      <c r="M67" s="17" t="n">
        <v>0.8</v>
      </c>
      <c r="N67" s="78">
        <f>IF(ABS(F67-M67)&lt;0.000000001,"✔ passt","⚠ geändert – neu rechnen")</f>
        <v/>
      </c>
      <c r="O67" s="91" t="n"/>
    </row>
    <row r="68" ht="39" customHeight="1" s="72">
      <c r="B68" s="78" t="inlineStr">
        <is>
          <t>Realgasfaktor am Verdichtereintritt mindestens (nur Verdichter, nicht Pumpe)</t>
        </is>
      </c>
      <c r="C68" s="90" t="n"/>
      <c r="D68" s="91" t="n"/>
      <c r="E68" s="78" t="inlineStr">
        <is>
          <t>Z_min</t>
        </is>
      </c>
      <c r="F68" s="16" t="n">
        <v>0.65</v>
      </c>
      <c r="G68" s="78" t="inlineStr">
        <is>
          <t>–</t>
        </is>
      </c>
      <c r="H68" s="78" t="inlineStr">
        <is>
          <t>Siemens Energy (E-Mail 08/2026): Grenze der Laufradberechnung &gt; 0,65; strenger Q-017 S. 37 (Tab. 3) / S. 44: Hersteller nennen 0,7 – mit 55 bar / 40 °C eingehalten (Gemisch 0,741, rein 0,715)</t>
        </is>
      </c>
      <c r="I68" s="90" t="n"/>
      <c r="J68" s="90" t="n"/>
      <c r="K68" s="90" t="n"/>
      <c r="L68" s="91" t="n"/>
      <c r="M68" s="17" t="inlineStr">
        <is>
          <t>–</t>
        </is>
      </c>
      <c r="N68" s="78" t="inlineStr">
        <is>
          <t>rechnet live mit</t>
        </is>
      </c>
      <c r="O68" s="91" t="n"/>
    </row>
    <row r="69" ht="26.1" customHeight="1" s="72">
      <c r="B69" s="78" t="inlineStr">
        <is>
          <t>Dichte am Pumpeneintritt mindestens</t>
        </is>
      </c>
      <c r="C69" s="90" t="n"/>
      <c r="D69" s="91" t="n"/>
      <c r="E69" s="78" t="inlineStr">
        <is>
          <t>ρ_min</t>
        </is>
      </c>
      <c r="F69" s="59" t="n">
        <v>500</v>
      </c>
      <c r="G69" s="78" t="inlineStr">
        <is>
          <t>kg/m³</t>
        </is>
      </c>
      <c r="H69" s="78" t="inlineStr">
        <is>
          <t>Q-121 S. 2: Einsatzgrenze CO₂-Pumpen 400–500 kg/m³; Q-001 Kap. 5.2: Pumpen ab ca. 500 kg/m³</t>
        </is>
      </c>
      <c r="I69" s="90" t="n"/>
      <c r="J69" s="90" t="n"/>
      <c r="K69" s="90" t="n"/>
      <c r="L69" s="91" t="n"/>
      <c r="M69" s="17" t="inlineStr">
        <is>
          <t>–</t>
        </is>
      </c>
      <c r="N69" s="78" t="inlineStr">
        <is>
          <t>rechnet live mit</t>
        </is>
      </c>
      <c r="O69" s="91" t="n"/>
    </row>
    <row r="70"/>
    <row r="71" ht="26.1" customHeight="1" s="72">
      <c r="B71" s="77" t="inlineStr">
        <is>
          <t>Abgeleitete Größen Kaverne V1 (Excel-Formeln, rechnen mit)</t>
        </is>
      </c>
      <c r="C71" s="90" t="n"/>
      <c r="D71" s="90" t="n"/>
      <c r="E71" s="90" t="n"/>
      <c r="F71" s="90" t="n"/>
      <c r="G71" s="90" t="n"/>
      <c r="H71" s="90" t="n"/>
      <c r="I71" s="90" t="n"/>
      <c r="J71" s="90" t="n"/>
      <c r="K71" s="90" t="n"/>
      <c r="L71" s="90" t="n"/>
      <c r="M71" s="90" t="n"/>
      <c r="N71" s="90" t="n"/>
      <c r="O71" s="91" t="n"/>
    </row>
    <row r="72" ht="26.1" customHeight="1" s="72">
      <c r="B72" s="78" t="inlineStr">
        <is>
          <t>Kavernentemperatur (Gebirge, Stillstand)</t>
        </is>
      </c>
      <c r="C72" s="90" t="n"/>
      <c r="D72" s="91" t="n"/>
      <c r="E72" s="78" t="inlineStr">
        <is>
          <t>T_Kav</t>
        </is>
      </c>
      <c r="F72" s="6">
        <f>Tober_V1+grad_V1*z_V1</f>
        <v/>
      </c>
      <c r="G72" s="78" t="inlineStr">
        <is>
          <t>°C</t>
        </is>
      </c>
      <c r="H72" s="78" t="inlineStr">
        <is>
          <t>T_Kav = T₀ + grad T · z</t>
        </is>
      </c>
      <c r="I72" s="90" t="n"/>
      <c r="J72" s="90" t="n"/>
      <c r="K72" s="90" t="n"/>
      <c r="L72" s="90" t="n"/>
      <c r="M72" s="90" t="n"/>
      <c r="N72" s="90" t="n"/>
      <c r="O72" s="91" t="n"/>
    </row>
    <row r="73">
      <c r="B73" s="78" t="inlineStr">
        <is>
          <t>Lithostatischer Gebirgsdruck</t>
        </is>
      </c>
      <c r="C73" s="90" t="n"/>
      <c r="D73" s="91" t="n"/>
      <c r="E73" s="78" t="inlineStr">
        <is>
          <t>p_lith</t>
        </is>
      </c>
      <c r="F73" s="6">
        <f>rhoSalz_V1*9.81*z_V1/100000</f>
        <v/>
      </c>
      <c r="G73" s="78" t="inlineStr">
        <is>
          <t>bar</t>
        </is>
      </c>
      <c r="H73" s="78" t="inlineStr">
        <is>
          <t>p_lith = ρ_Salz · g · z</t>
        </is>
      </c>
      <c r="I73" s="90" t="n"/>
      <c r="J73" s="90" t="n"/>
      <c r="K73" s="90" t="n"/>
      <c r="L73" s="90" t="n"/>
      <c r="M73" s="90" t="n"/>
      <c r="N73" s="90" t="n"/>
      <c r="O73" s="91" t="n"/>
    </row>
    <row r="74">
      <c r="B74" s="78" t="inlineStr">
        <is>
          <t>p_max im Verhältnis zu p_lith</t>
        </is>
      </c>
      <c r="C74" s="90" t="n"/>
      <c r="D74" s="91" t="n"/>
      <c r="E74" s="78" t="inlineStr">
        <is>
          <t>p_max/p_lith</t>
        </is>
      </c>
      <c r="F74" s="20">
        <f>pmax_V1/p_lith_V1</f>
        <v/>
      </c>
      <c r="G74" s="78" t="inlineStr">
        <is>
          <t>–</t>
        </is>
      </c>
      <c r="H74" s="78" t="inlineStr">
        <is>
          <t>eigene Auslegung ca. 80 % von p_lith (alte Annahmentabelle nennt Q-038 mit 85 % – dort nicht belegt, zu prüfen)</t>
        </is>
      </c>
      <c r="I74" s="90" t="n"/>
      <c r="J74" s="90" t="n"/>
      <c r="K74" s="90" t="n"/>
      <c r="L74" s="90" t="n"/>
      <c r="M74" s="90" t="n"/>
      <c r="N74" s="90" t="n"/>
      <c r="O74" s="91" t="n"/>
    </row>
    <row r="75"/>
    <row r="76" ht="15.75" customHeight="1" s="72">
      <c r="B76" s="73" t="inlineStr">
        <is>
          <t>Kernergebnisse auf einen Blick</t>
        </is>
      </c>
    </row>
    <row r="77" ht="26.1" customHeight="1" s="72">
      <c r="B77" s="78" t="inlineStr">
        <is>
          <t>Bohrlochkopfdruck im Stillstand (Kaverne voll, 210 bar unten)</t>
        </is>
      </c>
      <c r="C77" s="90" t="n"/>
      <c r="D77" s="91" t="n"/>
      <c r="E77" s="78" t="inlineStr"/>
      <c r="F77" s="7">
        <f>Kopf_voll</f>
        <v/>
      </c>
      <c r="G77" s="78" t="inlineStr">
        <is>
          <t>bar</t>
        </is>
      </c>
      <c r="H77" s="78" t="inlineStr">
        <is>
          <t>ruhende Säule mit Gebirgstemperatur – Blatt „Kaverne &amp; Gassäule“; die Pumpe wird auf den Betrieb ausgelegt (Zeilen 88–89)</t>
        </is>
      </c>
      <c r="I77" s="90" t="n"/>
      <c r="J77" s="90" t="n"/>
      <c r="K77" s="90" t="n"/>
      <c r="L77" s="90" t="n"/>
      <c r="M77" s="90" t="n"/>
      <c r="N77" s="90" t="n"/>
      <c r="O77" s="91" t="n"/>
    </row>
    <row r="78" ht="26.1" customHeight="1" s="72">
      <c r="B78" s="78" t="inlineStr">
        <is>
          <t>Bohrlochkopfdruck bei leerer Kaverne (70 bar unten)</t>
        </is>
      </c>
      <c r="C78" s="90" t="n"/>
      <c r="D78" s="91" t="n"/>
      <c r="E78" s="78" t="inlineStr"/>
      <c r="F78" s="7">
        <f>Kopf_leer</f>
        <v/>
      </c>
      <c r="G78" s="78" t="inlineStr">
        <is>
          <t>bar</t>
        </is>
      </c>
      <c r="H78" s="78" t="inlineStr">
        <is>
          <t>Gemisch: oberes Bohrloch 0–82 m zweiphasig (rein: 45,0 bar, 0–236 m)</t>
        </is>
      </c>
      <c r="I78" s="90" t="n"/>
      <c r="J78" s="90" t="n"/>
      <c r="K78" s="90" t="n"/>
      <c r="L78" s="90" t="n"/>
      <c r="M78" s="90" t="n"/>
      <c r="N78" s="90" t="n"/>
      <c r="O78" s="91" t="n"/>
    </row>
    <row r="79">
      <c r="B79" s="78" t="inlineStr">
        <is>
          <t>Säulengewinn bei voller Kaverne</t>
        </is>
      </c>
      <c r="C79" s="90" t="n"/>
      <c r="D79" s="91" t="n"/>
      <c r="E79" s="78" t="inlineStr"/>
      <c r="F79" s="7">
        <f>pmax_V1-Kopf_voll</f>
        <v/>
      </c>
      <c r="G79" s="78" t="inlineStr">
        <is>
          <t>bar</t>
        </is>
      </c>
      <c r="H79" s="78" t="inlineStr">
        <is>
          <t>diesen Druck liefert das Gewicht der CO₂-Säule „gratis“</t>
        </is>
      </c>
      <c r="I79" s="90" t="n"/>
      <c r="J79" s="90" t="n"/>
      <c r="K79" s="90" t="n"/>
      <c r="L79" s="90" t="n"/>
      <c r="M79" s="90" t="n"/>
      <c r="N79" s="90" t="n"/>
      <c r="O79" s="91" t="n"/>
    </row>
    <row r="80">
      <c r="B80" s="78" t="inlineStr">
        <is>
          <t>S1: spezifische Pumpenarbeit (Betrieb)</t>
        </is>
      </c>
      <c r="C80" s="90" t="n"/>
      <c r="D80" s="91" t="n"/>
      <c r="E80" s="78" t="inlineStr"/>
      <c r="F80" s="7">
        <f>Szen1_w</f>
        <v/>
      </c>
      <c r="G80" s="78" t="inlineStr">
        <is>
          <t>kJ/kg</t>
        </is>
      </c>
      <c r="H80" s="78" t="inlineStr">
        <is>
          <t>Blatt „Einspeicherung S1“</t>
        </is>
      </c>
      <c r="I80" s="90" t="n"/>
      <c r="J80" s="90" t="n"/>
      <c r="K80" s="90" t="n"/>
      <c r="L80" s="90" t="n"/>
      <c r="M80" s="90" t="n"/>
      <c r="N80" s="90" t="n"/>
      <c r="O80" s="91" t="n"/>
    </row>
    <row r="81">
      <c r="B81" s="78" t="inlineStr">
        <is>
          <t>S1: Pumpenleistung bei V_n,max</t>
        </is>
      </c>
      <c r="C81" s="90" t="n"/>
      <c r="D81" s="91" t="n"/>
      <c r="E81" s="78" t="inlineStr"/>
      <c r="F81" s="7">
        <f>Szen1_Pmax</f>
        <v/>
      </c>
      <c r="G81" s="78" t="inlineStr">
        <is>
          <t>kW</t>
        </is>
      </c>
      <c r="H81" s="78" t="inlineStr">
        <is>
          <t>bei 100.000 Nm³/h</t>
        </is>
      </c>
      <c r="I81" s="90" t="n"/>
      <c r="J81" s="90" t="n"/>
      <c r="K81" s="90" t="n"/>
      <c r="L81" s="90" t="n"/>
      <c r="M81" s="90" t="n"/>
      <c r="N81" s="90" t="n"/>
      <c r="O81" s="91" t="n"/>
    </row>
    <row r="82" ht="26.1" customHeight="1" s="72">
      <c r="B82" s="78" t="inlineStr">
        <is>
          <t>S2: spezifische Arbeit (2 Stufen, Zwischenkühler 40 °C, Kühler 91 bar / 26 °C, Pumpe)</t>
        </is>
      </c>
      <c r="C82" s="90" t="n"/>
      <c r="D82" s="91" t="n"/>
      <c r="E82" s="78" t="inlineStr"/>
      <c r="F82" s="7">
        <f>Szen2_w_ges</f>
        <v/>
      </c>
      <c r="G82" s="78" t="inlineStr">
        <is>
          <t>kJ/kg</t>
        </is>
      </c>
      <c r="H82" s="78" t="inlineStr">
        <is>
          <t>Blatt „Einspeicherung S2“</t>
        </is>
      </c>
      <c r="I82" s="90" t="n"/>
      <c r="J82" s="90" t="n"/>
      <c r="K82" s="90" t="n"/>
      <c r="L82" s="90" t="n"/>
      <c r="M82" s="90" t="n"/>
      <c r="N82" s="90" t="n"/>
      <c r="O82" s="91" t="n"/>
    </row>
    <row r="83">
      <c r="B83" s="78" t="inlineStr">
        <is>
          <t>S2: Antriebsleistung bei V_n,max</t>
        </is>
      </c>
      <c r="C83" s="90" t="n"/>
      <c r="D83" s="91" t="n"/>
      <c r="E83" s="78" t="inlineStr"/>
      <c r="F83" s="7">
        <f>Szen2_Pmax</f>
        <v/>
      </c>
      <c r="G83" s="78" t="inlineStr">
        <is>
          <t>kW</t>
        </is>
      </c>
      <c r="H83" s="78" t="inlineStr">
        <is>
          <t>bei 100.000 Nm³/h</t>
        </is>
      </c>
      <c r="I83" s="90" t="n"/>
      <c r="J83" s="90" t="n"/>
      <c r="K83" s="90" t="n"/>
      <c r="L83" s="90" t="n"/>
      <c r="M83" s="90" t="n"/>
      <c r="N83" s="90" t="n"/>
      <c r="O83" s="91" t="n"/>
    </row>
    <row r="84" ht="26.1" customHeight="1" s="72">
      <c r="B84" s="78" t="inlineStr">
        <is>
          <t>S2: Dichte am Pumpeneintritt (91 bar / 26 °C)</t>
        </is>
      </c>
      <c r="C84" s="90" t="n"/>
      <c r="D84" s="91" t="n"/>
      <c r="E84" s="78" t="inlineStr"/>
      <c r="F84" s="7">
        <f>Szen2_rhoP</f>
        <v/>
      </c>
      <c r="G84" s="78" t="inlineStr">
        <is>
          <t>kg/m³</t>
        </is>
      </c>
      <c r="H84" s="78" t="inlineStr">
        <is>
          <t>über der Cricondenbar – einphasig dicht, keine Gasblasen an der Pumpe</t>
        </is>
      </c>
      <c r="I84" s="90" t="n"/>
      <c r="J84" s="90" t="n"/>
      <c r="K84" s="90" t="n"/>
      <c r="L84" s="90" t="n"/>
      <c r="M84" s="90" t="n"/>
      <c r="N84" s="90" t="n"/>
      <c r="O84" s="91" t="n"/>
    </row>
    <row r="85" ht="26.1" customHeight="1" s="72">
      <c r="B85" s="78" t="inlineStr">
        <is>
          <t>Vergleich: Durchverdichten (C), spezifische Arbeit</t>
        </is>
      </c>
      <c r="C85" s="90" t="n"/>
      <c r="D85" s="91" t="n"/>
      <c r="E85" s="78" t="inlineStr"/>
      <c r="F85" s="7">
        <f>Vgl_C_w</f>
        <v/>
      </c>
      <c r="G85" s="78" t="inlineStr">
        <is>
          <t>kJ/kg</t>
        </is>
      </c>
      <c r="H85" s="78">
        <f>"Durchverdichten bräuchte "&amp;TEXT(Vgl_C_w/Szen2_w_ges-1,"0%")&amp;" mehr Arbeit, Stufe 2 läge bei 104,2 °C (über 95 °C) – Blatt „Einspeicherung S2“"</f>
        <v/>
      </c>
      <c r="I85" s="90" t="n"/>
      <c r="J85" s="90" t="n"/>
      <c r="K85" s="90" t="n"/>
      <c r="L85" s="90" t="n"/>
      <c r="M85" s="90" t="n"/>
      <c r="N85" s="90" t="n"/>
      <c r="O85" s="91" t="n"/>
    </row>
    <row r="86" ht="26.1" customHeight="1" s="72">
      <c r="B86" s="78" t="inlineStr">
        <is>
          <t>Kopfdruck Erdgas (CH₄) bei gleicher Kaverne</t>
        </is>
      </c>
      <c r="C86" s="90" t="n"/>
      <c r="D86" s="91" t="n"/>
      <c r="E86" s="78" t="inlineStr"/>
      <c r="F86" s="7">
        <f>MV_Kopf_CH4</f>
        <v/>
      </c>
      <c r="G86" s="78" t="inlineStr">
        <is>
          <t>bar</t>
        </is>
      </c>
      <c r="H86" s="78" t="inlineStr">
        <is>
          <t>Blatt „Medienvergleich“</t>
        </is>
      </c>
      <c r="I86" s="90" t="n"/>
      <c r="J86" s="90" t="n"/>
      <c r="K86" s="90" t="n"/>
      <c r="L86" s="90" t="n"/>
      <c r="M86" s="90" t="n"/>
      <c r="N86" s="90" t="n"/>
      <c r="O86" s="91" t="n"/>
    </row>
    <row r="87" ht="26.1" customHeight="1" s="72">
      <c r="B87" s="78" t="inlineStr">
        <is>
          <t>Kopfdruck Wasserstoff (H₂) bei gleicher Kaverne</t>
        </is>
      </c>
      <c r="C87" s="90" t="n"/>
      <c r="D87" s="91" t="n"/>
      <c r="E87" s="78" t="inlineStr"/>
      <c r="F87" s="7">
        <f>MV_Kopf_H2</f>
        <v/>
      </c>
      <c r="G87" s="78" t="inlineStr">
        <is>
          <t>bar</t>
        </is>
      </c>
      <c r="H87" s="78" t="inlineStr">
        <is>
          <t>Blatt „Medienvergleich“</t>
        </is>
      </c>
      <c r="I87" s="90" t="n"/>
      <c r="J87" s="90" t="n"/>
      <c r="K87" s="90" t="n"/>
      <c r="L87" s="90" t="n"/>
      <c r="M87" s="90" t="n"/>
      <c r="N87" s="90" t="n"/>
      <c r="O87" s="91" t="n"/>
    </row>
    <row r="88" ht="26.1" customHeight="1" s="72">
      <c r="B88" s="78" t="inlineStr">
        <is>
          <t>Zieldruck der Pumpe im Betrieb S1 (100.000 Nm³/h)</t>
        </is>
      </c>
      <c r="C88" s="90" t="n"/>
      <c r="D88" s="91" t="n"/>
      <c r="E88" s="78" t="inlineStr"/>
      <c r="F88" s="7">
        <f>Kopf_betr_S1</f>
        <v/>
      </c>
      <c r="G88" s="78" t="inlineStr">
        <is>
          <t>bar</t>
        </is>
      </c>
      <c r="H88" s="78" t="inlineStr">
        <is>
          <t>strömende Säule, Kopf 18,3 °C, Reibung 1,7 bar – Blatt „Kaverne &amp; Gassäule“ (Betrieb)</t>
        </is>
      </c>
      <c r="I88" s="90" t="n"/>
      <c r="J88" s="90" t="n"/>
      <c r="K88" s="90" t="n"/>
      <c r="L88" s="90" t="n"/>
      <c r="M88" s="90" t="n"/>
      <c r="N88" s="90" t="n"/>
      <c r="O88" s="91" t="n"/>
    </row>
    <row r="89" ht="26.1" customHeight="1" s="72">
      <c r="B89" s="78" t="inlineStr">
        <is>
          <t>Zieldruck der Pumpe im Betrieb S2 (100.000 Nm³/h)</t>
        </is>
      </c>
      <c r="C89" s="90" t="n"/>
      <c r="D89" s="91" t="n"/>
      <c r="E89" s="78" t="inlineStr"/>
      <c r="F89" s="7">
        <f>Kopf_betr_S2</f>
        <v/>
      </c>
      <c r="G89" s="78" t="inlineStr">
        <is>
          <t>bar</t>
        </is>
      </c>
      <c r="H89" s="78" t="inlineStr">
        <is>
          <t>Pumpe liefert 34,4 °C → leichtere Säule, Reibung 1,9 bar – Blatt „Kaverne &amp; Gassäule“</t>
        </is>
      </c>
      <c r="I89" s="90" t="n"/>
      <c r="J89" s="90" t="n"/>
      <c r="K89" s="90" t="n"/>
      <c r="L89" s="90" t="n"/>
      <c r="M89" s="90" t="n"/>
      <c r="N89" s="90" t="n"/>
      <c r="O89" s="91" t="n"/>
    </row>
    <row r="90" ht="26.1" customHeight="1" s="72">
      <c r="B90" s="78" t="inlineStr">
        <is>
          <t>S2: höchste Verdichteraustrittstemperatur (Stufe 2)</t>
        </is>
      </c>
      <c r="C90" s="90" t="n"/>
      <c r="D90" s="91" t="n"/>
      <c r="E90" s="78" t="inlineStr"/>
      <c r="F90" s="7">
        <f>Szen2_T2a</f>
        <v/>
      </c>
      <c r="G90" s="78" t="inlineStr">
        <is>
          <t>°C</t>
        </is>
      </c>
      <c r="H90" s="78" t="inlineStr">
        <is>
          <t>Grenze 95 °C (Q-016 S. 4) – Blatt „Einspeicherung S2“</t>
        </is>
      </c>
      <c r="I90" s="90" t="n"/>
      <c r="J90" s="90" t="n"/>
      <c r="K90" s="90" t="n"/>
      <c r="L90" s="90" t="n"/>
      <c r="M90" s="90" t="n"/>
      <c r="N90" s="90" t="n"/>
      <c r="O90" s="91" t="n"/>
    </row>
  </sheetData>
  <mergeCells count="143">
    <mergeCell ref="B60:D60"/>
    <mergeCell ref="H43:L43"/>
    <mergeCell ref="B57:D57"/>
    <mergeCell ref="H78:O78"/>
    <mergeCell ref="H54:L54"/>
    <mergeCell ref="N66:O66"/>
    <mergeCell ref="B53:D53"/>
    <mergeCell ref="B44:D44"/>
    <mergeCell ref="H41:L41"/>
    <mergeCell ref="N53:O53"/>
    <mergeCell ref="H56:L56"/>
    <mergeCell ref="H68:L68"/>
    <mergeCell ref="N68:O68"/>
    <mergeCell ref="N46:O46"/>
    <mergeCell ref="B84:D84"/>
    <mergeCell ref="H73:O73"/>
    <mergeCell ref="H49:L49"/>
    <mergeCell ref="N61:O61"/>
    <mergeCell ref="B20:D20"/>
    <mergeCell ref="N48:O48"/>
    <mergeCell ref="B80:D80"/>
    <mergeCell ref="H69:L69"/>
    <mergeCell ref="H66:L66"/>
    <mergeCell ref="B37:O37"/>
    <mergeCell ref="B54:D54"/>
    <mergeCell ref="B72:D72"/>
    <mergeCell ref="J5:O5"/>
    <mergeCell ref="H77:O77"/>
    <mergeCell ref="H48:L48"/>
    <mergeCell ref="B56:D56"/>
    <mergeCell ref="K10:O10"/>
    <mergeCell ref="B43:D43"/>
    <mergeCell ref="N65:O65"/>
    <mergeCell ref="N63:O63"/>
    <mergeCell ref="N50:O50"/>
    <mergeCell ref="B73:D73"/>
    <mergeCell ref="B17:D17"/>
    <mergeCell ref="B88:D88"/>
    <mergeCell ref="K9:O9"/>
    <mergeCell ref="B82:D82"/>
    <mergeCell ref="H44:L44"/>
    <mergeCell ref="N51:O51"/>
    <mergeCell ref="E14:O14"/>
    <mergeCell ref="B6:H10"/>
    <mergeCell ref="H58:L58"/>
    <mergeCell ref="B71:O71"/>
    <mergeCell ref="B19:D19"/>
    <mergeCell ref="B52:O52"/>
    <mergeCell ref="H51:L51"/>
    <mergeCell ref="H60:L60"/>
    <mergeCell ref="B74:D74"/>
    <mergeCell ref="B68:D68"/>
    <mergeCell ref="B83:D83"/>
    <mergeCell ref="H89:O89"/>
    <mergeCell ref="B42:O42"/>
    <mergeCell ref="H79:O79"/>
    <mergeCell ref="H88:O88"/>
    <mergeCell ref="N44:O44"/>
    <mergeCell ref="N67:O67"/>
    <mergeCell ref="B85:D85"/>
    <mergeCell ref="K8:O8"/>
    <mergeCell ref="H72:O72"/>
    <mergeCell ref="H81:O81"/>
    <mergeCell ref="H90:O90"/>
    <mergeCell ref="H57:L57"/>
    <mergeCell ref="N69:O69"/>
    <mergeCell ref="B47:D47"/>
    <mergeCell ref="H87:O87"/>
    <mergeCell ref="K7:O7"/>
    <mergeCell ref="B46:D46"/>
    <mergeCell ref="E16:O16"/>
    <mergeCell ref="B76:O76"/>
    <mergeCell ref="B45:O45"/>
    <mergeCell ref="B39:D39"/>
    <mergeCell ref="N55:O55"/>
    <mergeCell ref="B48:D48"/>
    <mergeCell ref="E18:O18"/>
    <mergeCell ref="B14:D14"/>
    <mergeCell ref="H67:L67"/>
    <mergeCell ref="H82:O82"/>
    <mergeCell ref="B62:O62"/>
    <mergeCell ref="N54:O54"/>
    <mergeCell ref="B13:D13"/>
    <mergeCell ref="B59:O59"/>
    <mergeCell ref="N41:O41"/>
    <mergeCell ref="B78:D78"/>
    <mergeCell ref="B5:H5"/>
    <mergeCell ref="B87:D87"/>
    <mergeCell ref="E39:O39"/>
    <mergeCell ref="N56:O56"/>
    <mergeCell ref="H83:O83"/>
    <mergeCell ref="B21:O21"/>
    <mergeCell ref="N43:O43"/>
    <mergeCell ref="E20:O20"/>
    <mergeCell ref="B49:D49"/>
    <mergeCell ref="H64:L64"/>
    <mergeCell ref="H46:L46"/>
    <mergeCell ref="N58:O58"/>
    <mergeCell ref="B65:D65"/>
    <mergeCell ref="H85:O85"/>
    <mergeCell ref="E13:O13"/>
    <mergeCell ref="H61:L61"/>
    <mergeCell ref="B51:D51"/>
    <mergeCell ref="B63:D63"/>
    <mergeCell ref="B41:D41"/>
    <mergeCell ref="E15:O15"/>
    <mergeCell ref="B50:D50"/>
    <mergeCell ref="H65:L65"/>
    <mergeCell ref="H80:O80"/>
    <mergeCell ref="H47:L47"/>
    <mergeCell ref="N60:O60"/>
    <mergeCell ref="B66:D66"/>
    <mergeCell ref="B77:D77"/>
    <mergeCell ref="B86:D86"/>
    <mergeCell ref="H53:L53"/>
    <mergeCell ref="B67:D67"/>
    <mergeCell ref="B61:D61"/>
    <mergeCell ref="N47:O47"/>
    <mergeCell ref="H63:L63"/>
    <mergeCell ref="H50:L50"/>
    <mergeCell ref="H55:L55"/>
    <mergeCell ref="B69:D69"/>
    <mergeCell ref="E17:O17"/>
    <mergeCell ref="H74:O74"/>
    <mergeCell ref="E19:O19"/>
    <mergeCell ref="B15:D15"/>
    <mergeCell ref="B55:D55"/>
    <mergeCell ref="B64:D64"/>
    <mergeCell ref="B89:D89"/>
    <mergeCell ref="N64:O64"/>
    <mergeCell ref="B79:D79"/>
    <mergeCell ref="B38:O38"/>
    <mergeCell ref="B12:H12"/>
    <mergeCell ref="N57:O57"/>
    <mergeCell ref="H84:O84"/>
    <mergeCell ref="B16:D16"/>
    <mergeCell ref="B81:D81"/>
    <mergeCell ref="B90:D90"/>
    <mergeCell ref="H86:O86"/>
    <mergeCell ref="B58:D58"/>
    <mergeCell ref="B18:D18"/>
    <mergeCell ref="N49:O49"/>
    <mergeCell ref="K6:O6"/>
  </mergeCells>
  <conditionalFormatting sqref="E39:O39">
    <cfRule type="expression" priority="3" dxfId="23">
      <formula>NOT(Stand_ok)</formula>
    </cfRule>
    <cfRule type="expression" priority="4" dxfId="22">
      <formula>Stand_ok</formula>
    </cfRule>
  </conditionalFormatting>
  <conditionalFormatting sqref="N42:O69">
    <cfRule type="beginsWith" priority="1" operator="beginsWith" dxfId="23" text="⚠">
      <formula>LEFT(N42,1)="⚠"</formula>
    </cfRule>
    <cfRule type="beginsWith" priority="2" operator="beginsWith" dxfId="22" text="✔">
      <formula>LEFT(N42,1)="✔"</formula>
    </cfRule>
  </conditionalFormatting>
  <hyperlinks>
    <hyperlink ref="B13" location="'Kaverne &amp; Gassäule'!A1" display="→ Kaverne &amp; Gassäule"/>
    <hyperlink ref="B14" location="'Medienvergleich'!A1" display="→ Medienvergleich"/>
    <hyperlink ref="B15" location="'Einspeicherung S1'!A1" display="→ Einspeicherung S1"/>
    <hyperlink ref="B16" location="'Einspeicherung S2'!A1" display="→ Einspeicherung S2"/>
    <hyperlink ref="B17" location="'Phasendiagramm'!A1" display="→ Phasendiagramm"/>
    <hyperlink ref="B18" location="'Quellen'!A1" display="→ Quellen"/>
    <hyperlink ref="B19" location="'Diagrammdaten'!A1" display="→ Diagrammdaten"/>
    <hyperlink ref="B20" location="'Gemisch &amp; Grenzen'!A1" display="→ Gemisch &amp; Grenzen"/>
    <hyperlink ref="D35" location="'Annahmen &amp; Begründung'!A1" display="→ Annahmen &amp; Begründung"/>
    <hyperlink ref="G35" location="'Kühlung'!A1" display="→ Kühlung"/>
    <hyperlink ref="I35" location="'Massenströme'!A1" display="→ Massenströme"/>
  </hyperlinks>
  <pageMargins left="0.4" right="0.4" top="0.5" bottom="0.5" header="0.3" footer="0.3"/>
  <pageSetup orientation="landscape" paperSize="9" fitToHeight="0"/>
  <drawing r:id="rIdZeichnungOrig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CA220E"/>
    <outlinePr summaryBelow="1" summaryRight="1"/>
    <pageSetUpPr fitToPage="1"/>
  </sheetPr>
  <dimension ref="A1:AE47"/>
  <sheetViews>
    <sheetView showGridLines="0" tabSelected="0" topLeftCell="A6" zoomScale="70" zoomScaleNormal="70" workbookViewId="0">
      <selection activeCell="A1" sqref="A1"/>
    </sheetView>
  </sheetViews>
  <sheetFormatPr baseColWidth="10" defaultColWidth="9.140625" defaultRowHeight="15"/>
  <cols>
    <col width="2.7109375" customWidth="1" style="72" min="1" max="1"/>
    <col width="36.7109375" customWidth="1" style="72" min="2" max="2"/>
    <col width="14.7109375" customWidth="1" style="72" min="3" max="3"/>
    <col width="26.7109375" customWidth="1" style="72" min="4" max="5"/>
    <col width="30.7109375" customWidth="1" style="72" min="6" max="6"/>
    <col width="14.7109375" customWidth="1" style="72" min="7" max="9"/>
    <col width="44.7109375" customWidth="1" style="72" min="10" max="10"/>
  </cols>
  <sheetData>
    <row r="1" ht="30" customHeight="1" s="72">
      <c r="B1" s="1" t="inlineStr">
        <is>
          <t>Gemisch &amp; Grenzen – was die Begleitstoffe am Phasendiagramm ändern</t>
        </is>
      </c>
    </row>
    <row r="2">
      <c r="B2" s="2" t="inlineStr">
        <is>
          <t>Worst-Case-Gemisch Anlieferung · Stoffdaten CoolProp 8.0.0 (GERG-2008-Mischungsregel) · Vergleich mit der Mappe für reines CO₂ · rechts: Phasendiagramme reines CO₂ und Gemisch nebeneinander, darunter die Erklärung</t>
        </is>
      </c>
    </row>
    <row r="3">
      <c r="B3" s="71" t="inlineStr">
        <is>
          <t>← zur Übersicht</t>
        </is>
      </c>
    </row>
    <row r="4"/>
    <row r="5">
      <c r="B5" s="69" t="inlineStr">
        <is>
          <t>Kurz gesagt</t>
        </is>
      </c>
    </row>
    <row r="6" ht="48" customHeight="1" s="72">
      <c r="B6" s="70" t="inlineStr">
        <is>
          <t>Reines CO₂ hat eine Dampfdrucklinie: bei jeder Temperatur genau ein Druck, bei dem es siedet. Das Gemisch hat stattdessen ein Zweiphasengebiet zwischen Taulinie (erster Tropfen) und Blasenlinie (letzte Blase). Die leichtflüchtigen Begleitstoffe (vor allem H₂ und N₂) schieben die Blasenlinie nach oben – für „sicher flüssig“ braucht man mehr Druck. Weil die Phasengrenze eines Gemischs unsicherer ist als die von reinem CO₂, gilt ein Sicherheitsabstand von ±3 bar (Modellvergleich, Dokumentation Kap. 9).</t>
        </is>
      </c>
    </row>
    <row r="7"/>
    <row r="8">
      <c r="B8" s="69" t="inlineStr">
        <is>
          <t>Zusammensetzung (mol-%)</t>
        </is>
      </c>
      <c r="F8" s="69" t="inlineStr">
        <is>
          <t>Kennpunkte der Phasengrenze</t>
        </is>
      </c>
    </row>
    <row r="9">
      <c r="B9" s="75" t="inlineStr">
        <is>
          <t>Komponente</t>
        </is>
      </c>
      <c r="C9" s="75" t="inlineStr">
        <is>
          <t>mol-%</t>
        </is>
      </c>
      <c r="D9" s="75" t="inlineStr">
        <is>
          <t>Beleg</t>
        </is>
      </c>
      <c r="F9" s="75" t="inlineStr">
        <is>
          <t>Kennpunkt</t>
        </is>
      </c>
      <c r="G9" s="75" t="inlineStr">
        <is>
          <t>T [°C]</t>
        </is>
      </c>
      <c r="H9" s="75" t="inlineStr">
        <is>
          <t>p [bar]</t>
        </is>
      </c>
      <c r="I9" s="75" t="inlineStr">
        <is>
          <t>reines CO₂</t>
        </is>
      </c>
      <c r="J9" s="75" t="inlineStr">
        <is>
          <t>Bedeutung</t>
        </is>
      </c>
    </row>
    <row r="10">
      <c r="B10" s="78" t="inlineStr">
        <is>
          <t>CO₂</t>
        </is>
      </c>
      <c r="C10" s="4" t="n">
        <v>95</v>
      </c>
      <c r="D10" s="78" t="inlineStr">
        <is>
          <t>DIN EN 18397 / ISO 27913</t>
        </is>
      </c>
      <c r="F10" s="78" t="inlineStr">
        <is>
          <t>Kritischer Punkt</t>
        </is>
      </c>
      <c r="G10" s="5" t="n">
        <v>27.95472127453274</v>
      </c>
      <c r="H10" s="5" t="n">
        <v>81.45505572191325</v>
      </c>
      <c r="I10" s="78" t="inlineStr">
        <is>
          <t>31,0 °C / 73,8 bar</t>
        </is>
      </c>
      <c r="J10" s="78" t="inlineStr">
        <is>
          <t>Tau- und Blasenlinie treffen sich</t>
        </is>
      </c>
    </row>
    <row r="11">
      <c r="B11" s="78" t="inlineStr">
        <is>
          <t>N₂</t>
        </is>
      </c>
      <c r="C11" s="4" t="n">
        <v>2.4</v>
      </c>
      <c r="D11" s="78" t="inlineStr">
        <is>
          <t>Porthos-Grenzwert</t>
        </is>
      </c>
      <c r="F11" s="78" t="inlineStr">
        <is>
          <t>Cricondenbar</t>
        </is>
      </c>
      <c r="G11" s="5" t="n">
        <v>27.21311799338457</v>
      </c>
      <c r="H11" s="5" t="n">
        <v>82.17759431791859</v>
      </c>
      <c r="I11" s="78" t="inlineStr">
        <is>
          <t>= krit. Punkt</t>
        </is>
      </c>
      <c r="J11" s="78" t="inlineStr">
        <is>
          <t>darüber bei jeder Temperatur einphasig</t>
        </is>
      </c>
    </row>
    <row r="12">
      <c r="B12" s="78" t="inlineStr">
        <is>
          <t>Ar</t>
        </is>
      </c>
      <c r="C12" s="4" t="n">
        <v>1</v>
      </c>
      <c r="D12" s="78" t="inlineStr">
        <is>
          <t>ca. Oxyfuel-Zusammensetzung</t>
        </is>
      </c>
      <c r="F12" s="78" t="inlineStr">
        <is>
          <t>Cricondentherm</t>
        </is>
      </c>
      <c r="G12" s="5" t="n">
        <v>28.09332435011652</v>
      </c>
      <c r="H12" s="5" t="n">
        <v>80.89647376266871</v>
      </c>
      <c r="I12" s="78" t="inlineStr">
        <is>
          <t>= krit. Punkt</t>
        </is>
      </c>
      <c r="J12" s="78" t="inlineStr">
        <is>
          <t>darüber bei jedem Druck einphasig</t>
        </is>
      </c>
    </row>
    <row r="13">
      <c r="B13" s="78" t="inlineStr">
        <is>
          <t>CH₄</t>
        </is>
      </c>
      <c r="C13" s="4" t="n">
        <v>1</v>
      </c>
      <c r="D13" s="78" t="inlineStr">
        <is>
          <t>Porthos-Grenzwert</t>
        </is>
      </c>
    </row>
    <row r="14" ht="25.5" customHeight="1" s="72">
      <c r="B14" s="78" t="inlineStr">
        <is>
          <t>H₂</t>
        </is>
      </c>
      <c r="C14" s="4" t="n">
        <v>0.5</v>
      </c>
      <c r="D14" s="78" t="inlineStr">
        <is>
          <t>DIN EN 18397 / DVGW C 260</t>
        </is>
      </c>
      <c r="F14" s="78" t="inlineStr">
        <is>
          <t>Unsicherheit der Phasengrenze</t>
        </is>
      </c>
      <c r="G14" s="91" t="n"/>
      <c r="H14" s="4" t="n">
        <v>3</v>
      </c>
      <c r="I14" s="78" t="inlineStr">
        <is>
          <t>bar</t>
        </is>
      </c>
      <c r="J14" s="78" t="inlineStr">
        <is>
          <t>Dokumentation Kap. 9: Modellstreuung 1 bar + Modellfehler 1–3 %</t>
        </is>
      </c>
    </row>
    <row r="15">
      <c r="B15" s="78" t="inlineStr">
        <is>
          <t>CO</t>
        </is>
      </c>
      <c r="C15" s="4" t="n">
        <v>0.1</v>
      </c>
      <c r="D15" s="78" t="inlineStr">
        <is>
          <t>DIN EN 18397 (1000 ppm)</t>
        </is>
      </c>
      <c r="F15" s="78" t="inlineStr">
        <is>
          <t>Blasendruck bei T_K</t>
        </is>
      </c>
      <c r="G15" s="5" t="n">
        <v>26</v>
      </c>
      <c r="H15" s="5" t="n">
        <v>81.71622256867208</v>
      </c>
      <c r="I15" s="78" t="inlineStr">
        <is>
          <t>65,8 (p_sat)</t>
        </is>
      </c>
      <c r="J15" s="78" t="inlineStr">
        <is>
          <t>darüber vollständig flüssig</t>
        </is>
      </c>
    </row>
    <row r="16">
      <c r="B16" s="78" t="inlineStr">
        <is>
          <t>Σ Begleitstoffe</t>
        </is>
      </c>
      <c r="C16" s="6">
        <f>SUM(C11:C15)</f>
        <v/>
      </c>
      <c r="D16" s="78" t="inlineStr">
        <is>
          <t>= Grenze DIN EN 18397</t>
        </is>
      </c>
      <c r="F16" s="78" t="inlineStr">
        <is>
          <t>Taudruck bei T_K</t>
        </is>
      </c>
      <c r="G16" s="5" t="n">
        <v>26</v>
      </c>
      <c r="H16" s="5" t="n">
        <v>74.43508716358068</v>
      </c>
      <c r="I16" s="78" t="inlineStr">
        <is>
          <t>65,8 (p_sat)</t>
        </is>
      </c>
      <c r="J16" s="78" t="inlineStr">
        <is>
          <t>darunter vollständig gasförmig</t>
        </is>
      </c>
    </row>
    <row r="17"/>
    <row r="18">
      <c r="B18" s="69" t="inlineStr">
        <is>
          <t>Tau- und Blasendruck über der Temperatur</t>
        </is>
      </c>
    </row>
    <row r="19" ht="30" customHeight="1" s="72">
      <c r="B19" s="75" t="inlineStr">
        <is>
          <t>T [°C]</t>
        </is>
      </c>
      <c r="C19" s="75" t="inlineStr">
        <is>
          <t>p_sat reines CO₂ [bar]</t>
        </is>
      </c>
      <c r="D19" s="75" t="inlineStr">
        <is>
          <t>Taudruck Gemisch [bar]</t>
        </is>
      </c>
      <c r="E19" s="75" t="inlineStr">
        <is>
          <t>Blasendruck Gemisch [bar]</t>
        </is>
      </c>
      <c r="F19" s="75" t="inlineStr">
        <is>
          <t>sicher gasförmig unter [bar]</t>
        </is>
      </c>
      <c r="G19" s="75" t="inlineStr">
        <is>
          <t>sicher flüssig über [bar]</t>
        </is>
      </c>
    </row>
    <row r="20">
      <c r="B20" s="78" t="n">
        <v>-50</v>
      </c>
      <c r="C20" s="5" t="n">
        <v>6.823416147571979</v>
      </c>
      <c r="D20" s="5" t="n">
        <v>7.224509717848902</v>
      </c>
      <c r="E20" s="5" t="n">
        <v>48.12601028742477</v>
      </c>
      <c r="F20" s="6">
        <f>D20-U_PG</f>
        <v/>
      </c>
      <c r="G20" s="6">
        <f>E20+U_PG</f>
        <v/>
      </c>
    </row>
    <row r="21">
      <c r="B21" s="78" t="n">
        <v>-40</v>
      </c>
      <c r="C21" s="5" t="n">
        <v>10.04495728044085</v>
      </c>
      <c r="D21" s="5" t="n">
        <v>10.65706737848825</v>
      </c>
      <c r="E21" s="5" t="n">
        <v>46.01810420852315</v>
      </c>
      <c r="F21" s="6">
        <f>D21-U_PG</f>
        <v/>
      </c>
      <c r="G21" s="6">
        <f>E21+U_PG</f>
        <v/>
      </c>
    </row>
    <row r="22">
      <c r="B22" s="78" t="n">
        <v>-30</v>
      </c>
      <c r="C22" s="5" t="n">
        <v>14.27761692903131</v>
      </c>
      <c r="D22" s="5" t="n">
        <v>15.18669264994402</v>
      </c>
      <c r="E22" s="5" t="n">
        <v>46.4144439908132</v>
      </c>
      <c r="F22" s="6">
        <f>D22-U_PG</f>
        <v/>
      </c>
      <c r="G22" s="6">
        <f>E22+U_PG</f>
        <v/>
      </c>
    </row>
    <row r="23">
      <c r="B23" s="78" t="n">
        <v>-20</v>
      </c>
      <c r="C23" s="5" t="n">
        <v>19.6962800190207</v>
      </c>
      <c r="D23" s="5" t="n">
        <v>21.01938224733712</v>
      </c>
      <c r="E23" s="5" t="n">
        <v>48.90909459327573</v>
      </c>
      <c r="F23" s="6">
        <f>D23-U_PG</f>
        <v/>
      </c>
      <c r="G23" s="6">
        <f>E23+U_PG</f>
        <v/>
      </c>
    </row>
    <row r="24">
      <c r="B24" s="78" t="n">
        <v>-10</v>
      </c>
      <c r="C24" s="5" t="n">
        <v>26.48676670696087</v>
      </c>
      <c r="D24" s="5" t="n">
        <v>28.3878783195651</v>
      </c>
      <c r="E24" s="5" t="n">
        <v>53.31021190066248</v>
      </c>
      <c r="F24" s="6">
        <f>D24-U_PG</f>
        <v/>
      </c>
      <c r="G24" s="6">
        <f>E24+U_PG</f>
        <v/>
      </c>
    </row>
    <row r="25">
      <c r="B25" s="78" t="n">
        <v>0</v>
      </c>
      <c r="C25" s="5" t="n">
        <v>34.85140757663161</v>
      </c>
      <c r="D25" s="5" t="n">
        <v>37.57327699721018</v>
      </c>
      <c r="E25" s="5" t="n">
        <v>59.51839015111332</v>
      </c>
      <c r="F25" s="6">
        <f>D25-U_PG</f>
        <v/>
      </c>
      <c r="G25" s="6">
        <f>E25+U_PG</f>
        <v/>
      </c>
    </row>
    <row r="26">
      <c r="B26" s="78" t="n">
        <v>5</v>
      </c>
      <c r="C26" s="5" t="n">
        <v>39.69465254062399</v>
      </c>
      <c r="D26" s="5" t="n">
        <v>42.96101526063035</v>
      </c>
      <c r="E26" s="5" t="n">
        <v>63.27217632838896</v>
      </c>
      <c r="F26" s="6">
        <f>D26-U_PG</f>
        <v/>
      </c>
      <c r="G26" s="6">
        <f>E26+U_PG</f>
        <v/>
      </c>
    </row>
    <row r="27">
      <c r="B27" s="78" t="n">
        <v>10</v>
      </c>
      <c r="C27" s="5" t="n">
        <v>45.02182914107775</v>
      </c>
      <c r="D27" s="5" t="n">
        <v>48.96434432528986</v>
      </c>
      <c r="E27" s="5" t="n">
        <v>67.42873928872997</v>
      </c>
      <c r="F27" s="6">
        <f>D27-U_PG</f>
        <v/>
      </c>
      <c r="G27" s="6">
        <f>E27+U_PG</f>
        <v/>
      </c>
    </row>
    <row r="28">
      <c r="B28" s="78" t="n">
        <v>15</v>
      </c>
      <c r="C28" s="5" t="n">
        <v>50.87147357957962</v>
      </c>
      <c r="D28" s="5" t="n">
        <v>55.68374330669054</v>
      </c>
      <c r="E28" s="5" t="n">
        <v>71.93269628768455</v>
      </c>
      <c r="F28" s="6">
        <f>D28-U_PG</f>
        <v/>
      </c>
      <c r="G28" s="6">
        <f>E28+U_PG</f>
        <v/>
      </c>
    </row>
    <row r="29">
      <c r="B29" s="78" t="n">
        <v>20</v>
      </c>
      <c r="C29" s="5" t="n">
        <v>57.29052581475148</v>
      </c>
      <c r="D29" s="5" t="n">
        <v>63.37008769484278</v>
      </c>
      <c r="E29" s="5" t="n">
        <v>76.65085109900227</v>
      </c>
      <c r="F29" s="6">
        <f>D29-U_PG</f>
        <v/>
      </c>
      <c r="G29" s="6">
        <f>E29+U_PG</f>
        <v/>
      </c>
    </row>
    <row r="30">
      <c r="B30" s="78" t="n">
        <v>25</v>
      </c>
      <c r="C30" s="5" t="n">
        <v>64.3424425064042</v>
      </c>
      <c r="D30" s="5" t="n">
        <v>72.32522964253965</v>
      </c>
      <c r="E30" s="5" t="n">
        <v>81.05519586228384</v>
      </c>
      <c r="F30" s="6">
        <f>D30-U_PG</f>
        <v/>
      </c>
      <c r="G30" s="6">
        <f>E30+U_PG</f>
        <v/>
      </c>
    </row>
    <row r="31" ht="204.95" customHeight="1" s="72">
      <c r="B31" s="78" t="n">
        <v>27</v>
      </c>
      <c r="C31" s="5" t="n">
        <v>67.36148578184648</v>
      </c>
      <c r="D31" s="5" t="n">
        <v>76.81792288028635</v>
      </c>
      <c r="E31" s="5" t="n">
        <v>82.15258190613625</v>
      </c>
      <c r="F31" s="6">
        <f>D31-U_PG</f>
        <v/>
      </c>
      <c r="G31" s="6">
        <f>E31+U_PG</f>
        <v/>
      </c>
      <c r="L31" s="88" t="inlineStr">
        <is>
          <t>WARUM AUS DER LINIE EIN GEBIET WIRD – kurz erklärt
•  Reiner Stoff: Siedet eine Flüssigkeit, bleiben Druck und Temperatur fest verbunden (Gibbs'sche Phasenregel F = K − P + 2 = 1 − 2 + 2 = 1). Zu jeder Temperatur gehört genau ein Dampfdruck → Sättigungslinie. Verdampfen und Kondensieren passieren bei einer einzigen Temperatur.
•  Gemisch aus 6 Stoffen: F = 6 − 2 + 2 = 6 → Gas und Flüssigkeit können über einen Bereich von Druck und Temperatur nebeneinander bestehen. Aus der Linie wird ein Gebiet zwischen Taulinie (erster Tropfen) und Blasenlinie (letzte Blase).
•  Die Begleitstoffe sind „leicht“: ihre kritischen Temperaturen liegen weit unter 0 °C (H₂ −240 °C, N₂ −147 °C, CO −140 °C, Ar −122 °C, CH₄ −83 °C). Sie wollen gasförmig bleiben und lösen sich in flüssigem CO₂ nur unter höherem Druck → die Blasenlinie steigt: bei 20 °C von 57,3 bar (reines CO₂) auf 76,7 bar.
•  Die Taulinie liegt ebenfalls höher (63,4 bar bei 20 °C): das CO₂ kondensiert erst, wenn sein eigener Partialdruck (≈ 95 % des Gesamtdrucks) seinen Dampfdruck erreicht → Gesamtdruck ≈ 57,3 / 0,95 ≈ 60 bar (real etwas mehr).
•  Beim Abkühlen fällt zuerst fast reines CO₂ aus; die Gasphase reichert sich mit N₂ und H₂ an (bei 30 bar / −40 °C: 30 % N₂, 11 % H₂ in der Gasphase). Deshalb Temperaturgleit statt fester Kondensationstemperatur – bei 80 bar von 27,9 auf 23,7 °C.
•  Kalt öffnet sich das Gebiet weit: in kaltem flüssigem CO₂ lösen sich die leichten Gase kaum, der Blasendruck fällt nie unter 45,9 bar. Ein Gemisch lässt sich bei 30 bar nicht vollständig verflüssigen.
•  Der kritische Punkt wandert von 31,0 °C / 73,8 bar nach 28,0 °C / 81,5 bar; höchster Druck des Gebiets (Cricondenbar) 82,2 bar, höchste Temperatur (Cricondentherm) 28,1 °C. Darüber gibt es – wie beim reinen CO₂ über dem kritischen Punkt – keine Phasengrenze mehr.
•  FOLGE:  Grenzen, die bei reinem CO₂ an p_krit hängen, hängen beim Gemisch an der Cricondenbar + 3 bar Unsicherheit = 85,2 bar (S1-Übergabe, Pumpeneintritt, einphasiges Bohrloch). Die Tabellen links nennen die Zahlen, Dokumentation_S2_Gemisch.docx die Folgen für die Einspeicherkette.</t>
        </is>
      </c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  <c r="AE31" s="93" t="n"/>
    </row>
    <row r="32">
      <c r="B32" s="74" t="inlineStr">
        <is>
          <t>Unter −56,6 °C bildet sich Trockeneis (nicht im Modell). Oberhalb von 28,1 °C gibt es beim Gemisch kein Zweiphasengebiet mehr.</t>
        </is>
      </c>
    </row>
    <row r="33"/>
    <row r="34">
      <c r="B34" s="69" t="inlineStr">
        <is>
          <t>Neue Grenzen der Einspeicherung – wo sie sich ergeben</t>
        </is>
      </c>
    </row>
    <row r="35" ht="30" customHeight="1" s="72">
      <c r="B35" s="75" t="inlineStr">
        <is>
          <t>Grenze</t>
        </is>
      </c>
      <c r="C35" s="75" t="n"/>
      <c r="D35" s="75" t="inlineStr">
        <is>
          <t>reines CO₂</t>
        </is>
      </c>
      <c r="E35" s="75" t="inlineStr">
        <is>
          <t>Gemisch</t>
        </is>
      </c>
      <c r="F35" s="75" t="inlineStr">
        <is>
          <t>Folge für die Anlage</t>
        </is>
      </c>
      <c r="G35" s="75" t="inlineStr">
        <is>
          <t>Blatt</t>
        </is>
      </c>
    </row>
    <row r="36" ht="30" customHeight="1" s="72">
      <c r="B36" s="78" t="inlineStr">
        <is>
          <t>Mindestdruck dichte Anlieferung bei 15 °C</t>
        </is>
      </c>
      <c r="D36" s="78" t="inlineStr">
        <is>
          <t>50,9 bar</t>
        </is>
      </c>
      <c r="E36" s="78" t="inlineStr">
        <is>
          <t>71,9 + 3 bar</t>
        </is>
      </c>
      <c r="F36" s="78" t="inlineStr">
        <is>
          <t>S1 mit 91 bar sicher dicht (8,8 bar über der Cricondenbar)</t>
        </is>
      </c>
      <c r="G36" s="78" t="inlineStr">
        <is>
          <t>Einspeicherung S1</t>
        </is>
      </c>
    </row>
    <row r="37" ht="30" customHeight="1" s="72">
      <c r="B37" s="78" t="inlineStr">
        <is>
          <t>Druck für den Kühler (S2)</t>
        </is>
      </c>
      <c r="D37" s="78" t="inlineStr">
        <is>
          <t>91 bar (über p_krit 73,8 bar) – gleicher Weg</t>
        </is>
      </c>
      <c r="E37" s="78" t="inlineStr">
        <is>
          <t>91 bar (Cricondenbar 82,2 + 8,8)</t>
        </is>
      </c>
      <c r="F37" s="78" t="inlineStr">
        <is>
          <t>überkritisch kühlen: kein Verflüssiger, keine Kondensation</t>
        </is>
      </c>
      <c r="G37" s="78" t="inlineStr">
        <is>
          <t>Einspeicherung S2</t>
        </is>
      </c>
    </row>
    <row r="38" ht="30" customHeight="1" s="72">
      <c r="B38" s="78" t="inlineStr">
        <is>
          <t>Verdichtung 30 bar → Enddruck in einer Stufe</t>
        </is>
      </c>
      <c r="D38" s="78" t="inlineStr">
        <is>
          <t>111,8 °C ✘ (bis 91 bar)</t>
        </is>
      </c>
      <c r="E38" s="78" t="inlineStr">
        <is>
          <t>112,7 °C ✘ (bis 91 bar)</t>
        </is>
      </c>
      <c r="F38" s="78" t="inlineStr">
        <is>
          <t>zwei Verdichterstufen nötig: 30 → 55 → 91 bar (rein und Gemisch)</t>
        </is>
      </c>
      <c r="G38" s="78" t="inlineStr">
        <is>
          <t>Einspeicherung S2</t>
        </is>
      </c>
    </row>
    <row r="39" ht="30" customHeight="1" s="72">
      <c r="B39" s="78" t="inlineStr">
        <is>
          <t>Zwischenkühler 40 °C (S2)</t>
        </is>
      </c>
      <c r="D39" s="78" t="inlineStr">
        <is>
          <t>über T_krit (31,0 °C) – keine Kondensation</t>
        </is>
      </c>
      <c r="E39" s="78" t="inlineStr">
        <is>
          <t>über der Cricondentherm (28,1 °C) – keine Kondensation</t>
        </is>
      </c>
      <c r="F39" s="78" t="inlineStr">
        <is>
          <t>Zwischendruck frei wählbar → 55 bar: Z ≥ 0,7 (Q-017 S. 44), Stufe 2 84,7 °C ≤ 95 °C</t>
        </is>
      </c>
      <c r="G39" s="78" t="inlineStr">
        <is>
          <t>Kühlung</t>
        </is>
      </c>
    </row>
    <row r="40" ht="30" customHeight="1" s="72">
      <c r="B40" s="78" t="inlineStr">
        <is>
          <t>Kopfdruck bei voller Kaverne</t>
        </is>
      </c>
      <c r="D40" s="78" t="inlineStr">
        <is>
          <t>107,6 bar</t>
        </is>
      </c>
      <c r="E40" s="78" t="inlineStr">
        <is>
          <t>114,9 bar</t>
        </is>
      </c>
      <c r="F40" s="78" t="inlineStr">
        <is>
          <t>Stillstand; im Betrieb (100.000 Nm³/h): S1 114,3 / S2 127,3 bar (rein 105,4 / 114,6 bar)</t>
        </is>
      </c>
      <c r="G40" s="78" t="inlineStr">
        <is>
          <t>Kaverne &amp; Gassäule</t>
        </is>
      </c>
    </row>
    <row r="41" ht="30" customHeight="1" s="72">
      <c r="B41" s="78" t="inlineStr">
        <is>
          <t>Bohrloch ganz einphasig (Grenzfall)</t>
        </is>
      </c>
      <c r="D41" s="78" t="inlineStr">
        <is>
          <t>Kopf ≥ 73,8 bar (p_krit)</t>
        </is>
      </c>
      <c r="E41" s="78" t="inlineStr">
        <is>
          <t>Kopf ≥ 82,2 bar (Cricondenbar)</t>
        </is>
      </c>
      <c r="F41" s="78" t="inlineStr">
        <is>
          <t>Kavernendruck ab 171,2 bar (rein: 171,7 bar)</t>
        </is>
      </c>
      <c r="G41" s="78" t="inlineStr">
        <is>
          <t>Kaverne &amp; Gassäule</t>
        </is>
      </c>
    </row>
    <row r="42" ht="30" customHeight="1" s="72">
      <c r="B42" s="78" t="inlineStr">
        <is>
          <t>Leere Kaverne (70 bar unten)</t>
        </is>
      </c>
      <c r="D42" s="78" t="inlineStr">
        <is>
          <t>Kopf 45,0 bar, 0–236 m zweiphasig</t>
        </is>
      </c>
      <c r="E42" s="78" t="inlineStr">
        <is>
          <t>Kopf 50,7 bar, 0–82 m zweiphasig</t>
        </is>
      </c>
      <c r="F42" s="78" t="inlineStr">
        <is>
          <t>Zweiphasengebiet im oberen Bohrloch kleiner, aber vorhanden</t>
        </is>
      </c>
      <c r="G42" s="78" t="inlineStr">
        <is>
          <t>Kaverne &amp; Gassäule</t>
        </is>
      </c>
    </row>
    <row r="43" ht="39.95" customHeight="1" s="72">
      <c r="B43" s="78" t="inlineStr">
        <is>
          <t>Kritische Temperatur</t>
        </is>
      </c>
      <c r="D43" s="78" t="inlineStr">
        <is>
          <t>31,0 °C</t>
        </is>
      </c>
      <c r="E43" s="78" t="inlineStr">
        <is>
          <t>28,0 °C</t>
        </is>
      </c>
      <c r="F43" s="78" t="inlineStr">
        <is>
          <t>S2-Kühler liegt über der Cricondenbar – keine Kondensation nötig; Dichte ≥ 500 kg/m³ bis 32 °C</t>
        </is>
      </c>
      <c r="G43" s="78" t="inlineStr">
        <is>
          <t>Einspeicherung S2</t>
        </is>
      </c>
    </row>
    <row r="44" ht="30" customHeight="1" s="72">
      <c r="B44" s="78" t="inlineStr">
        <is>
          <t>Dichte am Kavernenboden (210 bar, 46 °C)</t>
        </is>
      </c>
      <c r="D44" s="78" t="inlineStr">
        <is>
          <t>817,6 kg/m³</t>
        </is>
      </c>
      <c r="E44" s="78" t="inlineStr">
        <is>
          <t>756,0 kg/m³</t>
        </is>
      </c>
      <c r="F44" s="78" t="inlineStr">
        <is>
          <t>-7.5 % Masse je m³ Kavernenvolumen</t>
        </is>
      </c>
      <c r="G44" s="78" t="inlineStr">
        <is>
          <t>Kaverne &amp; Gassäule</t>
        </is>
      </c>
    </row>
    <row r="45" ht="30" customHeight="1" s="72">
      <c r="B45" s="78" t="inlineStr">
        <is>
          <t>Kühlmittel für Verflüssigung (Pfad A)</t>
        </is>
      </c>
      <c r="D45" s="78" t="inlineStr">
        <is>
          <t>≤ 13,8 °C (60 bar)</t>
        </is>
      </c>
      <c r="E45" s="78" t="inlineStr">
        <is>
          <t>≤ 14,4 °C (80 bar)</t>
        </is>
      </c>
      <c r="F45" s="78" t="inlineStr">
        <is>
          <t>nur mit kaltem Kühlwasser oder Kältemaschine; Pfad B bis ca. 26 °C</t>
        </is>
      </c>
      <c r="G45" s="78" t="inlineStr">
        <is>
          <t>Doku S2</t>
        </is>
      </c>
    </row>
    <row r="46" ht="30" customHeight="1" s="72">
      <c r="B46" s="78" t="inlineStr">
        <is>
          <t>Verflüssigen bei 30 bar (tiefkalt)</t>
        </is>
      </c>
      <c r="D46" s="78" t="inlineStr">
        <is>
          <t>ab -5,6 °C flüssig</t>
        </is>
      </c>
      <c r="E46" s="78" t="inlineStr">
        <is>
          <t>nie vollständig (Blasendruck ≥ 45,9 bar)</t>
        </is>
      </c>
      <c r="F46" s="78" t="inlineStr">
        <is>
          <t>Niederdruck-Verflüssigung wie beim Schiffstransport scheidet aus</t>
        </is>
      </c>
      <c r="G46" s="78" t="inlineStr">
        <is>
          <t>Doku S2</t>
        </is>
      </c>
    </row>
    <row r="47" ht="30" customHeight="1" s="72">
      <c r="B47" s="78" t="inlineStr">
        <is>
          <t>Pumpeneintritt ohne Blasengefahr</t>
        </is>
      </c>
      <c r="D47" s="78" t="inlineStr">
        <is>
          <t>≥ 73,8 bar (p_krit)</t>
        </is>
      </c>
      <c r="E47" s="78" t="inlineStr">
        <is>
          <t>≥ 82,2 + 3 = 85,2 bar</t>
        </is>
      </c>
      <c r="F47" s="78" t="inlineStr">
        <is>
          <t>S1-Übergabe und S2-Kühler (je 91 bar) liegen darüber</t>
        </is>
      </c>
      <c r="G47" s="78" t="inlineStr">
        <is>
          <t>Einspeicherung S1/S2</t>
        </is>
      </c>
    </row>
  </sheetData>
  <mergeCells count="4">
    <mergeCell ref="L31:AE31"/>
    <mergeCell ref="B6:J6"/>
    <mergeCell ref="F14:G14"/>
    <mergeCell ref="B32:J32"/>
  </mergeCells>
  <hyperlinks>
    <hyperlink ref="B3" location="'Übersicht'!A1" display="← zur Übersicht"/>
  </hyperlinks>
  <pageMargins left="0.5" right="0.5" top="0.6" bottom="0.6" header="0.3" footer="0.3"/>
  <pageSetup orientation="landscape" paperSize="9" fitToHeight="0"/>
  <drawing r:id="rIdZeichnungOrig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1F4E79"/>
    <outlinePr summaryBelow="1" summaryRight="1"/>
    <pageSetUpPr fitToPage="1"/>
  </sheetPr>
  <dimension ref="A1:O99"/>
  <sheetViews>
    <sheetView showGridLines="0" tabSelected="0" topLeftCell="A19" zoomScale="85" zoomScaleNormal="85" workbookViewId="0">
      <selection activeCell="S32" sqref="S32"/>
    </sheetView>
  </sheetViews>
  <sheetFormatPr baseColWidth="10" defaultColWidth="9.140625" defaultRowHeight="15"/>
  <cols>
    <col width="2.7109375" customWidth="1" style="72" min="1" max="1"/>
    <col width="30.7109375" customWidth="1" style="72" min="2" max="2"/>
    <col width="12.7109375" customWidth="1" style="72" min="3" max="15"/>
    <col width="9.7109375" customWidth="1" style="72" min="16" max="31"/>
  </cols>
  <sheetData>
    <row r="1" ht="30" customHeight="1" s="72">
      <c r="B1" s="1" t="inlineStr">
        <is>
          <t>Kaverne &amp; Gassäule – welcher Druck muss am Bohrlochkopf anliegen?</t>
        </is>
      </c>
    </row>
    <row r="2">
      <c r="B2" s="2" t="inlineStr">
        <is>
          <t>Einspeicherung, Kaverne V1 (tief) · Stillstand: Temperatur = Gebirgstemperatur · Worst-Case-Gemisch</t>
        </is>
      </c>
    </row>
    <row r="3">
      <c r="B3" s="71" t="inlineStr">
        <is>
          <t>← zur Übersicht</t>
        </is>
      </c>
    </row>
    <row r="4" ht="193.95" customHeight="1" s="72">
      <c r="B4" s="94" t="inlineStr">
        <is>
          <r>
            <rPr>
              <rFont val="Calibri"/>
              <b val="1"/>
              <sz val="10"/>
            </rPr>
            <t>WAS WIRD BERECHNET?</t>
          </r>
          <r>
            <rPr>
              <rFont val="Calibri"/>
              <sz val="10"/>
            </rPr>
            <t xml:space="preserve">  Die Kaverne legt fest, welcher Druck unten an der LCCS (letzte zementierte Rohrtour) höchstens anliegen darf: 210 bar. Gesucht ist der Druck, den die Anlage dafür oben am Bohrlochkopf liefern muss.
</t>
          </r>
          <r>
            <rPr>
              <rFont val="Calibri"/>
              <b val="1"/>
              <sz val="10"/>
            </rPr>
            <t>WARUM?</t>
          </r>
          <r>
            <rPr>
              <rFont val="Calibri"/>
              <sz val="10"/>
            </rPr>
            <t xml:space="preserve">  Zwischen Kopf und Kaverne steht eine 1200 m hohe Säule aus dem CO₂-Gemisch. Ihr Gewicht erhöht den Druck nach unten: dp/dz = ρ(p,T) · g.
</t>
          </r>
          <r>
            <rPr>
              <rFont val="Calibri"/>
              <b val="1"/>
              <sz val="10"/>
            </rPr>
            <t>WIE WIRD GERECHNET?</t>
          </r>
          <r>
            <rPr>
              <rFont val="Calibri"/>
              <sz val="10"/>
            </rPr>
            <t xml:space="preserve">  Die Dichte ρ hängt selbst von Druck und Temperatur ab – deshalb wird die Säule in 600 Schritten à 2 m gerechnet, in jedem Schritt mit neuer Dichte aus CoolProp (Gemisch). Temperatur = Gebirgstemperatur T(z) = T₀ + grad T · z (Stillstand). Gerechnet wird von unten (bekannter Kavernendruck) nach oben – das Ergebnis ist direkt der Kopfdruck.
</t>
          </r>
          <r>
            <rPr>
              <rFont val="Calibri"/>
              <b val="1"/>
              <sz val="10"/>
            </rPr>
            <t>GRENZFALL:</t>
          </r>
          <r>
            <rPr>
              <rFont val="Calibri"/>
              <sz val="10"/>
            </rPr>
            <t xml:space="preserve">  Mit dem Sekantenverfahren wird der Kavernendruck gesucht, bei dem der Kopfdruck genau die Cricondenbar des Gemischs ist (82,2 bar = höchster Druck des Zweiphasengebiets; bei reinem CO₂ war es p_krit = 73,8 bar). Darüber bleibt das ganze Bohrloch einphasig, darunter kann sich im oberen Bohrloch eine Gasphase bilden.
</t>
          </r>
          <r>
            <rPr>
              <rFont val="Calibri"/>
              <b val="1"/>
              <sz val="10"/>
            </rPr>
            <t>ERGEBNIS:</t>
          </r>
          <r>
            <rPr>
              <rFont val="Calibri"/>
              <sz val="10"/>
            </rPr>
            <t xml:space="preserve">  Für 210 bar unten sind 114,9 bar am Kopf nötig – die Säule liefert rund 95 bar (reines CO₂: 107,6 bar bzw. 102 bar). Das Gemisch ist leichter, deshalb muss die Anlage oben mehr Druck aufbringen.
</t>
          </r>
          <r>
            <rPr>
              <rFont val="Calibri"/>
              <b val="1"/>
              <sz val="10"/>
            </rPr>
            <t>VERGLEICH:</t>
          </r>
          <r>
            <rPr>
              <rFont val="Calibri"/>
              <sz val="10"/>
            </rPr>
            <t xml:space="preserve">  Unter der Ergebnistabelle stehen dieselben drei Füllstände für reines CO₂; in den Diagrammen Druck und Dichte gepunktet. Das Gemisch ist in der Säule 7–10 % leichter – deshalb 7,3 bar mehr am Kopf bei voller Kaverne.
</t>
          </r>
          <r>
            <rPr>
              <rFont val="Calibri"/>
              <b val="1"/>
              <sz val="10"/>
            </rPr>
            <t>IM BETRIEB (NEU):</t>
          </r>
          <r>
            <rPr>
              <rFont val="Calibri"/>
              <sz val="10"/>
            </rPr>
            <t xml:space="preserve">  Beim Einspeisen strömt das CO₂ mit der Temperatur nach der Pumpe nach unten – Abschnitt unten. Zieldruck der Pumpe bei 100.000 Nm³/h: S1 114,3 bar, S2 127,3 bar (Stillstand 114,9 bar).</t>
          </r>
        </is>
      </c>
      <c r="C4" s="92" t="n"/>
      <c r="D4" s="92" t="n"/>
      <c r="E4" s="92" t="n"/>
      <c r="F4" s="92" t="n"/>
      <c r="G4" s="92" t="n"/>
      <c r="H4" s="92" t="n"/>
      <c r="I4" s="92" t="n"/>
      <c r="J4" s="93" t="n"/>
    </row>
    <row r="5"/>
    <row r="6">
      <c r="B6" s="69" t="inlineStr">
        <is>
          <t>Kavernenparameter</t>
        </is>
      </c>
    </row>
    <row r="7" ht="25.5" customHeight="1" s="72">
      <c r="B7" s="75" t="inlineStr">
        <is>
          <t>Größe</t>
        </is>
      </c>
      <c r="C7" s="75" t="inlineStr">
        <is>
          <t>Kaverne V1 (tief)</t>
        </is>
      </c>
      <c r="D7" s="75" t="inlineStr">
        <is>
          <t>Kaverne V2 (flach): entfällt</t>
        </is>
      </c>
      <c r="E7" s="75" t="inlineStr">
        <is>
          <t>Einheit</t>
        </is>
      </c>
    </row>
    <row r="8">
      <c r="B8" s="78" t="inlineStr">
        <is>
          <t>Teufe (LCCS)</t>
        </is>
      </c>
      <c r="C8" s="23">
        <f>z_V1</f>
        <v/>
      </c>
      <c r="D8" s="18" t="n"/>
      <c r="E8" s="78" t="inlineStr">
        <is>
          <t>m</t>
        </is>
      </c>
    </row>
    <row r="9">
      <c r="B9" s="78" t="inlineStr">
        <is>
          <t>Gebirgstemperatur Oberfläche</t>
        </is>
      </c>
      <c r="C9" s="6">
        <f>Tober_V1</f>
        <v/>
      </c>
      <c r="D9" s="18" t="n"/>
      <c r="E9" s="78" t="inlineStr">
        <is>
          <t>°C</t>
        </is>
      </c>
    </row>
    <row r="10">
      <c r="B10" s="78" t="inlineStr">
        <is>
          <t>Geothermischer Gradient</t>
        </is>
      </c>
      <c r="C10" s="24">
        <f>grad_V1</f>
        <v/>
      </c>
      <c r="D10" s="18" t="n"/>
      <c r="E10" s="78" t="inlineStr">
        <is>
          <t>K/m</t>
        </is>
      </c>
    </row>
    <row r="11">
      <c r="B11" s="78" t="inlineStr">
        <is>
          <t>Kavernentemperatur</t>
        </is>
      </c>
      <c r="C11" s="6">
        <f>T_Kav_V1</f>
        <v/>
      </c>
      <c r="D11" s="18" t="n"/>
      <c r="E11" s="78" t="inlineStr">
        <is>
          <t>°C</t>
        </is>
      </c>
    </row>
    <row r="12">
      <c r="B12" s="78" t="inlineStr">
        <is>
          <t>Maximaldruck an der LCCS</t>
        </is>
      </c>
      <c r="C12" s="6">
        <f>pmax_V1</f>
        <v/>
      </c>
      <c r="D12" s="18" t="n"/>
      <c r="E12" s="78" t="inlineStr">
        <is>
          <t>bar</t>
        </is>
      </c>
    </row>
    <row r="13">
      <c r="B13" s="78" t="inlineStr">
        <is>
          <t>Minimaldruck an der LCCS</t>
        </is>
      </c>
      <c r="C13" s="6">
        <f>pmin_V1</f>
        <v/>
      </c>
      <c r="D13" s="18" t="n"/>
      <c r="E13" s="78" t="inlineStr">
        <is>
          <t>bar</t>
        </is>
      </c>
    </row>
    <row r="14">
      <c r="B14" s="25" t="inlineStr">
        <is>
          <t>Werte kommen von der Übersicht. Die flache Kaverne entfällt (Q-030 S. 17: DBI verwirft sie selbst; Besprechung K. Vosbeck 15.10.2026).</t>
        </is>
      </c>
    </row>
    <row r="15"/>
    <row r="16">
      <c r="B16" s="69" t="inlineStr">
        <is>
          <t>Ergebnis: drei Füllstände der Kaverne</t>
        </is>
      </c>
    </row>
    <row r="17" ht="30" customHeight="1" s="72">
      <c r="B17" s="75" t="inlineStr">
        <is>
          <t>Fall</t>
        </is>
      </c>
      <c r="C17" s="75" t="inlineStr">
        <is>
          <t>Druck unten (LCCS) [bar]</t>
        </is>
      </c>
      <c r="D17" s="75" t="inlineStr">
        <is>
          <t>Kopfdruck [bar]</t>
        </is>
      </c>
      <c r="E17" s="75" t="inlineStr">
        <is>
          <t>T am Kopf [°C]</t>
        </is>
      </c>
      <c r="F17" s="75" t="inlineStr">
        <is>
          <t>ρ Kopf [kg/m³]</t>
        </is>
      </c>
      <c r="G17" s="75" t="inlineStr">
        <is>
          <t>ρ unten [kg/m³]</t>
        </is>
      </c>
      <c r="H17" s="75" t="inlineStr">
        <is>
          <t>Säulengewinn [bar]</t>
        </is>
      </c>
      <c r="I17" s="75" t="inlineStr">
        <is>
          <t>Bedeutung</t>
        </is>
      </c>
      <c r="J17" s="90" t="n"/>
      <c r="K17" s="91" t="n"/>
    </row>
    <row r="18" ht="30" customHeight="1" s="72">
      <c r="B18" s="76" t="inlineStr">
        <is>
          <t>voll (p_max)</t>
        </is>
      </c>
      <c r="C18" s="5" t="n">
        <v>210</v>
      </c>
      <c r="D18" s="7" t="n">
        <v>114.9313019820893</v>
      </c>
      <c r="E18" s="5" t="n">
        <v>10</v>
      </c>
      <c r="F18" s="5" t="n">
        <v>865.0046224890949</v>
      </c>
      <c r="G18" s="5" t="n">
        <v>755.9538427162327</v>
      </c>
      <c r="H18" s="6">
        <f>C18-D18</f>
        <v/>
      </c>
      <c r="I18" s="78" t="inlineStr">
        <is>
          <t>Zieldruck für die Einspeicherung</t>
        </is>
      </c>
      <c r="J18" s="90" t="n"/>
      <c r="K18" s="91" t="n"/>
    </row>
    <row r="19" ht="30" customHeight="1" s="72">
      <c r="B19" s="76" t="inlineStr">
        <is>
          <t>Grenzfall</t>
        </is>
      </c>
      <c r="C19" s="5" t="n">
        <v>171.1947305136985</v>
      </c>
      <c r="D19" s="7" t="n">
        <v>82.17759431791831</v>
      </c>
      <c r="E19" s="5" t="n">
        <v>10</v>
      </c>
      <c r="F19" s="5" t="n">
        <v>825.2968233878136</v>
      </c>
      <c r="G19" s="5" t="n">
        <v>695.9062188630426</v>
      </c>
      <c r="H19" s="6">
        <f>C19-D19</f>
        <v/>
      </c>
      <c r="I19" s="78" t="inlineStr">
        <is>
          <t>Kopfdruck = Cricondenbar (82,2 bar): ab hier ist das Bohrloch ganz einphasig</t>
        </is>
      </c>
      <c r="J19" s="90" t="n"/>
      <c r="K19" s="91" t="n"/>
    </row>
    <row r="20" ht="30" customHeight="1" s="72">
      <c r="B20" s="76" t="inlineStr">
        <is>
          <t>leer (p_min)</t>
        </is>
      </c>
      <c r="C20" s="5" t="n">
        <v>70</v>
      </c>
      <c r="D20" s="7" t="n">
        <v>50.70545867272649</v>
      </c>
      <c r="E20" s="5" t="n">
        <v>10</v>
      </c>
      <c r="F20" s="5" t="n">
        <v>208.63401710078</v>
      </c>
      <c r="G20" s="5" t="n">
        <v>166.94226085841</v>
      </c>
      <c r="H20" s="6">
        <f>C20-D20</f>
        <v/>
      </c>
      <c r="I20" s="78" t="inlineStr">
        <is>
          <t>Kopf 50,7 bar → zweiphasig 0–82 m (reines CO₂: 45,0 bar, 0–236 m)</t>
        </is>
      </c>
      <c r="J20" s="90" t="n"/>
      <c r="K20" s="91" t="n"/>
    </row>
    <row r="21" ht="30" customHeight="1" s="72">
      <c r="J21" s="52" t="n"/>
      <c r="K21" s="52" t="n"/>
    </row>
    <row r="22" ht="15.75" customHeight="1" s="72" thickBot="1">
      <c r="B22" s="69" t="inlineStr">
        <is>
          <t>Zum Vergleich: reines CO₂ (gleiche Kaverne, Werte aus der Mappe für reines CO₂)</t>
        </is>
      </c>
    </row>
    <row r="23" ht="30" customHeight="1" s="72">
      <c r="B23" s="75" t="inlineStr">
        <is>
          <t>Fall</t>
        </is>
      </c>
      <c r="C23" s="75" t="inlineStr">
        <is>
          <t>Druck unten (LCCS) [bar]</t>
        </is>
      </c>
      <c r="D23" s="75" t="inlineStr">
        <is>
          <t>Kopfdruck [bar]</t>
        </is>
      </c>
      <c r="E23" s="75" t="inlineStr">
        <is>
          <t>T am Kopf [°C]</t>
        </is>
      </c>
      <c r="F23" s="75" t="inlineStr">
        <is>
          <t>ρ Kopf [kg/m³]</t>
        </is>
      </c>
      <c r="G23" s="75" t="inlineStr">
        <is>
          <t>ρ unten [kg/m³]</t>
        </is>
      </c>
      <c r="H23" s="75" t="inlineStr">
        <is>
          <t>Säulengewinn [bar]</t>
        </is>
      </c>
      <c r="I23" s="75" t="inlineStr">
        <is>
          <t>Gemisch − rein: Kopfdruck [bar]</t>
        </is>
      </c>
      <c r="J23" s="90" t="n"/>
      <c r="K23" s="91" t="n"/>
    </row>
    <row r="24" ht="30" customHeight="1" s="72">
      <c r="B24" s="76" t="inlineStr">
        <is>
          <t>voll (p_max)</t>
        </is>
      </c>
      <c r="C24" s="5" t="n">
        <v>210</v>
      </c>
      <c r="D24" s="7" t="n">
        <v>107.603219569636</v>
      </c>
      <c r="E24" s="5" t="n">
        <v>10</v>
      </c>
      <c r="F24" s="5" t="n">
        <v>926.3220368040497</v>
      </c>
      <c r="G24" s="5" t="n">
        <v>817.604266524432</v>
      </c>
      <c r="H24" s="6">
        <f>C24-D24</f>
        <v/>
      </c>
      <c r="I24" s="84">
        <f>D18-D24</f>
        <v/>
      </c>
      <c r="J24" s="90" t="n"/>
      <c r="K24" s="91" t="n"/>
    </row>
    <row r="25" ht="30" customHeight="1" s="72">
      <c r="B25" s="76" t="inlineStr">
        <is>
          <t>Grenzfall (Kopf = p_krit 73,8 bar)</t>
        </is>
      </c>
      <c r="C25" s="5" t="n">
        <v>171.6522772915801</v>
      </c>
      <c r="D25" s="7" t="n">
        <v>73.77298377913758</v>
      </c>
      <c r="E25" s="5" t="n">
        <v>10</v>
      </c>
      <c r="F25" s="5" t="n">
        <v>897.021842420905</v>
      </c>
      <c r="G25" s="5" t="n">
        <v>771.2551974443045</v>
      </c>
      <c r="H25" s="6">
        <f>C25-D25</f>
        <v/>
      </c>
      <c r="I25" s="84">
        <f>D19-D25</f>
        <v/>
      </c>
      <c r="J25" s="90" t="n"/>
      <c r="K25" s="91" t="n"/>
    </row>
    <row r="26" ht="30" customHeight="1" s="72">
      <c r="B26" s="76" t="inlineStr">
        <is>
          <t>leer (p_min)</t>
        </is>
      </c>
      <c r="C26" s="5" t="n">
        <v>70</v>
      </c>
      <c r="D26" s="7" t="n">
        <v>44.99299418696985</v>
      </c>
      <c r="E26" s="5" t="n">
        <v>10</v>
      </c>
      <c r="F26" s="5" t="n">
        <v>134.9728724557712</v>
      </c>
      <c r="G26" s="5" t="n">
        <v>180.7373183907008</v>
      </c>
      <c r="H26" s="6">
        <f>C26-D26</f>
        <v/>
      </c>
      <c r="I26" s="84">
        <f>D20-D26</f>
        <v/>
      </c>
      <c r="J26" s="90" t="n"/>
      <c r="K26" s="91" t="n"/>
    </row>
    <row r="27"/>
    <row r="28">
      <c r="B28" s="69" t="inlineStr">
        <is>
          <t>Diagramme – Darstellung nach Buzogany &amp; Kruck (2022), Fig. 3 (dort 1150 m Teufe, hier Kaverne V1 mit 1200 m)</t>
        </is>
      </c>
    </row>
    <row r="29" ht="57.95" customHeight="1" s="72">
      <c r="B29" s="82" t="inlineStr">
        <is>
          <t>HIER ZUM STILLSTAND:  Die Gassäulen gelten für ruhendes CO₂ mit Gebirgstemperatur und für die drei Füllstände nach Q-028 (Buzogany &amp; Kruck 2022, Fig. 3: voll, Grenzfall, leer). Was Injektion und Ausspeicherung für das Fenster bedeuten (Reibungsdruckverlust im Strang, Wärmeaustausch mit dem Gebirge, Erwärmung bzw. Abkühlung in der Kaverne, Drosselung beim Ausspeichern), ist hier NICHT dargestellt.</t>
        </is>
      </c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6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B53" s="69" t="inlineStr">
        <is>
          <t>Tiefenprofile (gerechnet in 2-m-Schritten, dargestellt alle 50 m)</t>
        </is>
      </c>
    </row>
    <row r="54" ht="30" customHeight="1" s="72">
      <c r="B54" s="75" t="inlineStr">
        <is>
          <t>Teufe z [m]</t>
        </is>
      </c>
      <c r="C54" s="75" t="inlineStr">
        <is>
          <t>T [°C]</t>
        </is>
      </c>
      <c r="D54" s="75" t="inlineStr">
        <is>
          <t>p voll [bar]</t>
        </is>
      </c>
      <c r="E54" s="75" t="inlineStr">
        <is>
          <t>ρ voll [kg/m³]</t>
        </is>
      </c>
      <c r="F54" s="75" t="inlineStr">
        <is>
          <t>p Grenzfall [bar]</t>
        </is>
      </c>
      <c r="G54" s="75" t="inlineStr">
        <is>
          <t>ρ Grenzfall [kg/m³]</t>
        </is>
      </c>
      <c r="H54" s="75" t="inlineStr">
        <is>
          <t>p leer [bar]</t>
        </is>
      </c>
      <c r="I54" s="75" t="inlineStr">
        <is>
          <t>ρ leer [kg/m³]</t>
        </is>
      </c>
      <c r="J54" s="75" t="inlineStr">
        <is>
          <t>p voll rein [bar]</t>
        </is>
      </c>
      <c r="K54" s="75" t="inlineStr">
        <is>
          <t>ρ voll rein [kg/m³]</t>
        </is>
      </c>
      <c r="L54" s="75" t="inlineStr">
        <is>
          <t>p Grenzfall rein [bar]</t>
        </is>
      </c>
      <c r="M54" s="75" t="inlineStr">
        <is>
          <t>ρ Grenzfall rein [kg/m³]</t>
        </is>
      </c>
      <c r="N54" s="75" t="inlineStr">
        <is>
          <t>p leer rein [bar]</t>
        </is>
      </c>
      <c r="O54" s="75" t="inlineStr">
        <is>
          <t>ρ leer rein [kg/m³]</t>
        </is>
      </c>
    </row>
    <row r="55">
      <c r="B55" s="15" t="n">
        <v>0</v>
      </c>
      <c r="C55" s="5" t="n">
        <v>10</v>
      </c>
      <c r="D55" s="5" t="n">
        <v>114.9313019820893</v>
      </c>
      <c r="E55" s="5" t="n">
        <v>865.0046224890949</v>
      </c>
      <c r="F55" s="5" t="n">
        <v>82.17759431791831</v>
      </c>
      <c r="G55" s="5" t="n">
        <v>825.2968233878136</v>
      </c>
      <c r="H55" s="53" t="n">
        <v>50.70545867272649</v>
      </c>
      <c r="I55" s="53" t="n">
        <v>208.63401710078</v>
      </c>
      <c r="J55" s="5" t="n">
        <v>107.603219569636</v>
      </c>
      <c r="K55" s="5" t="n">
        <v>926.3220368040497</v>
      </c>
      <c r="L55" s="5" t="n">
        <v>73.77298377913758</v>
      </c>
      <c r="M55" s="5" t="n">
        <v>897.021842420905</v>
      </c>
      <c r="N55" s="5" t="n">
        <v>44.99299418696985</v>
      </c>
      <c r="O55" s="5" t="n">
        <v>134.9728724557712</v>
      </c>
    </row>
    <row r="56">
      <c r="B56" s="15" t="n">
        <v>50</v>
      </c>
      <c r="C56" s="5" t="n">
        <v>11.5</v>
      </c>
      <c r="D56" s="5" t="n">
        <v>119.1610092411516</v>
      </c>
      <c r="E56" s="5" t="n">
        <v>859.8586484157096</v>
      </c>
      <c r="F56" s="5" t="n">
        <v>86.20969165186034</v>
      </c>
      <c r="G56" s="5" t="n">
        <v>819.0360095428417</v>
      </c>
      <c r="H56" s="53" t="n">
        <v>51.65962952305994</v>
      </c>
      <c r="I56" s="53" t="n">
        <v>180.4533914738165</v>
      </c>
      <c r="J56" s="5" t="n">
        <v>112.1341797962734</v>
      </c>
      <c r="K56" s="5" t="n">
        <v>921.366486511542</v>
      </c>
      <c r="L56" s="5" t="n">
        <v>78.15826736621763</v>
      </c>
      <c r="M56" s="5" t="n">
        <v>891.2969609909408</v>
      </c>
      <c r="N56" s="5" t="n">
        <v>46.65802733630341</v>
      </c>
      <c r="O56" s="18" t="n"/>
    </row>
    <row r="57">
      <c r="B57" s="15" t="n">
        <v>100</v>
      </c>
      <c r="C57" s="5" t="n">
        <v>13</v>
      </c>
      <c r="D57" s="5" t="n">
        <v>123.3655718216997</v>
      </c>
      <c r="E57" s="5" t="n">
        <v>854.7508052105081</v>
      </c>
      <c r="F57" s="5" t="n">
        <v>90.2111771200678</v>
      </c>
      <c r="G57" s="5" t="n">
        <v>812.8143580104509</v>
      </c>
      <c r="H57" s="5" t="n">
        <v>52.47004468391528</v>
      </c>
      <c r="I57" s="5" t="n">
        <v>158.2674535088031</v>
      </c>
      <c r="J57" s="5" t="n">
        <v>116.6408956363133</v>
      </c>
      <c r="K57" s="5" t="n">
        <v>916.4357927804383</v>
      </c>
      <c r="L57" s="5" t="n">
        <v>82.51551505203399</v>
      </c>
      <c r="M57" s="5" t="n">
        <v>885.5901317928975</v>
      </c>
      <c r="N57" s="5" t="n">
        <v>48.46967378877172</v>
      </c>
      <c r="O57" s="18" t="n"/>
    </row>
    <row r="58">
      <c r="B58" s="15" t="n">
        <v>150</v>
      </c>
      <c r="C58" s="5" t="n">
        <v>14.5</v>
      </c>
      <c r="D58" s="5" t="n">
        <v>127.5451825193627</v>
      </c>
      <c r="E58" s="5" t="n">
        <v>849.6833416492694</v>
      </c>
      <c r="F58" s="5" t="n">
        <v>94.18225824342755</v>
      </c>
      <c r="G58" s="5" t="n">
        <v>806.6379263314424</v>
      </c>
      <c r="H58" s="5" t="n">
        <v>53.24713937913988</v>
      </c>
      <c r="I58" s="5" t="n">
        <v>158.5815671407909</v>
      </c>
      <c r="J58" s="5" t="n">
        <v>121.1234940528359</v>
      </c>
      <c r="K58" s="5" t="n">
        <v>911.5319259396267</v>
      </c>
      <c r="L58" s="5" t="n">
        <v>86.84482417221419</v>
      </c>
      <c r="M58" s="5" t="n">
        <v>879.9048043776029</v>
      </c>
      <c r="N58" s="5" t="n">
        <v>50.28738698402123</v>
      </c>
      <c r="O58" s="18" t="n"/>
    </row>
    <row r="59">
      <c r="B59" s="15" t="n">
        <v>200</v>
      </c>
      <c r="C59" s="5" t="n">
        <v>16</v>
      </c>
      <c r="D59" s="5" t="n">
        <v>131.7000450035422</v>
      </c>
      <c r="E59" s="5" t="n">
        <v>844.6584485975325</v>
      </c>
      <c r="F59" s="5" t="n">
        <v>98.12317236178102</v>
      </c>
      <c r="G59" s="5" t="n">
        <v>800.5128091082946</v>
      </c>
      <c r="H59" s="5" t="n">
        <v>54.0258238394099</v>
      </c>
      <c r="I59" s="5" t="n">
        <v>158.9143568784965</v>
      </c>
      <c r="J59" s="5" t="n">
        <v>125.5821115549518</v>
      </c>
      <c r="K59" s="5" t="n">
        <v>906.656806769357</v>
      </c>
      <c r="L59" s="5" t="n">
        <v>91.14630899860049</v>
      </c>
      <c r="M59" s="5" t="n">
        <v>874.2444277392234</v>
      </c>
      <c r="N59" s="5" t="n">
        <v>52.11301240220459</v>
      </c>
      <c r="O59" s="18" t="n"/>
    </row>
    <row r="60">
      <c r="B60" s="15" t="n">
        <v>250</v>
      </c>
      <c r="C60" s="5" t="n">
        <v>17.5</v>
      </c>
      <c r="D60" s="5" t="n">
        <v>135.8303735875529</v>
      </c>
      <c r="E60" s="5" t="n">
        <v>839.6782799883216</v>
      </c>
      <c r="F60" s="5" t="n">
        <v>102.0341867186997</v>
      </c>
      <c r="G60" s="5" t="n">
        <v>794.4450959737779</v>
      </c>
      <c r="H60" s="5" t="n">
        <v>54.80618148070643</v>
      </c>
      <c r="I60" s="5" t="n">
        <v>159.2627120412116</v>
      </c>
      <c r="J60" s="5" t="n">
        <v>130.0168939094205</v>
      </c>
      <c r="K60" s="5" t="n">
        <v>901.8122895680307</v>
      </c>
      <c r="L60" s="5" t="n">
        <v>95.4201006411308</v>
      </c>
      <c r="M60" s="5" t="n">
        <v>868.6124156835234</v>
      </c>
      <c r="N60" s="5" t="n">
        <v>53.57639577927532</v>
      </c>
      <c r="O60" s="5" t="n">
        <v>172.3531289361829</v>
      </c>
    </row>
    <row r="61">
      <c r="B61" s="15" t="n">
        <v>300</v>
      </c>
      <c r="C61" s="5" t="n">
        <v>19</v>
      </c>
      <c r="D61" s="5" t="n">
        <v>139.9363930931937</v>
      </c>
      <c r="E61" s="5" t="n">
        <v>834.7449697329498</v>
      </c>
      <c r="F61" s="5" t="n">
        <v>105.915598274552</v>
      </c>
      <c r="G61" s="5" t="n">
        <v>788.4408038025452</v>
      </c>
      <c r="H61" s="5" t="n">
        <v>55.58828192456246</v>
      </c>
      <c r="I61" s="5" t="n">
        <v>159.6240720495816</v>
      </c>
      <c r="J61" s="5" t="n">
        <v>134.4279957838498</v>
      </c>
      <c r="K61" s="5" t="n">
        <v>897.0001511506534</v>
      </c>
      <c r="L61" s="5" t="n">
        <v>99.66634682541191</v>
      </c>
      <c r="M61" s="5" t="n">
        <v>863.0121302207087</v>
      </c>
      <c r="N61" s="5" t="n">
        <v>54.42245109944623</v>
      </c>
      <c r="O61" s="5" t="n">
        <v>172.621519049852</v>
      </c>
    </row>
    <row r="62">
      <c r="B62" s="15" t="n">
        <v>350</v>
      </c>
      <c r="C62" s="5" t="n">
        <v>20.5</v>
      </c>
      <c r="D62" s="5" t="n">
        <v>144.018338778759</v>
      </c>
      <c r="E62" s="5" t="n">
        <v>829.8606404218544</v>
      </c>
      <c r="F62" s="5" t="n">
        <v>109.7677331281048</v>
      </c>
      <c r="G62" s="5" t="n">
        <v>782.5057870916929</v>
      </c>
      <c r="H62" s="5" t="n">
        <v>56.37218336220511</v>
      </c>
      <c r="I62" s="5" t="n">
        <v>159.9963027237279</v>
      </c>
      <c r="J62" s="5" t="n">
        <v>138.8155803530323</v>
      </c>
      <c r="K62" s="5" t="n">
        <v>892.222086630273</v>
      </c>
      <c r="L62" s="5" t="n">
        <v>103.8852116340835</v>
      </c>
      <c r="M62" s="5" t="n">
        <v>857.4468823333757</v>
      </c>
      <c r="N62" s="5" t="n">
        <v>55.26994550478808</v>
      </c>
      <c r="O62" s="5" t="n">
        <v>172.9361403382413</v>
      </c>
    </row>
    <row r="63">
      <c r="B63" s="15" t="n">
        <v>400</v>
      </c>
      <c r="C63" s="5" t="n">
        <v>22</v>
      </c>
      <c r="D63" s="5" t="n">
        <v>148.0764562827229</v>
      </c>
      <c r="E63" s="5" t="n">
        <v>825.0274011587967</v>
      </c>
      <c r="F63" s="5" t="n">
        <v>113.5909454657578</v>
      </c>
      <c r="G63" s="5" t="n">
        <v>776.6456377044849</v>
      </c>
      <c r="H63" s="5" t="n">
        <v>57.1579344122639</v>
      </c>
      <c r="I63" s="5" t="n">
        <v>160.3776092492149</v>
      </c>
      <c r="J63" s="5" t="n">
        <v>143.1798189021624</v>
      </c>
      <c r="K63" s="5" t="n">
        <v>887.4797120192601</v>
      </c>
      <c r="L63" s="5" t="n">
        <v>108.0768752886668</v>
      </c>
      <c r="M63" s="5" t="n">
        <v>851.9199462956497</v>
      </c>
      <c r="N63" s="5" t="n">
        <v>56.11907933946505</v>
      </c>
      <c r="O63" s="5" t="n">
        <v>173.2871502061312</v>
      </c>
    </row>
    <row r="64">
      <c r="B64" s="15" t="n">
        <v>450</v>
      </c>
      <c r="C64" s="5" t="n">
        <v>23.5</v>
      </c>
      <c r="D64" s="5" t="n">
        <v>152.1110015270945</v>
      </c>
      <c r="E64" s="5" t="n">
        <v>820.2473337942599</v>
      </c>
      <c r="F64" s="5" t="n">
        <v>117.3856160236419</v>
      </c>
      <c r="G64" s="5" t="n">
        <v>770.8655888749014</v>
      </c>
      <c r="H64" s="5" t="n">
        <v>57.94557561565794</v>
      </c>
      <c r="I64" s="5" t="n">
        <v>160.7664726470327</v>
      </c>
      <c r="J64" s="5" t="n">
        <v>147.5208904585417</v>
      </c>
      <c r="K64" s="5" t="n">
        <v>882.7745727921837</v>
      </c>
      <c r="L64" s="5" t="n">
        <v>112.2415340230345</v>
      </c>
      <c r="M64" s="5" t="n">
        <v>846.4345812263085</v>
      </c>
      <c r="N64" s="5" t="n">
        <v>56.970011793445</v>
      </c>
      <c r="O64" s="5" t="n">
        <v>173.6673159513561</v>
      </c>
    </row>
    <row r="65">
      <c r="B65" s="15" t="n">
        <v>500</v>
      </c>
      <c r="C65" s="5" t="n">
        <v>25</v>
      </c>
      <c r="D65" s="5" t="n">
        <v>156.1222405259621</v>
      </c>
      <c r="E65" s="5" t="n">
        <v>815.5224688084039</v>
      </c>
      <c r="F65" s="5" t="n">
        <v>121.1521501205365</v>
      </c>
      <c r="G65" s="5" t="n">
        <v>765.1704375041974</v>
      </c>
      <c r="H65" s="5" t="n">
        <v>58.7351406608342</v>
      </c>
      <c r="I65" s="5" t="n">
        <v>161.1616016988617</v>
      </c>
      <c r="J65" s="5" t="n">
        <v>151.8389814770035</v>
      </c>
      <c r="K65" s="5" t="n">
        <v>878.1081567113812</v>
      </c>
      <c r="L65" s="5" t="n">
        <v>116.3794000648183</v>
      </c>
      <c r="M65" s="5" t="n">
        <v>840.9940522574562</v>
      </c>
      <c r="N65" s="5" t="n">
        <v>57.82287123568764</v>
      </c>
      <c r="O65" s="5" t="n">
        <v>174.0711215222214</v>
      </c>
    </row>
    <row r="66">
      <c r="B66" s="15" t="n">
        <v>550</v>
      </c>
      <c r="C66" s="5" t="n">
        <v>26.5</v>
      </c>
      <c r="D66" s="5" t="n">
        <v>160.1104490553324</v>
      </c>
      <c r="E66" s="5" t="n">
        <v>810.8547537660469</v>
      </c>
      <c r="F66" s="5" t="n">
        <v>124.8909753773057</v>
      </c>
      <c r="G66" s="5" t="n">
        <v>759.564493916483</v>
      </c>
      <c r="H66" s="5" t="n">
        <v>59.52665740148501</v>
      </c>
      <c r="I66" s="5" t="n">
        <v>161.5618953390298</v>
      </c>
      <c r="J66" s="5" t="n">
        <v>156.1342855942196</v>
      </c>
      <c r="K66" s="5" t="n">
        <v>873.4819085875686</v>
      </c>
      <c r="L66" s="5" t="n">
        <v>120.4907017034746</v>
      </c>
      <c r="M66" s="5" t="n">
        <v>835.6016438728544</v>
      </c>
      <c r="N66" s="5" t="n">
        <v>58.67776215619738</v>
      </c>
      <c r="O66" s="5" t="n">
        <v>174.4942300427464</v>
      </c>
    </row>
    <row r="67">
      <c r="B67" s="15" t="n">
        <v>600</v>
      </c>
      <c r="C67" s="5" t="n">
        <v>28</v>
      </c>
      <c r="D67" s="5" t="n">
        <v>164.0759121577262</v>
      </c>
      <c r="E67" s="5" t="n">
        <v>806.2460183358248</v>
      </c>
      <c r="F67" s="5" t="n">
        <v>128.6025392660275</v>
      </c>
      <c r="G67" s="5" t="n">
        <v>754.0515612278945</v>
      </c>
      <c r="H67" s="5" t="n">
        <v>60.32014870950923</v>
      </c>
      <c r="I67" s="5" t="n">
        <v>161.9664123804968</v>
      </c>
      <c r="J67" s="5" t="n">
        <v>160.4070034547488</v>
      </c>
      <c r="K67" s="5" t="n">
        <v>868.8972443584622</v>
      </c>
      <c r="L67" s="5" t="n">
        <v>124.5756833908703</v>
      </c>
      <c r="M67" s="5" t="n">
        <v>830.2606596077286</v>
      </c>
      <c r="N67" s="5" t="n">
        <v>59.53477003538883</v>
      </c>
      <c r="O67" s="5" t="n">
        <v>174.9331496755427</v>
      </c>
    </row>
    <row r="68">
      <c r="B68" s="15" t="n">
        <v>650</v>
      </c>
      <c r="C68" s="5" t="n">
        <v>29.5</v>
      </c>
      <c r="D68" s="5" t="n">
        <v>168.0189234757022</v>
      </c>
      <c r="E68" s="5" t="n">
        <v>801.6979401864647</v>
      </c>
      <c r="F68" s="5" t="n">
        <v>132.287306624681</v>
      </c>
      <c r="G68" s="5" t="n">
        <v>748.6349396924751</v>
      </c>
      <c r="H68" s="5" t="n">
        <v>61.11563319374857</v>
      </c>
      <c r="I68" s="5" t="n">
        <v>162.3743465829629</v>
      </c>
      <c r="J68" s="5" t="n">
        <v>164.6573425989316</v>
      </c>
      <c r="K68" s="5" t="n">
        <v>864.3555619715407</v>
      </c>
      <c r="L68" s="5" t="n">
        <v>128.6346057983711</v>
      </c>
      <c r="M68" s="5" t="n">
        <v>824.9744050412223</v>
      </c>
      <c r="N68" s="5" t="n">
        <v>60.39396490390562</v>
      </c>
      <c r="O68" s="5" t="n">
        <v>175.385018717165</v>
      </c>
    </row>
    <row r="69">
      <c r="B69" s="15" t="n">
        <v>700</v>
      </c>
      <c r="C69" s="5" t="n">
        <v>31</v>
      </c>
      <c r="D69" s="5" t="n">
        <v>171.939784428871</v>
      </c>
      <c r="E69" s="5" t="n">
        <v>797.2120156646397</v>
      </c>
      <c r="F69" s="5" t="n">
        <v>135.9457572376832</v>
      </c>
      <c r="G69" s="5" t="n">
        <v>743.3174468346283</v>
      </c>
      <c r="H69" s="5" t="n">
        <v>61.91312580720418</v>
      </c>
      <c r="I69" s="5" t="n">
        <v>162.7850057803362</v>
      </c>
      <c r="J69" s="5" t="n">
        <v>168.8855173915603</v>
      </c>
      <c r="K69" s="5" t="n">
        <v>859.8582470542098</v>
      </c>
      <c r="L69" s="5" t="n">
        <v>132.6677457476095</v>
      </c>
      <c r="M69" s="5" t="n">
        <v>819.7461542573643</v>
      </c>
      <c r="N69" s="5" t="n">
        <v>61.25540404515662</v>
      </c>
      <c r="O69" s="5" t="n">
        <v>175.8474621597078</v>
      </c>
    </row>
    <row r="70">
      <c r="B70" s="15" t="n">
        <v>750</v>
      </c>
      <c r="C70" s="5" t="n">
        <v>32.5</v>
      </c>
      <c r="D70" s="5" t="n">
        <v>175.8388032658045</v>
      </c>
      <c r="E70" s="5" t="n">
        <v>792.7895381834925</v>
      </c>
      <c r="F70" s="5" t="n">
        <v>139.5783835328474</v>
      </c>
      <c r="G70" s="5" t="n">
        <v>738.1014429049472</v>
      </c>
      <c r="H70" s="5" t="n">
        <v>62.71263836036261</v>
      </c>
      <c r="I70" s="5" t="n">
        <v>163.1977942279455</v>
      </c>
      <c r="J70" s="5" t="n">
        <v>173.0917489623185</v>
      </c>
      <c r="K70" s="5" t="n">
        <v>855.4066721820159</v>
      </c>
      <c r="L70" s="5" t="n">
        <v>136.6753959411524</v>
      </c>
      <c r="M70" s="5" t="n">
        <v>814.5791030933595</v>
      </c>
      <c r="N70" s="5" t="n">
        <v>62.11913411443616</v>
      </c>
      <c r="O70" s="5" t="n">
        <v>176.3184920198822</v>
      </c>
    </row>
    <row r="71">
      <c r="B71" s="15" t="n">
        <v>800</v>
      </c>
      <c r="C71" s="5" t="n">
        <v>34</v>
      </c>
      <c r="D71" s="5" t="n">
        <v>179.7162940333967</v>
      </c>
      <c r="E71" s="5" t="n">
        <v>788.4315859598239</v>
      </c>
      <c r="F71" s="5" t="n">
        <v>143.1856883976939</v>
      </c>
      <c r="G71" s="5" t="n">
        <v>732.9888530833272</v>
      </c>
      <c r="H71" s="5" t="n">
        <v>63.51417995489785</v>
      </c>
      <c r="I71" s="5" t="n">
        <v>163.6121976054977</v>
      </c>
      <c r="J71" s="5" t="n">
        <v>177.276265125521</v>
      </c>
      <c r="K71" s="5" t="n">
        <v>851.002189481026</v>
      </c>
      <c r="L71" s="5" t="n">
        <v>140.6578644416568</v>
      </c>
      <c r="M71" s="5" t="n">
        <v>809.4763147036529</v>
      </c>
      <c r="N71" s="5" t="n">
        <v>62.98519284420566</v>
      </c>
      <c r="O71" s="5" t="n">
        <v>176.7964351068451</v>
      </c>
    </row>
    <row r="72">
      <c r="B72" s="15" t="n">
        <v>850</v>
      </c>
      <c r="C72" s="5" t="n">
        <v>35.5</v>
      </c>
      <c r="D72" s="5" t="n">
        <v>183.5725755108226</v>
      </c>
      <c r="E72" s="5" t="n">
        <v>784.1390194017837</v>
      </c>
      <c r="F72" s="5" t="n">
        <v>146.7681830856084</v>
      </c>
      <c r="G72" s="5" t="n">
        <v>727.9811818501968</v>
      </c>
      <c r="H72" s="5" t="n">
        <v>64.31775734971433</v>
      </c>
      <c r="I72" s="5" t="n">
        <v>164.027770279968</v>
      </c>
      <c r="J72" s="5" t="n">
        <v>181.4393002480552</v>
      </c>
      <c r="K72" s="5" t="n">
        <v>846.6461173344846</v>
      </c>
      <c r="L72" s="5" t="n">
        <v>144.615473878636</v>
      </c>
      <c r="M72" s="5" t="n">
        <v>804.4406640878894</v>
      </c>
      <c r="N72" s="5" t="n">
        <v>63.85361044320612</v>
      </c>
      <c r="O72" s="5" t="n">
        <v>177.2798784644066</v>
      </c>
    </row>
    <row r="73">
      <c r="B73" s="15" t="n">
        <v>900</v>
      </c>
      <c r="C73" s="5" t="n">
        <v>37</v>
      </c>
      <c r="D73" s="5" t="n">
        <v>187.4079701536713</v>
      </c>
      <c r="E73" s="5" t="n">
        <v>779.9124872965434</v>
      </c>
      <c r="F73" s="5" t="n">
        <v>150.3263851716874</v>
      </c>
      <c r="G73" s="5" t="n">
        <v>723.079519549727</v>
      </c>
      <c r="H73" s="5" t="n">
        <v>65.12337526962902</v>
      </c>
      <c r="I73" s="5" t="n">
        <v>164.4441245316573</v>
      </c>
      <c r="J73" s="5" t="n">
        <v>185.5810950402171</v>
      </c>
      <c r="K73" s="5" t="n">
        <v>842.3397227262963</v>
      </c>
      <c r="L73" s="5" t="n">
        <v>148.5485603943242</v>
      </c>
      <c r="M73" s="5" t="n">
        <v>799.4747879428407</v>
      </c>
      <c r="N73" s="5" t="n">
        <v>64.72441075981877</v>
      </c>
      <c r="O73" s="5" t="n">
        <v>177.7676265728751</v>
      </c>
    </row>
    <row r="74">
      <c r="B74" s="15" t="n">
        <v>950</v>
      </c>
      <c r="C74" s="5" t="n">
        <v>38.5</v>
      </c>
      <c r="D74" s="5" t="n">
        <v>191.2228030874113</v>
      </c>
      <c r="E74" s="5" t="n">
        <v>775.752440125478</v>
      </c>
      <c r="F74" s="5" t="n">
        <v>153.8608165284404</v>
      </c>
      <c r="G74" s="5" t="n">
        <v>718.2845449440057</v>
      </c>
      <c r="H74" s="5" t="n">
        <v>65.93103666569023</v>
      </c>
      <c r="I74" s="5" t="n">
        <v>164.8609215021596</v>
      </c>
      <c r="J74" s="5" t="n">
        <v>189.7018962532259</v>
      </c>
      <c r="K74" s="5" t="n">
        <v>838.0842013089516</v>
      </c>
      <c r="L74" s="5" t="n">
        <v>152.4574723682469</v>
      </c>
      <c r="M74" s="5" t="n">
        <v>794.5810448415007</v>
      </c>
      <c r="N74" s="5" t="n">
        <v>65.59761225739726</v>
      </c>
      <c r="O74" s="5" t="n">
        <v>178.2586666865718</v>
      </c>
    </row>
    <row r="75">
      <c r="B75" s="15" t="n">
        <v>1000</v>
      </c>
      <c r="C75" s="5" t="n">
        <v>40</v>
      </c>
      <c r="D75" s="5" t="n">
        <v>195.0174011798634</v>
      </c>
      <c r="E75" s="5" t="n">
        <v>771.6591483966583</v>
      </c>
      <c r="F75" s="5" t="n">
        <v>157.3720013160563</v>
      </c>
      <c r="G75" s="5" t="n">
        <v>713.5965295428554</v>
      </c>
      <c r="H75" s="5" t="n">
        <v>66.74074293503043</v>
      </c>
      <c r="I75" s="5" t="n">
        <v>165.2778636524355</v>
      </c>
      <c r="J75" s="5" t="n">
        <v>193.8019562780313</v>
      </c>
      <c r="K75" s="5" t="n">
        <v>833.88065746307</v>
      </c>
      <c r="L75" s="5" t="n">
        <v>156.3425689796254</v>
      </c>
      <c r="M75" s="5" t="n">
        <v>789.7614887078571</v>
      </c>
      <c r="N75" s="5" t="n">
        <v>66.47322883532421</v>
      </c>
      <c r="O75" s="5" t="n">
        <v>178.7521400644094</v>
      </c>
    </row>
    <row r="76">
      <c r="B76" s="15" t="n">
        <v>1050</v>
      </c>
      <c r="C76" s="5" t="n">
        <v>41.5</v>
      </c>
      <c r="D76" s="5" t="n">
        <v>198.7920922116776</v>
      </c>
      <c r="E76" s="5" t="n">
        <v>767.6327238040142</v>
      </c>
      <c r="F76" s="5" t="n">
        <v>160.8604640108893</v>
      </c>
      <c r="G76" s="5" t="n">
        <v>709.0153493957504</v>
      </c>
      <c r="H76" s="5" t="n">
        <v>67.55249410715508</v>
      </c>
      <c r="I76" s="5" t="n">
        <v>165.6946885348413</v>
      </c>
      <c r="J76" s="5" t="n">
        <v>197.8815326508965</v>
      </c>
      <c r="K76" s="5" t="n">
        <v>829.7300864645803</v>
      </c>
      <c r="L76" s="5" t="n">
        <v>160.2042186756909</v>
      </c>
      <c r="M76" s="5" t="n">
        <v>785.0178563748152</v>
      </c>
      <c r="N76" s="5" t="n">
        <v>67.35127052085804</v>
      </c>
      <c r="O76" s="5" t="n">
        <v>179.2473176918887</v>
      </c>
    </row>
    <row r="77">
      <c r="B77" s="15" t="n">
        <v>1100</v>
      </c>
      <c r="C77" s="5" t="n">
        <v>43</v>
      </c>
      <c r="D77" s="5" t="n">
        <v>202.5472041534649</v>
      </c>
      <c r="E77" s="5" t="n">
        <v>763.6731412195195</v>
      </c>
      <c r="F77" s="5" t="n">
        <v>164.3267275195965</v>
      </c>
      <c r="G77" s="5" t="n">
        <v>704.5405081942887</v>
      </c>
      <c r="H77" s="5" t="n">
        <v>68.36628900263408</v>
      </c>
      <c r="I77" s="5" t="n">
        <v>166.111163692964</v>
      </c>
      <c r="J77" s="5" t="n">
        <v>201.9408874806155</v>
      </c>
      <c r="K77" s="5" t="n">
        <v>825.633360446953</v>
      </c>
      <c r="L77" s="5" t="n">
        <v>164.0427976128814</v>
      </c>
      <c r="M77" s="5" t="n">
        <v>780.3515681417422</v>
      </c>
      <c r="N77" s="5" t="n">
        <v>68.23174405137232</v>
      </c>
      <c r="O77" s="5" t="n">
        <v>179.7435796054763</v>
      </c>
    </row>
    <row r="78">
      <c r="B78" s="15" t="n">
        <v>1150</v>
      </c>
      <c r="C78" s="5" t="n">
        <v>44.5</v>
      </c>
      <c r="D78" s="5" t="n">
        <v>206.2830645493646</v>
      </c>
      <c r="E78" s="5" t="n">
        <v>759.7802598970804</v>
      </c>
      <c r="F78" s="5" t="n">
        <v>167.7713114382886</v>
      </c>
      <c r="G78" s="5" t="n">
        <v>700.1711727275615</v>
      </c>
      <c r="H78" s="5" t="n">
        <v>69.18212536927258</v>
      </c>
      <c r="I78" s="5" t="n">
        <v>166.5270825125498</v>
      </c>
      <c r="J78" s="5" t="n">
        <v>205.9802868190127</v>
      </c>
      <c r="K78" s="5" t="n">
        <v>821.5912192425889</v>
      </c>
      <c r="L78" s="5" t="n">
        <v>167.8586881290575</v>
      </c>
      <c r="M78" s="5" t="n">
        <v>775.763738978662</v>
      </c>
      <c r="N78" s="5" t="n">
        <v>69.11465336308154</v>
      </c>
      <c r="O78" s="5" t="n">
        <v>180.2403972389016</v>
      </c>
    </row>
    <row r="79">
      <c r="B79" s="15" t="n">
        <v>1200</v>
      </c>
      <c r="C79" s="5" t="n">
        <v>46</v>
      </c>
      <c r="D79" s="5" t="n">
        <v>210</v>
      </c>
      <c r="E79" s="5" t="n">
        <v>755.9538427162327</v>
      </c>
      <c r="F79" s="5" t="n">
        <v>171.1947305136985</v>
      </c>
      <c r="G79" s="5" t="n">
        <v>695.9062188630426</v>
      </c>
      <c r="H79" s="5" t="n">
        <v>70</v>
      </c>
      <c r="I79" s="5" t="n">
        <v>166.94226085841</v>
      </c>
      <c r="J79" s="5" t="n">
        <v>210</v>
      </c>
      <c r="K79" s="5" t="n">
        <v>817.604266524432</v>
      </c>
      <c r="L79" s="5" t="n">
        <v>171.6522772915801</v>
      </c>
      <c r="M79" s="5" t="n">
        <v>771.2551974443045</v>
      </c>
      <c r="N79" s="5" t="n">
        <v>70</v>
      </c>
      <c r="O79" s="5" t="n">
        <v>180.7373183907008</v>
      </c>
    </row>
    <row r="80" ht="30" customHeight="1" s="72">
      <c r="B80" s="74" t="inlineStr">
        <is>
          <t>Schraffierte Felder: Zweiphasengebiet des Gemischs (Q-028: „multiphase region“). Beim leeren Fall liegt das Bohrloch von 0 bis ca. 82 m zwischen Tau- und Blasenlinie. Anders als bei reinem CO₂ ist der Druck dort nicht auf eine Linie festgelegt – ein Gemisch verdampft über ein Druckband. Die Dichte ist die Gleichgewichtsdichte bei homogen verteilten Phasen; im Stillstand würden sich Gas und Flüssigkeit trennen, die Werte sind dort Richtwerte.</t>
        </is>
      </c>
    </row>
    <row r="81" ht="30" customHeight="1" s="72"/>
    <row r="82">
      <c r="B82" s="25" t="inlineStr">
        <is>
          <t>Arbeitsgas, Ein-/Ausspeicherzyklus, Stillstand und Kopfdruckfenster: eigene Kaverne-Mappe (Kaverne/Begleitstoffe_CO2).</t>
        </is>
      </c>
    </row>
    <row r="83"/>
    <row r="84"/>
    <row r="85">
      <c r="B85" s="61" t="inlineStr">
        <is>
          <t>Im Betrieb: Einspeisen mit strömender Säule – Zieldruck der Pumpe (neu, Besprechung 15.10.2026)</t>
        </is>
      </c>
    </row>
    <row r="86" ht="112" customHeight="1" s="72">
      <c r="B86" s="83" t="inlineStr">
        <is>
          <r>
            <rPr>
              <rFont val="Calibri"/>
              <b val="1"/>
              <sz val="10"/>
            </rPr>
            <t>WARUM?</t>
          </r>
          <r>
            <rPr>
              <rFont val="Calibri"/>
              <sz val="10"/>
            </rPr>
            <t xml:space="preserve">  Die Säule im Stillstand (oben) hat Gebirgstemperatur. Beim Einspeisen strömt das CO₂ mit der Temperatur nach der Pumpe nach unten – S1 kälter als das Gebirge (dichtere Säule), S2 wärmer (leichtere Säule). Dazu kostet die Strömung Reibungsdruck.
</t>
          </r>
          <r>
            <rPr>
              <rFont val="Calibri"/>
              <b val="1"/>
              <sz val="10"/>
            </rPr>
            <t>WIE?</t>
          </r>
          <r>
            <rPr>
              <rFont val="Calibri"/>
              <sz val="10"/>
            </rPr>
            <t xml:space="preserve">  Adiabat (schnelle Förderung, kein Wärmeaustausch mit dem Gebirge): h + g·z = konst. Impuls: dp = −(ρ·g − f/D · ρ·v²/2)·dz, Förderstrang 8 5/8" (D_i = 198,8 mm, Q-030 Tab. 1), Darcy f = 0,016 (Q-003 Kap. 6.2). Kopfdruck und Pumpenaustritt hängen voneinander ab → Iteration (2–3 Schritte).
</t>
          </r>
          <r>
            <rPr>
              <rFont val="Calibri"/>
              <b val="1"/>
              <sz val="10"/>
            </rPr>
            <t>ERGEBNIS:</t>
          </r>
          <r>
            <rPr>
              <rFont val="Calibri"/>
              <sz val="10"/>
            </rPr>
            <t xml:space="preserve">  Die Pumpe wird auf den Betrieb bei 100.000 Nm³/h ausgelegt (Regelung über den Kopfdruck, Besprechung 15.10.2026, Pkt. 6): S1 114,3 bar, S2 127,3 bar. Bei kleinerem Kavernendruck wird weniger gebraucht (Kopfdruckfenster in der Kaverne-Mappe).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homogen und einphasig gerechnet; genauer nur mit Mehrphasen-Bohrlochmodell (Q-028 S. 11). Rechnung: Kaverne/Grundlagen/kaverne_bausteine.zieldruck_einspeisen().</t>
          </r>
        </is>
      </c>
      <c r="C86" s="92" t="n"/>
      <c r="D86" s="92" t="n"/>
      <c r="E86" s="92" t="n"/>
      <c r="F86" s="92" t="n"/>
      <c r="G86" s="92" t="n"/>
      <c r="H86" s="92" t="n"/>
      <c r="I86" s="92" t="n"/>
      <c r="J86" s="92" t="n"/>
      <c r="K86" s="93" t="n"/>
    </row>
    <row r="87"/>
    <row r="88" ht="42" customHeight="1" s="72">
      <c r="B88" s="30" t="inlineStr">
        <is>
          <t>Fall</t>
        </is>
      </c>
      <c r="C88" s="30" t="inlineStr">
        <is>
          <t>Druck unten (LCCS) [bar]</t>
        </is>
      </c>
      <c r="D88" s="30" t="inlineStr">
        <is>
          <t>Kopfdruck [bar]</t>
        </is>
      </c>
      <c r="E88" s="30" t="inlineStr">
        <is>
          <t>T am Kopf [°C]</t>
        </is>
      </c>
      <c r="F88" s="30" t="inlineStr">
        <is>
          <t>T an der LCCS [°C]</t>
        </is>
      </c>
      <c r="G88" s="30" t="inlineStr">
        <is>
          <t>v am Kopf [m/s]</t>
        </is>
      </c>
      <c r="H88" s="30" t="inlineStr">
        <is>
          <t>davon Reibung [bar]</t>
        </is>
      </c>
      <c r="I88" s="30" t="inlineStr">
        <is>
          <t>Säulengewinn [bar]</t>
        </is>
      </c>
      <c r="J88" s="30" t="inlineStr">
        <is>
          <t>Bedeutung</t>
        </is>
      </c>
      <c r="K88" s="30" t="n"/>
    </row>
    <row r="89" ht="27.95" customHeight="1" s="72">
      <c r="B89" s="76" t="inlineStr">
        <is>
          <t>Stillstand (voll)</t>
        </is>
      </c>
      <c r="C89" s="45" t="n">
        <v>210</v>
      </c>
      <c r="D89" s="40">
        <f>Kopf_voll</f>
        <v/>
      </c>
      <c r="E89" s="45" t="n">
        <v>10</v>
      </c>
      <c r="F89" s="45" t="n">
        <v>46</v>
      </c>
      <c r="G89" s="44" t="inlineStr">
        <is>
          <t>–</t>
        </is>
      </c>
      <c r="H89" s="44" t="inlineStr">
        <is>
          <t>–</t>
        </is>
      </c>
      <c r="I89" s="40">
        <f>C89-D89</f>
        <v/>
      </c>
      <c r="J89" s="31" t="inlineStr">
        <is>
          <t>Gebirgstemperatur, ruht</t>
        </is>
      </c>
      <c r="K89" s="97" t="n"/>
    </row>
    <row r="90" ht="27.95" customHeight="1" s="72">
      <c r="B90" s="76" t="inlineStr">
        <is>
          <t>Einspeisen S1, 50.000 Nm³/h</t>
        </is>
      </c>
      <c r="C90" s="45" t="n">
        <v>210</v>
      </c>
      <c r="D90" s="45" t="n">
        <v>112.9603755526102</v>
      </c>
      <c r="E90" s="45" t="n">
        <v>18.12565642518842</v>
      </c>
      <c r="F90" s="45" t="n">
        <v>28.69580765487524</v>
      </c>
      <c r="G90" s="44" t="n">
        <v>1.073264958943932</v>
      </c>
      <c r="H90" s="44" t="inlineStr">
        <is>
          <t>–</t>
        </is>
      </c>
      <c r="I90" s="40">
        <f>C90-D90</f>
        <v/>
      </c>
      <c r="J90" s="31" t="inlineStr"/>
      <c r="K90" s="97" t="n"/>
    </row>
    <row r="91" ht="27.95" customHeight="1" s="72">
      <c r="B91" s="76" t="inlineStr">
        <is>
          <t>Einspeisen S1, 100.000 Nm³/h</t>
        </is>
      </c>
      <c r="C91" s="45" t="n">
        <v>210</v>
      </c>
      <c r="D91" s="98" t="n">
        <v>114.273800177097</v>
      </c>
      <c r="E91" s="45" t="n">
        <v>18.30573505665217</v>
      </c>
      <c r="F91" s="45" t="n">
        <v>28.78955369701979</v>
      </c>
      <c r="G91" s="44" t="n">
        <v>2.145048259124543</v>
      </c>
      <c r="H91" s="44" t="n">
        <v>1.674573540200683</v>
      </c>
      <c r="I91" s="40">
        <f>C91-D91</f>
        <v/>
      </c>
      <c r="J91" s="31" t="inlineStr">
        <is>
          <t>Zieldruck Pumpe S1 (Auslegung)</t>
        </is>
      </c>
      <c r="K91" s="97" t="n"/>
    </row>
    <row r="92" ht="27.95" customHeight="1" s="72">
      <c r="B92" s="76" t="inlineStr">
        <is>
          <t>Einspeisen S2, 50.000 Nm³/h</t>
        </is>
      </c>
      <c r="C92" s="45" t="n">
        <v>210</v>
      </c>
      <c r="D92" s="45" t="n">
        <v>125.7729438871019</v>
      </c>
      <c r="E92" s="45" t="n">
        <v>34.09263305363402</v>
      </c>
      <c r="F92" s="45" t="n">
        <v>48.0004244040292</v>
      </c>
      <c r="G92" s="44" t="n">
        <v>1.253291817513526</v>
      </c>
      <c r="H92" s="44" t="inlineStr">
        <is>
          <t>–</t>
        </is>
      </c>
      <c r="I92" s="40">
        <f>C92-D92</f>
        <v/>
      </c>
      <c r="J92" s="31" t="inlineStr"/>
      <c r="K92" s="97" t="n"/>
    </row>
    <row r="93" ht="27.95" customHeight="1" s="72">
      <c r="B93" s="76" t="inlineStr">
        <is>
          <t>Einspeisen S2, 100.000 Nm³/h</t>
        </is>
      </c>
      <c r="C93" s="45" t="n">
        <v>210</v>
      </c>
      <c r="D93" s="98" t="n">
        <v>127.2718032176663</v>
      </c>
      <c r="E93" s="45" t="n">
        <v>34.40649477199338</v>
      </c>
      <c r="F93" s="45" t="n">
        <v>48.11519660575867</v>
      </c>
      <c r="G93" s="44" t="n">
        <v>2.502659593168201</v>
      </c>
      <c r="H93" s="44" t="n">
        <v>1.890596869095688</v>
      </c>
      <c r="I93" s="40">
        <f>C93-D93</f>
        <v/>
      </c>
      <c r="J93" s="31" t="inlineStr">
        <is>
          <t>Zieldruck Pumpe S2 (Auslegung)</t>
        </is>
      </c>
      <c r="K93" s="97" t="n"/>
    </row>
    <row r="94"/>
    <row r="95">
      <c r="B95" s="61" t="inlineStr">
        <is>
          <t>Zum Vergleich: reines CO₂ (100.000 Nm³/h, Werte aus der Mappe für reines CO₂)</t>
        </is>
      </c>
    </row>
    <row r="96" ht="42" customHeight="1" s="72">
      <c r="B96" s="30" t="inlineStr">
        <is>
          <t>Fall</t>
        </is>
      </c>
      <c r="C96" s="30" t="inlineStr">
        <is>
          <t>Druck unten (LCCS) [bar]</t>
        </is>
      </c>
      <c r="D96" s="30" t="inlineStr">
        <is>
          <t>Kopfdruck [bar]</t>
        </is>
      </c>
      <c r="E96" s="30" t="inlineStr">
        <is>
          <t>T am Kopf [°C]</t>
        </is>
      </c>
      <c r="F96" s="30" t="inlineStr">
        <is>
          <t>T an der LCCS [°C]</t>
        </is>
      </c>
      <c r="G96" s="30" t="inlineStr">
        <is>
          <t>v am Kopf [m/s]</t>
        </is>
      </c>
      <c r="H96" s="30" t="inlineStr">
        <is>
          <t>davon Reibung [bar]</t>
        </is>
      </c>
      <c r="I96" s="30" t="inlineStr">
        <is>
          <t>Diese Mappe − reines CO₂ [bar]</t>
        </is>
      </c>
    </row>
    <row r="97" ht="27.95" customHeight="1" s="72">
      <c r="B97" s="76" t="inlineStr">
        <is>
          <t>Einspeisen S1, 100.000 Nm³/h</t>
        </is>
      </c>
      <c r="C97" s="45" t="n">
        <v>210</v>
      </c>
      <c r="D97" s="45" t="n">
        <v>105.4411023087268</v>
      </c>
      <c r="E97" s="45" t="n">
        <v>16.57186183757796</v>
      </c>
      <c r="F97" s="45" t="n">
        <v>25.57424145386437</v>
      </c>
      <c r="G97" s="44" t="n">
        <v>1.998952873190172</v>
      </c>
      <c r="H97" s="44" t="n">
        <v>1.618974446129997</v>
      </c>
      <c r="I97" s="40">
        <f>D91-D97</f>
        <v/>
      </c>
    </row>
    <row r="98" ht="27.95" customHeight="1" s="72">
      <c r="B98" s="76" t="inlineStr">
        <is>
          <t>Einspeisen S2, 100.000 Nm³/h</t>
        </is>
      </c>
      <c r="C98" s="45" t="n">
        <v>210</v>
      </c>
      <c r="D98" s="45" t="n">
        <v>114.6341589872628</v>
      </c>
      <c r="E98" s="45" t="n">
        <v>29.58976389993643</v>
      </c>
      <c r="F98" s="45" t="n">
        <v>40.71835330057093</v>
      </c>
      <c r="G98" s="44" t="n">
        <v>2.202290698427762</v>
      </c>
      <c r="H98" s="44" t="n">
        <v>1.750165342168955</v>
      </c>
      <c r="I98" s="40">
        <f>D93-D98</f>
        <v/>
      </c>
    </row>
    <row r="99">
      <c r="B99" s="25" t="inlineStr">
        <is>
          <t>Graue Werte aus Kaverne/Grundlagen (Schritt 01, kaverne_stillstand.json) bzw. Prozesskette/03_S1 und 03_S2. Reibung = Kopfdruck mit minus ohne Rohrreibung (nur bei 100.000 Nm³/h gerechnet; bei 50.000 Nm³/h etwa ein Viertel, da ~ṁ²).</t>
        </is>
      </c>
    </row>
  </sheetData>
  <mergeCells count="18">
    <mergeCell ref="I19:K19"/>
    <mergeCell ref="J90:K90"/>
    <mergeCell ref="J92:K92"/>
    <mergeCell ref="I24:K24"/>
    <mergeCell ref="J93:K93"/>
    <mergeCell ref="B29:L29"/>
    <mergeCell ref="I23:K23"/>
    <mergeCell ref="J89:K89"/>
    <mergeCell ref="J88:K88"/>
    <mergeCell ref="I17:K17"/>
    <mergeCell ref="I18:K18"/>
    <mergeCell ref="B4:J4"/>
    <mergeCell ref="I26:K26"/>
    <mergeCell ref="I20:K20"/>
    <mergeCell ref="J91:K91"/>
    <mergeCell ref="B86:K86"/>
    <mergeCell ref="B80:I81"/>
    <mergeCell ref="I25:K25"/>
  </mergeCells>
  <conditionalFormatting sqref="B55:O79">
    <cfRule type="expression" priority="1" dxfId="0">
      <formula>NOT(Stand_ok)</formula>
    </cfRule>
  </conditionalFormatting>
  <conditionalFormatting sqref="C18:G20 C24:G26">
    <cfRule type="expression" priority="2" dxfId="0">
      <formula>NOT(Stand_ok)</formula>
    </cfRule>
  </conditionalFormatting>
  <conditionalFormatting sqref="C90:H93">
    <cfRule type="expression" priority="3" dxfId="23">
      <formula>NOT(Stand_ok)</formula>
    </cfRule>
  </conditionalFormatting>
  <conditionalFormatting sqref="E89:F89">
    <cfRule type="expression" priority="4" dxfId="23">
      <formula>NOT(Stand_ok)</formula>
    </cfRule>
  </conditionalFormatting>
  <conditionalFormatting sqref="C97:H98">
    <cfRule type="expression" priority="5" dxfId="23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7F7F7F"/>
    <outlinePr summaryBelow="1" summaryRight="1"/>
    <pageSetUpPr fitToPage="1"/>
  </sheetPr>
  <dimension ref="A1:J51"/>
  <sheetViews>
    <sheetView showGridLines="0" tabSelected="0" topLeftCell="A4" workbookViewId="0">
      <selection activeCell="E25" sqref="E25:F50"/>
    </sheetView>
  </sheetViews>
  <sheetFormatPr baseColWidth="10" defaultColWidth="9.140625" defaultRowHeight="15"/>
  <cols>
    <col width="2.7109375" customWidth="1" style="72" min="1" max="1"/>
    <col width="22.7109375" customWidth="1" style="72" min="2" max="2"/>
    <col width="15.7109375" customWidth="1" style="72" min="3" max="6"/>
    <col width="26.7109375" customWidth="1" style="72" min="7" max="7"/>
    <col width="15.7109375" customWidth="1" style="72" min="8" max="8"/>
    <col width="9.7109375" customWidth="1" style="72" min="9" max="31"/>
  </cols>
  <sheetData>
    <row r="1" ht="30" customHeight="1" s="72">
      <c r="B1" s="1" t="inlineStr">
        <is>
          <t>Medienvergleich – warum CO₂ oben weniger Druck braucht</t>
        </is>
      </c>
    </row>
    <row r="2">
      <c r="B2" s="2" t="inlineStr">
        <is>
          <t>Gleiche Kaverne (Ziel 210 bar unten, Gebirge 10 °C + 0,03 K/m), gleiche Rechnung – nur das Medium ist anders</t>
        </is>
      </c>
    </row>
    <row r="3">
      <c r="B3" s="71" t="inlineStr">
        <is>
          <t>← zur Übersicht</t>
        </is>
      </c>
    </row>
    <row r="4" ht="105.6" customHeight="1" s="72">
      <c r="B4" s="83" t="inlineStr">
        <is>
          <t>IDEE:  Je schwerer die Säule im Bohrloch, desto mehr Druck liefert sie und desto weniger muss die Anlage oben aufbringen.
Das CO₂-Gemisch ist unter diesen Bedingungen dicht (756–865 kg/m³; reines CO₂ 820–930 kg/m³), Erdgas und Wasserstoff bleiben Gase (Erdgas ~150 kg/m³, Wasserstoff ~15 kg/m³).
FOLGE:  Für das CO₂-Gemisch reicht eine Pumpe auf ~115 bar (reines CO₂ ~108 bar). Erdgas- und Wasserstoffspeicher brauchen Verdichter fast bis zum vollen Kavernendruck.
Rechnung wie auf Blatt „Kaverne &amp; Gassäule“: dp/dz = ρ(p,T) · g, von unten nach oben, Dichte aus CoolProp (CO₂: Worst-Case-Gemisch, Methan als Erdgas-Ersatz, reiner Wasserstoff). Der Zieldruck unten bleibt für alle Teufen bewusst bei 210 bar, damit nur der Effekt der Säule sichtbar wird.
REINES CO₂:  zum Vergleich in allen Tabellen und Diagrammen (dunkelblau gestrichelt, Werte aus der Mappe für reines CO₂). Reines CO₂ ist dichter (820–930 statt 756–865 kg/m³) und braucht oben 7,3 bar weniger.</t>
        </is>
      </c>
      <c r="C4" s="92" t="n"/>
      <c r="D4" s="92" t="n"/>
      <c r="E4" s="92" t="n"/>
      <c r="F4" s="92" t="n"/>
      <c r="G4" s="92" t="n"/>
      <c r="H4" s="93" t="n"/>
    </row>
    <row r="5"/>
    <row r="6">
      <c r="B6" s="69" t="inlineStr">
        <is>
          <t>1) Nötiger Kopfdruck über der Teufe (210 bar unten)</t>
        </is>
      </c>
    </row>
    <row r="7" ht="25.5" customHeight="1" s="72">
      <c r="B7" s="75" t="inlineStr">
        <is>
          <t>Teufe [m]</t>
        </is>
      </c>
      <c r="C7" s="75" t="inlineStr">
        <is>
          <t>CO₂-Gemisch [bar]</t>
        </is>
      </c>
      <c r="D7" s="75" t="inlineStr">
        <is>
          <t>reines CO₂ [bar]</t>
        </is>
      </c>
      <c r="E7" s="75" t="inlineStr">
        <is>
          <t>Erdgas CH₄ [bar]</t>
        </is>
      </c>
      <c r="F7" s="75" t="inlineStr">
        <is>
          <t>Wasserstoff H₂ [bar]</t>
        </is>
      </c>
      <c r="G7" s="75" t="inlineStr">
        <is>
          <t>Ziel unten [bar]</t>
        </is>
      </c>
    </row>
    <row r="8">
      <c r="B8" s="15" t="n">
        <v>600</v>
      </c>
      <c r="C8" s="5" t="n">
        <v>158.4900770097599</v>
      </c>
      <c r="D8" s="5" t="n">
        <v>155.1661651229174</v>
      </c>
      <c r="E8" s="5" t="n">
        <v>200.1660094222985</v>
      </c>
      <c r="F8" s="5" t="n">
        <v>209.095008669397</v>
      </c>
      <c r="G8" s="6">
        <f>pmax_V1</f>
        <v/>
      </c>
    </row>
    <row r="9">
      <c r="B9" s="15" t="n">
        <v>800</v>
      </c>
      <c r="C9" s="5" t="n">
        <v>142.9860318589263</v>
      </c>
      <c r="D9" s="5" t="n">
        <v>138.417092253989</v>
      </c>
      <c r="E9" s="5" t="n">
        <v>197.2092749242842</v>
      </c>
      <c r="F9" s="5" t="n">
        <v>208.8050049394762</v>
      </c>
      <c r="G9" s="6">
        <f>pmax_V1</f>
        <v/>
      </c>
    </row>
    <row r="10">
      <c r="B10" s="15" t="n">
        <v>1000</v>
      </c>
      <c r="C10" s="5" t="n">
        <v>128.4373003373798</v>
      </c>
      <c r="D10" s="5" t="n">
        <v>122.5367242536628</v>
      </c>
      <c r="E10" s="5" t="n">
        <v>194.3926767109614</v>
      </c>
      <c r="F10" s="5" t="n">
        <v>208.5204660223911</v>
      </c>
      <c r="G10" s="6">
        <f>pmax_V1</f>
        <v/>
      </c>
    </row>
    <row r="11">
      <c r="B11" s="15" t="n">
        <v>1200</v>
      </c>
      <c r="C11" s="5" t="n">
        <v>114.9313019820893</v>
      </c>
      <c r="D11" s="5" t="n">
        <v>107.603219569636</v>
      </c>
      <c r="E11" s="5" t="n">
        <v>191.7053427406622</v>
      </c>
      <c r="F11" s="5" t="n">
        <v>208.241191221202</v>
      </c>
      <c r="G11" s="6">
        <f>pmax_V1</f>
        <v/>
      </c>
    </row>
    <row r="12">
      <c r="B12" s="15" t="n">
        <v>1400</v>
      </c>
      <c r="C12" s="5" t="n">
        <v>102.5621891608179</v>
      </c>
      <c r="D12" s="5" t="n">
        <v>93.70583884822787</v>
      </c>
      <c r="E12" s="5" t="n">
        <v>189.1373555557519</v>
      </c>
      <c r="F12" s="5" t="n">
        <v>207.9669908462842</v>
      </c>
      <c r="G12" s="6">
        <f>pmax_V1</f>
        <v/>
      </c>
    </row>
    <row r="13">
      <c r="B13" s="15" t="n">
        <v>1600</v>
      </c>
      <c r="C13" s="5" t="n">
        <v>91.42468035449569</v>
      </c>
      <c r="D13" s="5" t="n">
        <v>80.94384089833967</v>
      </c>
      <c r="E13" s="5" t="n">
        <v>186.6797059758842</v>
      </c>
      <c r="F13" s="5" t="n">
        <v>207.697685413979</v>
      </c>
      <c r="G13" s="6">
        <f>pmax_V1</f>
        <v/>
      </c>
    </row>
    <row r="14">
      <c r="B14" s="25" t="inlineStr">
        <is>
          <t>CO₂-Gemisch: 67 bar weniger Kopfdruck zwischen 600 und 1600 m (reines CO₂: 74 bar) – Erdgas und Wasserstoff profitieren kaum von der Teufe.</t>
        </is>
      </c>
    </row>
    <row r="15"/>
    <row r="16">
      <c r="B16" s="69" t="inlineStr">
        <is>
          <t>2) Kennzahlen bei 1200 m Teufe</t>
        </is>
      </c>
    </row>
    <row r="17" ht="25.5" customHeight="1" s="72">
      <c r="B17" s="75" t="inlineStr">
        <is>
          <t>Medium</t>
        </is>
      </c>
      <c r="C17" s="75" t="inlineStr">
        <is>
          <t>Kopfdruck [bar]</t>
        </is>
      </c>
      <c r="D17" s="75" t="inlineStr">
        <is>
          <t>Säulengewinn [bar]</t>
        </is>
      </c>
      <c r="E17" s="75" t="inlineStr">
        <is>
          <t>ρ Kopf [kg/m³]</t>
        </is>
      </c>
      <c r="F17" s="75" t="inlineStr">
        <is>
          <t>ρ unten [kg/m³]</t>
        </is>
      </c>
      <c r="G17" s="75" t="inlineStr">
        <is>
          <t>Übertagetechnik</t>
        </is>
      </c>
    </row>
    <row r="18">
      <c r="B18" s="76" t="inlineStr">
        <is>
          <t>CO₂-Gemisch</t>
        </is>
      </c>
      <c r="C18" s="5" t="n">
        <v>114.9313019820893</v>
      </c>
      <c r="D18" s="7">
        <f>pmax_V1-C18</f>
        <v/>
      </c>
      <c r="E18" s="5" t="n">
        <v>865.0046224890949</v>
      </c>
      <c r="F18" s="5" t="n">
        <v>755.9538427162327</v>
      </c>
      <c r="G18" s="78" t="inlineStr">
        <is>
          <t>Pumpe (91 → 115 bar)</t>
        </is>
      </c>
    </row>
    <row r="19">
      <c r="B19" s="76" t="inlineStr">
        <is>
          <t>reines CO₂</t>
        </is>
      </c>
      <c r="C19" s="5" t="n">
        <v>107.603219569636</v>
      </c>
      <c r="D19" s="7">
        <f>pmax_V1-C19</f>
        <v/>
      </c>
      <c r="E19" s="5" t="n">
        <v>926.3220368040497</v>
      </c>
      <c r="F19" s="5" t="n">
        <v>817.604266524432</v>
      </c>
      <c r="G19" s="78" t="inlineStr">
        <is>
          <t>Pumpe (91 → 108 bar)</t>
        </is>
      </c>
    </row>
    <row r="20">
      <c r="B20" s="76" t="inlineStr">
        <is>
          <t>Erdgas (CH₄)</t>
        </is>
      </c>
      <c r="C20" s="5" t="n">
        <v>191.7053427406622</v>
      </c>
      <c r="D20" s="7">
        <f>pmax_V1-C20</f>
        <v/>
      </c>
      <c r="E20" s="5" t="n">
        <v>167.4719408815457</v>
      </c>
      <c r="F20" s="5" t="n">
        <v>145.1794721555662</v>
      </c>
      <c r="G20" s="78" t="inlineStr">
        <is>
          <t>Verdichter bis ~192 bar</t>
        </is>
      </c>
    </row>
    <row r="21">
      <c r="B21" s="76" t="inlineStr">
        <is>
          <t>Wasserstoff (H₂)</t>
        </is>
      </c>
      <c r="C21" s="5" t="n">
        <v>208.241191221202</v>
      </c>
      <c r="D21" s="7">
        <f>pmax_V1-C21</f>
        <v/>
      </c>
      <c r="E21" s="5" t="n">
        <v>15.72883088966589</v>
      </c>
      <c r="F21" s="5" t="n">
        <v>14.21068755165444</v>
      </c>
      <c r="G21" s="78" t="inlineStr">
        <is>
          <t>Verdichter bis ~208 bar</t>
        </is>
      </c>
    </row>
    <row r="22">
      <c r="B22" s="25" t="inlineStr">
        <is>
          <t>Bei Erdgas und Wasserstoff ist die Dichte unten kleiner als oben: der Temperaturanstieg überwiegt den Druckanstieg.</t>
        </is>
      </c>
    </row>
    <row r="23"/>
    <row r="24">
      <c r="B24" s="69" t="inlineStr">
        <is>
          <t>3) Druck- und Dichteprofile über die Teufe (Kaverne V1, 1200 m – gerechnet in 2-m-Schritten, dargestellt alle 50 m)</t>
        </is>
      </c>
    </row>
    <row r="25" ht="30" customHeight="1" s="72">
      <c r="B25" s="75" t="inlineStr">
        <is>
          <t>Teufe z [m]</t>
        </is>
      </c>
      <c r="C25" s="75" t="inlineStr">
        <is>
          <t>p CO₂-Gemisch [bar]</t>
        </is>
      </c>
      <c r="D25" s="75" t="inlineStr">
        <is>
          <t>ρ CO₂-Gemisch [kg/m³]</t>
        </is>
      </c>
      <c r="E25" s="75" t="inlineStr">
        <is>
          <t>p reines CO₂ [bar]</t>
        </is>
      </c>
      <c r="F25" s="75" t="inlineStr">
        <is>
          <t>ρ reines CO₂ [kg/m³]</t>
        </is>
      </c>
      <c r="G25" s="75" t="inlineStr">
        <is>
          <t>p CH₄ [bar]</t>
        </is>
      </c>
      <c r="H25" s="75" t="inlineStr">
        <is>
          <t>ρ CH₄ [kg/m³]</t>
        </is>
      </c>
      <c r="I25" s="75" t="inlineStr">
        <is>
          <t>p H₂ [bar]</t>
        </is>
      </c>
      <c r="J25" s="75" t="inlineStr">
        <is>
          <t>ρ H₂ [kg/m³]</t>
        </is>
      </c>
    </row>
    <row r="26">
      <c r="B26" s="15" t="n">
        <v>0</v>
      </c>
      <c r="C26" s="5" t="n">
        <v>114.9313019820893</v>
      </c>
      <c r="D26" s="5" t="n">
        <v>865.0046224890949</v>
      </c>
      <c r="E26" s="5" t="n">
        <v>107.603219569636</v>
      </c>
      <c r="F26" s="5" t="n">
        <v>926.3220368040497</v>
      </c>
      <c r="G26" s="5" t="n">
        <v>191.7053427406622</v>
      </c>
      <c r="H26" s="5" t="n">
        <v>167.4719408815457</v>
      </c>
      <c r="I26" s="5" t="n">
        <v>208.241191221202</v>
      </c>
      <c r="J26" s="5" t="n">
        <v>15.72883088966589</v>
      </c>
    </row>
    <row r="27">
      <c r="B27" s="15" t="n">
        <v>50</v>
      </c>
      <c r="C27" s="5" t="n">
        <v>119.1610092411516</v>
      </c>
      <c r="D27" s="5" t="n">
        <v>859.8586484157096</v>
      </c>
      <c r="E27" s="5" t="n">
        <v>112.1341797962734</v>
      </c>
      <c r="F27" s="5" t="n">
        <v>921.366486511542</v>
      </c>
      <c r="G27" s="5" t="n">
        <v>192.5237991102777</v>
      </c>
      <c r="H27" s="5" t="n">
        <v>166.3024809390417</v>
      </c>
      <c r="I27" s="5" t="n">
        <v>208.3181615381853</v>
      </c>
      <c r="J27" s="5" t="n">
        <v>15.65852647572181</v>
      </c>
    </row>
    <row r="28">
      <c r="B28" s="15" t="n">
        <v>100</v>
      </c>
      <c r="C28" s="5" t="n">
        <v>123.3655718216997</v>
      </c>
      <c r="D28" s="5" t="n">
        <v>854.7508052105081</v>
      </c>
      <c r="E28" s="5" t="n">
        <v>116.6408956363133</v>
      </c>
      <c r="F28" s="5" t="n">
        <v>916.4357927804383</v>
      </c>
      <c r="G28" s="5" t="n">
        <v>193.336585324316</v>
      </c>
      <c r="H28" s="5" t="n">
        <v>165.1587904857896</v>
      </c>
      <c r="I28" s="5" t="n">
        <v>208.39478875352</v>
      </c>
      <c r="J28" s="5" t="n">
        <v>15.58890317551354</v>
      </c>
    </row>
    <row r="29">
      <c r="B29" s="15" t="n">
        <v>150</v>
      </c>
      <c r="C29" s="5" t="n">
        <v>127.5451825193627</v>
      </c>
      <c r="D29" s="5" t="n">
        <v>849.6833416492694</v>
      </c>
      <c r="E29" s="5" t="n">
        <v>121.1234940528359</v>
      </c>
      <c r="F29" s="5" t="n">
        <v>911.5319259396267</v>
      </c>
      <c r="G29" s="5" t="n">
        <v>194.1438258140124</v>
      </c>
      <c r="H29" s="5" t="n">
        <v>164.0401012295617</v>
      </c>
      <c r="I29" s="5" t="n">
        <v>208.4710761816751</v>
      </c>
      <c r="J29" s="5" t="n">
        <v>15.51995067544083</v>
      </c>
    </row>
    <row r="30">
      <c r="B30" s="15" t="n">
        <v>200</v>
      </c>
      <c r="C30" s="5" t="n">
        <v>131.7000450035422</v>
      </c>
      <c r="D30" s="5" t="n">
        <v>844.6584485975325</v>
      </c>
      <c r="E30" s="5" t="n">
        <v>125.5821115549518</v>
      </c>
      <c r="F30" s="5" t="n">
        <v>906.656806769357</v>
      </c>
      <c r="G30" s="5" t="n">
        <v>194.9456412954687</v>
      </c>
      <c r="H30" s="5" t="n">
        <v>162.945665822523</v>
      </c>
      <c r="I30" s="5" t="n">
        <v>208.5470270870771</v>
      </c>
      <c r="J30" s="5" t="n">
        <v>15.45165887509044</v>
      </c>
    </row>
    <row r="31">
      <c r="B31" s="15" t="n">
        <v>250</v>
      </c>
      <c r="C31" s="5" t="n">
        <v>135.8303735875529</v>
      </c>
      <c r="D31" s="5" t="n">
        <v>839.6782799883216</v>
      </c>
      <c r="E31" s="5" t="n">
        <v>130.0168939094205</v>
      </c>
      <c r="F31" s="5" t="n">
        <v>901.8122895680307</v>
      </c>
      <c r="G31" s="5" t="n">
        <v>195.7421488727798</v>
      </c>
      <c r="H31" s="5" t="n">
        <v>161.8747579957838</v>
      </c>
      <c r="I31" s="5" t="n">
        <v>208.6226446851422</v>
      </c>
      <c r="J31" s="5" t="n">
        <v>15.38401788166031</v>
      </c>
    </row>
    <row r="32">
      <c r="B32" s="15" t="n">
        <v>300</v>
      </c>
      <c r="C32" s="5" t="n">
        <v>139.9363930931937</v>
      </c>
      <c r="D32" s="5" t="n">
        <v>834.7449697329498</v>
      </c>
      <c r="E32" s="5" t="n">
        <v>134.4279957838498</v>
      </c>
      <c r="F32" s="5" t="n">
        <v>897.0001511506534</v>
      </c>
      <c r="G32" s="5" t="n">
        <v>196.5334621415182</v>
      </c>
      <c r="H32" s="5" t="n">
        <v>160.8266725788987</v>
      </c>
      <c r="I32" s="5" t="n">
        <v>208.6979321432798</v>
      </c>
      <c r="J32" s="5" t="n">
        <v>15.3170180045594</v>
      </c>
    </row>
    <row r="33">
      <c r="B33" s="15" t="n">
        <v>350</v>
      </c>
      <c r="C33" s="5" t="n">
        <v>144.018338778759</v>
      </c>
      <c r="D33" s="5" t="n">
        <v>829.8606404218544</v>
      </c>
      <c r="E33" s="5" t="n">
        <v>138.8155803530323</v>
      </c>
      <c r="F33" s="5" t="n">
        <v>892.222086630273</v>
      </c>
      <c r="G33" s="5" t="n">
        <v>197.3196912920571</v>
      </c>
      <c r="H33" s="5" t="n">
        <v>159.8007254200133</v>
      </c>
      <c r="I33" s="5" t="n">
        <v>208.7728925818721</v>
      </c>
      <c r="J33" s="5" t="n">
        <v>15.25064975017689</v>
      </c>
    </row>
    <row r="34">
      <c r="B34" s="15" t="n">
        <v>400</v>
      </c>
      <c r="C34" s="5" t="n">
        <v>148.0764562827229</v>
      </c>
      <c r="D34" s="5" t="n">
        <v>825.0274011587967</v>
      </c>
      <c r="E34" s="5" t="n">
        <v>143.1798189021624</v>
      </c>
      <c r="F34" s="5" t="n">
        <v>887.4797120192601</v>
      </c>
      <c r="G34" s="5" t="n">
        <v>198.1009432122761</v>
      </c>
      <c r="H34" s="5" t="n">
        <v>158.7962532207887</v>
      </c>
      <c r="I34" s="5" t="n">
        <v>208.847529075226</v>
      </c>
      <c r="J34" s="5" t="n">
        <v>15.18490381681445</v>
      </c>
    </row>
    <row r="35">
      <c r="B35" s="15" t="n">
        <v>450</v>
      </c>
      <c r="C35" s="5" t="n">
        <v>152.1110015270945</v>
      </c>
      <c r="D35" s="5" t="n">
        <v>820.2473337942599</v>
      </c>
      <c r="E35" s="5" t="n">
        <v>147.5208904585417</v>
      </c>
      <c r="F35" s="5" t="n">
        <v>882.7745727921837</v>
      </c>
      <c r="G35" s="5" t="n">
        <v>198.8773215892704</v>
      </c>
      <c r="H35" s="5" t="n">
        <v>157.8126132987892</v>
      </c>
      <c r="I35" s="5" t="n">
        <v>208.921844652503</v>
      </c>
      <c r="J35" s="5" t="n">
        <v>15.11977108977571</v>
      </c>
    </row>
    <row r="36">
      <c r="B36" s="15" t="n">
        <v>500</v>
      </c>
      <c r="C36" s="5" t="n">
        <v>156.1222405259621</v>
      </c>
      <c r="D36" s="5" t="n">
        <v>815.5224688084039</v>
      </c>
      <c r="E36" s="5" t="n">
        <v>151.8389814770035</v>
      </c>
      <c r="F36" s="5" t="n">
        <v>878.1081567113812</v>
      </c>
      <c r="G36" s="5" t="n">
        <v>199.6489270097312</v>
      </c>
      <c r="H36" s="5" t="n">
        <v>156.8491832886778</v>
      </c>
      <c r="I36" s="5" t="n">
        <v>208.9958422986234</v>
      </c>
      <c r="J36" s="5" t="n">
        <v>15.05524263660712</v>
      </c>
    </row>
    <row r="37">
      <c r="B37" s="15" t="n">
        <v>550</v>
      </c>
      <c r="C37" s="5" t="n">
        <v>160.1104490553324</v>
      </c>
      <c r="D37" s="5" t="n">
        <v>810.8547537660469</v>
      </c>
      <c r="E37" s="5" t="n">
        <v>156.1342855942196</v>
      </c>
      <c r="F37" s="5" t="n">
        <v>873.4819085875686</v>
      </c>
      <c r="G37" s="5" t="n">
        <v>200.4158570587282</v>
      </c>
      <c r="H37" s="5" t="n">
        <v>155.9053607923434</v>
      </c>
      <c r="I37" s="5" t="n">
        <v>209.0695249551491</v>
      </c>
      <c r="J37" s="5" t="n">
        <v>14.99130970248502</v>
      </c>
    </row>
    <row r="38">
      <c r="B38" s="15" t="n">
        <v>600</v>
      </c>
      <c r="C38" s="5" t="n">
        <v>164.0759121577262</v>
      </c>
      <c r="D38" s="5" t="n">
        <v>806.2460183358248</v>
      </c>
      <c r="E38" s="5" t="n">
        <v>160.4070034547488</v>
      </c>
      <c r="F38" s="5" t="n">
        <v>868.8972443584622</v>
      </c>
      <c r="G38" s="5" t="n">
        <v>201.1782064166648</v>
      </c>
      <c r="H38" s="5" t="n">
        <v>154.9805629869597</v>
      </c>
      <c r="I38" s="5" t="n">
        <v>209.1428955211428</v>
      </c>
      <c r="J38" s="5" t="n">
        <v>14.92796370574345</v>
      </c>
    </row>
    <row r="39">
      <c r="B39" s="15" t="n">
        <v>650</v>
      </c>
      <c r="C39" s="5" t="n">
        <v>168.0189234757022</v>
      </c>
      <c r="D39" s="5" t="n">
        <v>801.6979401864647</v>
      </c>
      <c r="E39" s="5" t="n">
        <v>164.6573425989316</v>
      </c>
      <c r="F39" s="5" t="n">
        <v>864.3555619715407</v>
      </c>
      <c r="G39" s="5" t="n">
        <v>201.9360669542201</v>
      </c>
      <c r="H39" s="5" t="n">
        <v>154.0742261989491</v>
      </c>
      <c r="I39" s="5" t="n">
        <v>209.2159568540065</v>
      </c>
      <c r="J39" s="5" t="n">
        <v>14.86519623353772</v>
      </c>
    </row>
    <row r="40">
      <c r="B40" s="15" t="n">
        <v>700</v>
      </c>
      <c r="C40" s="5" t="n">
        <v>171.939784428871</v>
      </c>
      <c r="D40" s="5" t="n">
        <v>797.2120156646397</v>
      </c>
      <c r="E40" s="5" t="n">
        <v>168.8855173915603</v>
      </c>
      <c r="F40" s="5" t="n">
        <v>859.8582470542098</v>
      </c>
      <c r="G40" s="5" t="n">
        <v>202.6895278251305</v>
      </c>
      <c r="H40" s="5" t="n">
        <v>153.1858054508931</v>
      </c>
      <c r="I40" s="5" t="n">
        <v>209.2887117702988</v>
      </c>
      <c r="J40" s="5" t="n">
        <v>14.80299903763915</v>
      </c>
    </row>
    <row r="41">
      <c r="B41" s="15" t="n">
        <v>750</v>
      </c>
      <c r="C41" s="5" t="n">
        <v>175.8388032658045</v>
      </c>
      <c r="D41" s="5" t="n">
        <v>792.7895381834925</v>
      </c>
      <c r="E41" s="5" t="n">
        <v>173.0917489623185</v>
      </c>
      <c r="F41" s="5" t="n">
        <v>855.4066721820159</v>
      </c>
      <c r="G41" s="5" t="n">
        <v>203.4386755566926</v>
      </c>
      <c r="H41" s="5" t="n">
        <v>152.3147739875809</v>
      </c>
      <c r="I41" s="5" t="n">
        <v>209.3611630465319</v>
      </c>
      <c r="J41" s="5" t="n">
        <v>14.74136403035596</v>
      </c>
    </row>
    <row r="42">
      <c r="B42" s="15" t="n">
        <v>800</v>
      </c>
      <c r="C42" s="5" t="n">
        <v>179.7162940333967</v>
      </c>
      <c r="D42" s="5" t="n">
        <v>788.4315859598239</v>
      </c>
      <c r="E42" s="5" t="n">
        <v>177.276265125521</v>
      </c>
      <c r="F42" s="5" t="n">
        <v>851.002189481026</v>
      </c>
      <c r="G42" s="5" t="n">
        <v>204.1835941379002</v>
      </c>
      <c r="H42" s="5" t="n">
        <v>151.4606227866182</v>
      </c>
      <c r="I42" s="5" t="n">
        <v>209.4333134199485</v>
      </c>
      <c r="J42" s="5" t="n">
        <v>14.68028328057636</v>
      </c>
    </row>
    <row r="43">
      <c r="B43" s="15" t="n">
        <v>850</v>
      </c>
      <c r="C43" s="5" t="n">
        <v>183.5725755108226</v>
      </c>
      <c r="D43" s="5" t="n">
        <v>784.1390194017837</v>
      </c>
      <c r="E43" s="5" t="n">
        <v>181.4393002480552</v>
      </c>
      <c r="F43" s="5" t="n">
        <v>846.6461173344846</v>
      </c>
      <c r="G43" s="5" t="n">
        <v>204.9243651051519</v>
      </c>
      <c r="H43" s="5" t="n">
        <v>150.6228600583274</v>
      </c>
      <c r="I43" s="5" t="n">
        <v>209.5051655892808</v>
      </c>
      <c r="J43" s="5" t="n">
        <v>14.61974900992922</v>
      </c>
    </row>
    <row r="44">
      <c r="B44" s="15" t="n">
        <v>900</v>
      </c>
      <c r="C44" s="5" t="n">
        <v>187.4079701536713</v>
      </c>
      <c r="D44" s="5" t="n">
        <v>779.9124872965434</v>
      </c>
      <c r="E44" s="5" t="n">
        <v>185.5810950402171</v>
      </c>
      <c r="F44" s="5" t="n">
        <v>842.3397227262963</v>
      </c>
      <c r="G44" s="5" t="n">
        <v>205.661067625487</v>
      </c>
      <c r="H44" s="5" t="n">
        <v>149.8010107390447</v>
      </c>
      <c r="I44" s="5" t="n">
        <v>209.5767222154894</v>
      </c>
      <c r="J44" s="5" t="n">
        <v>14.55975358905833</v>
      </c>
    </row>
    <row r="45">
      <c r="B45" s="15" t="n">
        <v>950</v>
      </c>
      <c r="C45" s="5" t="n">
        <v>191.2228030874113</v>
      </c>
      <c r="D45" s="5" t="n">
        <v>775.752440125478</v>
      </c>
      <c r="E45" s="5" t="n">
        <v>189.7018962532259</v>
      </c>
      <c r="F45" s="5" t="n">
        <v>838.0842013089516</v>
      </c>
      <c r="G45" s="5" t="n">
        <v>206.3937785773266</v>
      </c>
      <c r="H45" s="5" t="n">
        <v>148.9946159813571</v>
      </c>
      <c r="I45" s="5" t="n">
        <v>209.6479859224853</v>
      </c>
      <c r="J45" s="5" t="n">
        <v>14.50028953400642</v>
      </c>
    </row>
    <row r="46">
      <c r="B46" s="15" t="n">
        <v>1000</v>
      </c>
      <c r="C46" s="5" t="n">
        <v>195.0174011798634</v>
      </c>
      <c r="D46" s="5" t="n">
        <v>771.6591483966583</v>
      </c>
      <c r="E46" s="5" t="n">
        <v>193.8019562780313</v>
      </c>
      <c r="F46" s="5" t="n">
        <v>833.88065746307</v>
      </c>
      <c r="G46" s="5" t="n">
        <v>207.1225726287141</v>
      </c>
      <c r="H46" s="5" t="n">
        <v>148.2032326443234</v>
      </c>
      <c r="I46" s="5" t="n">
        <v>209.7189592978339</v>
      </c>
      <c r="J46" s="5" t="n">
        <v>14.44134950270513</v>
      </c>
    </row>
    <row r="47">
      <c r="B47" s="15" t="n">
        <v>1050</v>
      </c>
      <c r="C47" s="5" t="n">
        <v>198.7920922116776</v>
      </c>
      <c r="D47" s="5" t="n">
        <v>767.6327238040142</v>
      </c>
      <c r="E47" s="5" t="n">
        <v>197.8815326508965</v>
      </c>
      <c r="F47" s="5" t="n">
        <v>829.7300864645803</v>
      </c>
      <c r="G47" s="5" t="n">
        <v>207.84752231306</v>
      </c>
      <c r="H47" s="5" t="n">
        <v>147.4264327862767</v>
      </c>
      <c r="I47" s="5" t="n">
        <v>209.7896448934424</v>
      </c>
      <c r="J47" s="5" t="n">
        <v>14.38292629156719</v>
      </c>
    </row>
    <row r="48">
      <c r="B48" s="15" t="n">
        <v>1100</v>
      </c>
      <c r="C48" s="5" t="n">
        <v>202.5472041534649</v>
      </c>
      <c r="D48" s="5" t="n">
        <v>763.6731412195195</v>
      </c>
      <c r="E48" s="5" t="n">
        <v>201.9408874806155</v>
      </c>
      <c r="F48" s="5" t="n">
        <v>825.633360446953</v>
      </c>
      <c r="G48" s="5" t="n">
        <v>208.5686981024106</v>
      </c>
      <c r="H48" s="5" t="n">
        <v>146.6638031624037</v>
      </c>
      <c r="I48" s="5" t="n">
        <v>209.8600452262305</v>
      </c>
      <c r="J48" s="5" t="n">
        <v>14.32501283217746</v>
      </c>
    </row>
    <row r="49">
      <c r="B49" s="15" t="n">
        <v>1150</v>
      </c>
      <c r="C49" s="5" t="n">
        <v>206.2830645493646</v>
      </c>
      <c r="D49" s="5" t="n">
        <v>759.7802598970804</v>
      </c>
      <c r="E49" s="5" t="n">
        <v>205.9802868190127</v>
      </c>
      <c r="F49" s="5" t="n">
        <v>821.5912192425889</v>
      </c>
      <c r="G49" s="5" t="n">
        <v>209.2861684782681</v>
      </c>
      <c r="H49" s="5" t="n">
        <v>145.9149447289471</v>
      </c>
      <c r="I49" s="5" t="n">
        <v>209.9301627787852</v>
      </c>
      <c r="J49" s="5" t="n">
        <v>14.26760218807953</v>
      </c>
    </row>
    <row r="50">
      <c r="B50" s="15" t="n">
        <v>1200</v>
      </c>
      <c r="C50" s="5" t="n">
        <v>210</v>
      </c>
      <c r="D50" s="5" t="n">
        <v>755.9538427162327</v>
      </c>
      <c r="E50" s="5" t="n">
        <v>210</v>
      </c>
      <c r="F50" s="5" t="n">
        <v>817.604266524432</v>
      </c>
      <c r="G50" s="5" t="n">
        <v>210</v>
      </c>
      <c r="H50" s="5" t="n">
        <v>145.1794721555662</v>
      </c>
      <c r="I50" s="5" t="n">
        <v>210</v>
      </c>
      <c r="J50" s="5" t="n">
        <v>14.21068755165444</v>
      </c>
    </row>
    <row r="51">
      <c r="B51" s="25" t="inlineStr">
        <is>
          <t>Gleiche Rechnung wie auf Blatt „Kaverne &amp; Gassäule“ (Fall voll): von 210 bar unten nach oben integriert, Gebirge 10 °C + 0,03 K/m.</t>
        </is>
      </c>
    </row>
  </sheetData>
  <mergeCells count="1">
    <mergeCell ref="B4:H4"/>
  </mergeCells>
  <conditionalFormatting sqref="B8:F13 B26:J50">
    <cfRule type="expression" priority="1" dxfId="0">
      <formula>NOT(Stand_ok)</formula>
    </cfRule>
  </conditionalFormatting>
  <conditionalFormatting sqref="C18:C21">
    <cfRule type="expression" priority="2" dxfId="0">
      <formula>NOT(Stand_ok)</formula>
    </cfRule>
  </conditionalFormatting>
  <conditionalFormatting sqref="E18:F21">
    <cfRule type="expression" priority="3" dxfId="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7335"/>
    <outlinePr summaryBelow="1" summaryRight="1"/>
    <pageSetUpPr fitToPage="1"/>
  </sheetPr>
  <dimension ref="A1:I29"/>
  <sheetViews>
    <sheetView showGridLines="0" tabSelected="0" workbookViewId="0">
      <selection activeCell="A1" sqref="A1"/>
    </sheetView>
  </sheetViews>
  <sheetFormatPr baseColWidth="10" defaultColWidth="9.140625" defaultRowHeight="15"/>
  <cols>
    <col width="2.7109375" customWidth="1" style="72" min="1" max="1"/>
    <col width="5.7109375" customWidth="1" style="72" min="2" max="2"/>
    <col width="38.7109375" customWidth="1" style="72" min="3" max="3"/>
    <col width="34.7109375" customWidth="1" style="72" min="4" max="4"/>
    <col width="17.7109375" customWidth="1" style="72" min="5" max="5"/>
    <col width="10.7109375" customWidth="1" style="72" min="6" max="6"/>
    <col width="20.7109375" customWidth="1" style="72" min="7" max="7"/>
    <col width="9.7109375" customWidth="1" style="72" min="8" max="31"/>
  </cols>
  <sheetData>
    <row r="1" ht="30" customHeight="1" s="72">
      <c r="B1" s="1" t="inlineStr">
        <is>
          <t>Einspeicherung S1 – Anlieferung in dichter Phase: Pumpe (Worst-Case-Gemisch)</t>
        </is>
      </c>
    </row>
    <row r="2">
      <c r="B2" s="2" t="inlineStr">
        <is>
          <t>Netzübergabe → Messtechnik/Filtration → Pumpe → Bohrlochkopf</t>
        </is>
      </c>
    </row>
    <row r="3">
      <c r="B3" s="71" t="inlineStr">
        <is>
          <t>← zur Übersicht</t>
        </is>
      </c>
    </row>
    <row r="4" ht="140.45" customHeight="1" s="72">
      <c r="B4" s="94" t="inlineStr">
        <is>
          <r>
            <rPr>
              <rFont val="Calibri"/>
              <b val="1"/>
              <sz val="10"/>
            </rPr>
            <t>AUSGANGSLAGE:</t>
          </r>
          <r>
            <rPr>
              <rFont val="Calibri"/>
              <sz val="10"/>
            </rPr>
            <t xml:space="preserve">  Das CO₂-Gemisch kommt dicht (flüssigkeitsähnlich) aus der Fernleitung: 91 bar, 15 °C. Es liegt 19 bar über der Blasenlinie und 8,8 bar über der Cricondenbar – sicher außerhalb der Unsicherheit der Phasengrenze (±3 bar).
</t>
          </r>
          <r>
            <rPr>
              <rFont val="Calibri"/>
              <b val="1"/>
              <sz val="10"/>
            </rPr>
            <t>ZIEL:</t>
          </r>
          <r>
            <rPr>
              <rFont val="Calibri"/>
              <sz val="10"/>
            </rPr>
            <t xml:space="preserve">  114,3 bar am Bohrlochkopf im Betrieb (100.000 Nm³/h) – strömende Säule, Blatt „Kaverne &amp; Gassäule“, Abschnitt Betrieb. Im Stillstand wären es 114,9 bar: das kalte CO₂ aus der Pumpe (18,3 °C statt Gebirgstemperatur) macht die Säule schwerer, die Reibung (1,7 bar) kostet etwas zurück.
</t>
          </r>
          <r>
            <rPr>
              <rFont val="Calibri"/>
              <b val="1"/>
              <sz val="10"/>
            </rPr>
            <t>WARUM EINE PUMPE?</t>
          </r>
          <r>
            <rPr>
              <rFont val="Calibri"/>
              <sz val="10"/>
            </rPr>
            <t xml:space="preserve">  Das Gemisch ist bereits dicht und kaum kompressibel. Eine Pumpe genügt, ein Verdichter wäre nur für Gas nötig.
</t>
          </r>
          <r>
            <rPr>
              <rFont val="Calibri"/>
              <b val="1"/>
              <sz val="10"/>
            </rPr>
            <t>RECHENWEG:</t>
          </r>
          <r>
            <rPr>
              <rFont val="Calibri"/>
              <sz val="10"/>
            </rPr>
            <t xml:space="preserve">  (1) Zustand am Eintritt → Enthalpie h₁, Entropie s₁.  (2) Idealfall: isentrope Druckerhöhung (Entropie bleibt gleich) → h₂s.  (3) Realfall mit Verlusten über den isentropen Wirkungsgrad: h₂ = h₁ + (h₂s − h₁) / η.  (4) Aus p₂ und h₂ → Austrittstemperatur T₂.  (5) Spezifische Arbeit w = h₂ − h₁, Leistung P = ṁ · w.
</t>
          </r>
          <r>
            <rPr>
              <rFont val="Calibri"/>
              <b val="1"/>
              <sz val="10"/>
            </rPr>
            <t>BEGRIFF:</t>
          </r>
          <r>
            <rPr>
              <rFont val="Calibri"/>
              <sz val="10"/>
            </rPr>
            <t xml:space="preserve">  isentrop = Entropie konstant (Pumpe, Verdichter). Nicht verwechseln mit isenthalp = Enthalpie konstant (Drossel bei der Ausspeicherung).
</t>
          </r>
          <r>
            <rPr>
              <rFont val="Calibri"/>
              <b val="1"/>
              <sz val="10"/>
            </rPr>
            <t>ANNAHMEN:</t>
          </r>
          <r>
            <rPr>
              <rFont val="Calibri"/>
              <sz val="10"/>
            </rPr>
            <t xml:space="preserve">  η = 0,80 (eigene Annahme – Q-016 S. 4 nennt nur eine Glykolpumpe mit 70 %; Herstellerwert einholen); kein Druckverlust in Messtechnik und Filtration; Worst-Case-Gemisch (Enthalpien haben einen anderen Nullpunkt als bei reinem CO₂ – vergleichbar sind nur Differenzen).</t>
          </r>
        </is>
      </c>
      <c r="C4" s="92" t="n"/>
      <c r="D4" s="92" t="n"/>
      <c r="E4" s="92" t="n"/>
      <c r="F4" s="92" t="n"/>
      <c r="G4" s="93" t="n"/>
    </row>
    <row r="5"/>
    <row r="6">
      <c r="B6" s="69" t="inlineStr">
        <is>
          <t>Rechenschritte</t>
        </is>
      </c>
    </row>
    <row r="7">
      <c r="B7" s="75" t="inlineStr">
        <is>
          <t>Nr.</t>
        </is>
      </c>
      <c r="C7" s="75" t="inlineStr">
        <is>
          <t>Rechenschritt</t>
        </is>
      </c>
      <c r="D7" s="75" t="inlineStr">
        <is>
          <t>Formel / Funktion</t>
        </is>
      </c>
      <c r="E7" s="75" t="inlineStr">
        <is>
          <t>Wert</t>
        </is>
      </c>
      <c r="F7" s="75" t="inlineStr">
        <is>
          <t>Einheit</t>
        </is>
      </c>
      <c r="G7" s="75" t="inlineStr">
        <is>
          <t>Art des Werts</t>
        </is>
      </c>
    </row>
    <row r="8">
      <c r="B8" s="78" t="n">
        <v>1</v>
      </c>
      <c r="C8" s="78" t="inlineStr">
        <is>
          <t>Eintrittsdruck</t>
        </is>
      </c>
      <c r="D8" s="78" t="inlineStr">
        <is>
          <t>= Übergabedruck S1</t>
        </is>
      </c>
      <c r="E8" s="6">
        <f>p_S1</f>
        <v/>
      </c>
      <c r="F8" s="78" t="inlineStr">
        <is>
          <t>bar</t>
        </is>
      </c>
      <c r="G8" s="78" t="inlineStr">
        <is>
          <t>aus anderem Blatt</t>
        </is>
      </c>
    </row>
    <row r="9">
      <c r="B9" s="78" t="n">
        <v>2</v>
      </c>
      <c r="C9" s="78" t="inlineStr">
        <is>
          <t>Eintrittstemperatur</t>
        </is>
      </c>
      <c r="D9" s="78" t="inlineStr">
        <is>
          <t>= Übergabetemperatur S1</t>
        </is>
      </c>
      <c r="E9" s="6">
        <f>T_S1</f>
        <v/>
      </c>
      <c r="F9" s="78" t="inlineStr">
        <is>
          <t>°C</t>
        </is>
      </c>
      <c r="G9" s="78" t="inlineStr">
        <is>
          <t>aus anderem Blatt</t>
        </is>
      </c>
    </row>
    <row r="10">
      <c r="B10" s="78" t="n">
        <v>3</v>
      </c>
      <c r="C10" s="78" t="inlineStr">
        <is>
          <t>Enthalpie Eintritt h₁</t>
        </is>
      </c>
      <c r="D10" s="78" t="inlineStr">
        <is>
          <t>CoolProp: H(p₁, T₁)</t>
        </is>
      </c>
      <c r="E10" s="17" t="n">
        <v>246.6264053243346</v>
      </c>
      <c r="F10" s="78" t="inlineStr">
        <is>
          <t>kJ/kg</t>
        </is>
      </c>
      <c r="G10" s="78" t="inlineStr">
        <is>
          <t>CoolProp (fest)</t>
        </is>
      </c>
    </row>
    <row r="11">
      <c r="B11" s="78" t="n">
        <v>4</v>
      </c>
      <c r="C11" s="78" t="inlineStr">
        <is>
          <t>Entropie Eintritt s₁</t>
        </is>
      </c>
      <c r="D11" s="78" t="inlineStr">
        <is>
          <t>CoolProp: S(p₁, T₁)</t>
        </is>
      </c>
      <c r="E11" s="26" t="n">
        <v>1.272635446054088</v>
      </c>
      <c r="F11" s="78" t="inlineStr">
        <is>
          <t>kJ/(kg·K)</t>
        </is>
      </c>
      <c r="G11" s="78" t="inlineStr">
        <is>
          <t>CoolProp (fest)</t>
        </is>
      </c>
    </row>
    <row r="12">
      <c r="B12" s="78" t="n">
        <v>5</v>
      </c>
      <c r="C12" s="78" t="inlineStr">
        <is>
          <t>Austrittsdruck p₂ (= Zieldruck im Betrieb)</t>
        </is>
      </c>
      <c r="D12" s="78" t="inlineStr">
        <is>
          <t>Kaverne &amp; Gassäule: Betrieb, V_n,max</t>
        </is>
      </c>
      <c r="E12" s="6">
        <f>Kopf_betr_S1</f>
        <v/>
      </c>
      <c r="F12" s="78" t="inlineStr">
        <is>
          <t>bar</t>
        </is>
      </c>
      <c r="G12" s="78" t="inlineStr">
        <is>
          <t>aus anderem Blatt</t>
        </is>
      </c>
    </row>
    <row r="13">
      <c r="B13" s="78" t="n">
        <v>6</v>
      </c>
      <c r="C13" s="78" t="inlineStr">
        <is>
          <t>Enthalpie isentrop h₂s</t>
        </is>
      </c>
      <c r="D13" s="78" t="inlineStr">
        <is>
          <t>CoolProp: H(p₂, s = s₁)</t>
        </is>
      </c>
      <c r="E13" s="17" t="n">
        <v>249.5239949507338</v>
      </c>
      <c r="F13" s="78" t="inlineStr">
        <is>
          <t>kJ/kg</t>
        </is>
      </c>
      <c r="G13" s="78" t="inlineStr">
        <is>
          <t>CoolProp (fest)</t>
        </is>
      </c>
    </row>
    <row r="14">
      <c r="B14" s="78" t="n">
        <v>7</v>
      </c>
      <c r="C14" s="78" t="inlineStr">
        <is>
          <t>Isentroper Wirkungsgrad η</t>
        </is>
      </c>
      <c r="D14" s="78" t="inlineStr">
        <is>
          <t>Annahme (Übersicht)</t>
        </is>
      </c>
      <c r="E14" s="24">
        <f>eta</f>
        <v/>
      </c>
      <c r="F14" s="78" t="inlineStr">
        <is>
          <t>–</t>
        </is>
      </c>
      <c r="G14" s="78" t="inlineStr">
        <is>
          <t>aus anderem Blatt</t>
        </is>
      </c>
    </row>
    <row r="15">
      <c r="B15" s="78" t="n">
        <v>8</v>
      </c>
      <c r="C15" s="78" t="inlineStr">
        <is>
          <t>Enthalpie real h₂</t>
        </is>
      </c>
      <c r="D15" s="78" t="inlineStr">
        <is>
          <t>h₂ = h₁ + (h₂s − h₁) / η</t>
        </is>
      </c>
      <c r="E15" s="24">
        <f>Szen1_h1+(Szen1_h2s-Szen1_h1)/eta</f>
        <v/>
      </c>
      <c r="F15" s="78" t="inlineStr">
        <is>
          <t>kJ/kg</t>
        </is>
      </c>
      <c r="G15" s="78" t="inlineStr">
        <is>
          <t>Excel-Formel</t>
        </is>
      </c>
    </row>
    <row r="16">
      <c r="B16" s="78" t="n">
        <v>9</v>
      </c>
      <c r="C16" s="78" t="inlineStr">
        <is>
          <t>Austrittstemperatur T₂</t>
        </is>
      </c>
      <c r="D16" s="78" t="inlineStr">
        <is>
          <t>CoolProp: T(p₂, h₂)</t>
        </is>
      </c>
      <c r="E16" s="17" t="n">
        <v>18.30573505665217</v>
      </c>
      <c r="F16" s="78" t="inlineStr">
        <is>
          <t>°C</t>
        </is>
      </c>
      <c r="G16" s="78" t="inlineStr">
        <is>
          <t>CoolProp (fest)</t>
        </is>
      </c>
    </row>
    <row r="17">
      <c r="B17" s="78" t="n">
        <v>10</v>
      </c>
      <c r="C17" s="78" t="inlineStr">
        <is>
          <t>Phase am Austritt</t>
        </is>
      </c>
      <c r="D17" s="78" t="inlineStr">
        <is>
          <t>CoolProp: Phase(p₂, h₂)</t>
        </is>
      </c>
      <c r="E17" s="27" t="inlineStr">
        <is>
          <t>dicht (flüssig)</t>
        </is>
      </c>
      <c r="F17" s="78" t="inlineStr">
        <is>
          <t>–</t>
        </is>
      </c>
      <c r="G17" s="78" t="inlineStr">
        <is>
          <t>CoolProp (fest)</t>
        </is>
      </c>
    </row>
    <row r="18">
      <c r="B18" s="78" t="n">
        <v>11</v>
      </c>
      <c r="C18" s="78" t="inlineStr">
        <is>
          <t>Spezifische Arbeit w</t>
        </is>
      </c>
      <c r="D18" s="78" t="inlineStr">
        <is>
          <t>w = h₂ − h₁</t>
        </is>
      </c>
      <c r="E18" s="21">
        <f>Szen1_h2-Szen1_h1</f>
        <v/>
      </c>
      <c r="F18" s="78" t="inlineStr">
        <is>
          <t>kJ/kg</t>
        </is>
      </c>
      <c r="G18" s="78" t="inlineStr">
        <is>
          <t>Ergebnis (Formel)</t>
        </is>
      </c>
    </row>
    <row r="19">
      <c r="B19" s="78" t="n">
        <v>12</v>
      </c>
      <c r="C19" s="78" t="inlineStr">
        <is>
          <t>Normdichte Gemisch (0 °C; 1,01325 bar)</t>
        </is>
      </c>
      <c r="D19" s="78" t="inlineStr">
        <is>
          <t>CoolProp: D(p_n, T_n), DIN 1343</t>
        </is>
      </c>
      <c r="E19" s="26" t="n">
        <v>1.934284998391062</v>
      </c>
      <c r="F19" s="78" t="inlineStr">
        <is>
          <t>kg/m³</t>
        </is>
      </c>
      <c r="G19" s="78" t="inlineStr">
        <is>
          <t>CoolProp (fest)</t>
        </is>
      </c>
    </row>
    <row r="20">
      <c r="B20" s="78" t="n">
        <v>13</v>
      </c>
      <c r="C20" s="78" t="inlineStr">
        <is>
          <t>Massenstrom, unterer Fall</t>
        </is>
      </c>
      <c r="D20" s="78" t="inlineStr">
        <is>
          <t>ṁ = V_n,min · ρ_n / 3600</t>
        </is>
      </c>
      <c r="E20" s="24">
        <f>V_min*rho_n/3600</f>
        <v/>
      </c>
      <c r="F20" s="78" t="inlineStr">
        <is>
          <t>kg/s</t>
        </is>
      </c>
      <c r="G20" s="78" t="inlineStr">
        <is>
          <t>Excel-Formel</t>
        </is>
      </c>
    </row>
    <row r="21">
      <c r="B21" s="78" t="n">
        <v>14</v>
      </c>
      <c r="C21" s="78" t="inlineStr">
        <is>
          <t>Massenstrom, oberer Fall</t>
        </is>
      </c>
      <c r="D21" s="78" t="inlineStr">
        <is>
          <t>ṁ = V_n,max · ρ_n / 3600</t>
        </is>
      </c>
      <c r="E21" s="24">
        <f>V_max*rho_n/3600</f>
        <v/>
      </c>
      <c r="F21" s="78" t="inlineStr">
        <is>
          <t>kg/s</t>
        </is>
      </c>
      <c r="G21" s="78" t="inlineStr">
        <is>
          <t>Excel-Formel</t>
        </is>
      </c>
    </row>
    <row r="22">
      <c r="B22" s="78" t="n">
        <v>15</v>
      </c>
      <c r="C22" s="78" t="inlineStr">
        <is>
          <t>Pumpenleistung, unterer Fall</t>
        </is>
      </c>
      <c r="D22" s="78" t="inlineStr">
        <is>
          <t>P = ṁ · w</t>
        </is>
      </c>
      <c r="E22" s="7">
        <f>Szen1_mmin*Szen1_w</f>
        <v/>
      </c>
      <c r="F22" s="78" t="inlineStr">
        <is>
          <t>kW</t>
        </is>
      </c>
      <c r="G22" s="78" t="inlineStr">
        <is>
          <t>Ergebnis (Formel)</t>
        </is>
      </c>
    </row>
    <row r="23">
      <c r="B23" s="78" t="n">
        <v>16</v>
      </c>
      <c r="C23" s="78" t="inlineStr">
        <is>
          <t>Pumpenleistung, oberer Fall</t>
        </is>
      </c>
      <c r="D23" s="78" t="inlineStr">
        <is>
          <t>P = ṁ · w</t>
        </is>
      </c>
      <c r="E23" s="7">
        <f>Szen1_mmax*Szen1_w</f>
        <v/>
      </c>
      <c r="F23" s="78" t="inlineStr">
        <is>
          <t>kW</t>
        </is>
      </c>
      <c r="G23" s="78" t="inlineStr">
        <is>
          <t>Ergebnis (Formel)</t>
        </is>
      </c>
    </row>
    <row r="24">
      <c r="B24" s="25" t="inlineStr">
        <is>
          <t>Wird η auf der Übersicht geändert, rechnen h₂, w und P sofort mit. T₂ kommt aus CoolProp und färbt sich dann rot (veraltet).</t>
        </is>
      </c>
    </row>
    <row r="25"/>
    <row r="26">
      <c r="B26" s="69" t="inlineStr">
        <is>
          <t>Zustandspunkte</t>
        </is>
      </c>
    </row>
    <row r="27">
      <c r="B27" s="75" t="n"/>
      <c r="C27" s="75" t="inlineStr">
        <is>
          <t>Punkt</t>
        </is>
      </c>
      <c r="D27" s="75" t="inlineStr">
        <is>
          <t>p [bar]</t>
        </is>
      </c>
      <c r="E27" s="75" t="inlineStr">
        <is>
          <t>T [°C]</t>
        </is>
      </c>
      <c r="F27" s="75" t="inlineStr">
        <is>
          <t>h [kJ/kg]</t>
        </is>
      </c>
      <c r="G27" s="75" t="inlineStr">
        <is>
          <t>Phase</t>
        </is>
      </c>
    </row>
    <row r="28">
      <c r="B28" s="78" t="n"/>
      <c r="C28" s="76" t="inlineStr">
        <is>
          <t>Netzübergabe / Pumpe ein</t>
        </is>
      </c>
      <c r="D28" s="5" t="n">
        <v>91</v>
      </c>
      <c r="E28" s="17" t="n">
        <v>15</v>
      </c>
      <c r="F28" s="17" t="n">
        <v>246.6264053243346</v>
      </c>
      <c r="G28" s="27" t="inlineStr">
        <is>
          <t>dicht (flüssig)</t>
        </is>
      </c>
      <c r="I28" s="51" t="inlineStr">
        <is>
          <t>Die Pumpe hebt den Druck von 91 auf 114,3 bar; die Temperatur steigt nur um 3,3 K. Der ganze Weg liegt über der Cricondenbar (82,2 bar) – das Gemisch bleibt einphasig dicht, die Pumpe sieht nie das Zweiphasengebiet. Gesamtbild: Blatt „Phasendiagramm“.</t>
        </is>
      </c>
    </row>
    <row r="29">
      <c r="B29" s="78" t="n"/>
      <c r="C29" s="76" t="inlineStr">
        <is>
          <t>Pumpe aus / Bohrlochkopf</t>
        </is>
      </c>
      <c r="D29" s="5">
        <f>Szen1_p2</f>
        <v/>
      </c>
      <c r="E29" s="17">
        <f>Szen1_T2</f>
        <v/>
      </c>
      <c r="F29" s="17">
        <f>Szen1_h2</f>
        <v/>
      </c>
      <c r="G29" s="27" t="inlineStr">
        <is>
          <t>dicht (flüssig)</t>
        </is>
      </c>
    </row>
  </sheetData>
  <mergeCells count="1">
    <mergeCell ref="B4:G4"/>
  </mergeCells>
  <conditionalFormatting sqref="D28:G29">
    <cfRule type="expression" priority="7" dxfId="0">
      <formula>NOT(Stand_ok)</formula>
    </cfRule>
  </conditionalFormatting>
  <conditionalFormatting sqref="E10:E11">
    <cfRule type="expression" priority="1" dxfId="0">
      <formula>NOT(Stand_ok)</formula>
    </cfRule>
  </conditionalFormatting>
  <conditionalFormatting sqref="E13">
    <cfRule type="expression" priority="3" dxfId="0">
      <formula>NOT(Stand_ok)</formula>
    </cfRule>
  </conditionalFormatting>
  <conditionalFormatting sqref="E16:E17">
    <cfRule type="expression" priority="4" dxfId="0">
      <formula>NOT(Stand_ok)</formula>
    </cfRule>
  </conditionalFormatting>
  <conditionalFormatting sqref="E19">
    <cfRule type="expression" priority="6" dxfId="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476D9"/>
    <outlinePr summaryBelow="1" summaryRight="1"/>
    <pageSetUpPr fitToPage="1"/>
  </sheetPr>
  <dimension ref="A1:I78"/>
  <sheetViews>
    <sheetView showGridLines="0" tabSelected="0" workbookViewId="0">
      <selection activeCell="A1" sqref="A1"/>
    </sheetView>
  </sheetViews>
  <sheetFormatPr baseColWidth="10" defaultColWidth="9.140625" defaultRowHeight="15" customHeight="1"/>
  <cols>
    <col width="3.42578125" customWidth="1" style="28" min="1" max="1"/>
    <col width="6.42578125" customWidth="1" style="28" min="2" max="2"/>
    <col width="39.42578125" customWidth="1" style="28" min="3" max="3"/>
    <col width="34.7109375" customWidth="1" style="28" min="4" max="4"/>
    <col width="18.7109375" customWidth="1" style="28" min="5" max="5"/>
    <col width="14.7109375" customWidth="1" style="28" min="6" max="6"/>
    <col width="24.7109375" customWidth="1" style="28" min="7" max="7"/>
    <col width="3.7109375" customWidth="1" style="28" min="8" max="8"/>
    <col width="9.7109375" customWidth="1" style="28" min="9" max="31"/>
    <col width="9.140625" customWidth="1" style="28" min="32" max="16384"/>
  </cols>
  <sheetData>
    <row r="1" ht="30" customHeight="1" s="72">
      <c r="B1" s="1" t="inlineStr">
        <is>
          <t>Einspeicherung S2 – gasförmige Anlieferung: verdichten, kühlen, pumpen (Worst-Case-Gemisch)</t>
        </is>
      </c>
    </row>
    <row r="2" ht="15" customHeight="1" s="72">
      <c r="B2" s="2" t="inlineStr">
        <is>
          <t>Netzübergabe → Messtechnik/Filtration → Verdichter 1 → Zwischenkühler (40 °C) → Verdichter 2 → Kühler (91 bar, 26 °C) → Pumpe → Bohrlochkopf</t>
        </is>
      </c>
    </row>
    <row r="3" ht="15" customHeight="1" s="72">
      <c r="B3" s="29" t="inlineStr">
        <is>
          <t>← zur Übersicht</t>
        </is>
      </c>
    </row>
    <row r="4" ht="150" customHeight="1" s="72">
      <c r="B4" s="83" t="inlineStr">
        <is>
          <r>
            <rPr>
              <rFont val="Calibri"/>
              <b val="1"/>
              <sz val="10"/>
            </rPr>
            <t>AUSGANGSLAGE:</t>
          </r>
          <r>
            <rPr>
              <rFont val="Calibri"/>
              <sz val="10"/>
            </rPr>
            <t xml:space="preserve">  Das CO₂-Gemisch kommt gasförmig an: 30 bar, 15 °C. Ziel: 127,3 bar am Bohrlochkopf im Betrieb (100.000 Nm³/h; Stillstand 114,9 bar – Blatt „Kaverne &amp; Gassäule“).
</t>
          </r>
          <r>
            <rPr>
              <rFont val="Calibri"/>
              <b val="1"/>
              <sz val="10"/>
            </rPr>
            <t>WEG:</t>
          </r>
          <r>
            <rPr>
              <rFont val="Calibri"/>
              <sz val="10"/>
            </rPr>
            <t xml:space="preserve">  Zwei Verdichterstufen 30 → 55 → 91 bar mit Zwischenkühler auf 40 °C; 91 bar liegt über der Cricondenbar des Gemischs (82,2 bar). Der Kühler vor der Pumpe kühlt bei 91 bar auf 26 °C – das CO₂ wird stetig dichter, ohne ein Zweiphasengebiet zu berühren (keine Kondensation, kein Verflüssiger). Die Pumpe saugt einphasig dichtes CO₂ an (660 kg/m³) – bei demselben Druck wie in S1.
</t>
          </r>
          <r>
            <rPr>
              <rFont val="Calibri"/>
              <b val="1"/>
              <sz val="10"/>
            </rPr>
            <t>ZWEI KÜHLER, ZWEI ZWECKE:</t>
          </r>
          <r>
            <rPr>
              <rFont val="Calibri"/>
              <sz val="10"/>
            </rPr>
            <t xml:space="preserve">  Zwischenkühler senkt die Verdichterarbeit und hält Stufe 2 unter 95 °C → 40 °C (Q-017 S. 37; Q-063 Kap. 5.1). Kühler vor der Pumpe so kalt wie das Kühlwasser erlaubt, weit weg von der pseudokritischen Linie (32,8 °C bei 91 bar) → 26 °C = Kühlwasser 20 °C + 6 K (Q-120 Folie 24/32). Herleitung: Blatt „Kühlung“.
</t>
          </r>
          <r>
            <rPr>
              <rFont val="Calibri"/>
              <b val="1"/>
              <sz val="10"/>
            </rPr>
            <t>ANNAHMEN (Übersicht):</t>
          </r>
          <r>
            <rPr>
              <rFont val="Calibri"/>
              <sz val="10"/>
            </rPr>
            <t xml:space="preserve">  Zwischendruck 55 bar (Z ≥ 0,7, Q-017 S. 44) · höchstens 95 °C je Stufe (Q-016 S. 4) · Z &gt; 0,65 am Verdichtereintritt (Siemens Energy) · ρ ≥ 500 kg/m³ an der Pumpe (Q-121 S. 2) · Wirkungsgrade 84 / 82 % (Q-016 S. 4), Pumpe 80 % (eigene Annahme). Quellen mit Fundstelle: Blatt „Annahmen &amp; Begründung“.
</t>
          </r>
          <r>
            <rPr>
              <rFont val="Calibri"/>
              <b val="1"/>
              <sz val="10"/>
            </rPr>
            <t>RECHENWEG:</t>
          </r>
          <r>
            <rPr>
              <rFont val="Calibri"/>
              <sz val="10"/>
            </rPr>
            <t xml:space="preserve">  wie in S1 – Verdichter und Pumpe isentrop + Wirkungsgrad: h_aus = h_ein + (h_s − h_ein) / η. Kühler: abgeführte Wärme q = h_vor − h_nach. Grau = CoolProp-Wert (fest), weiß = Excel-Formel, grün = Ergebnis.</t>
          </r>
        </is>
      </c>
      <c r="C4" s="92" t="n"/>
      <c r="D4" s="92" t="n"/>
      <c r="E4" s="92" t="n"/>
      <c r="F4" s="92" t="n"/>
      <c r="G4" s="93" t="n"/>
    </row>
    <row r="5"/>
    <row r="6" ht="20.1" customHeight="1" s="72">
      <c r="B6" s="61" t="inlineStr">
        <is>
          <t>Rechenschritte</t>
        </is>
      </c>
      <c r="C6" s="61" t="n"/>
      <c r="D6" s="61" t="n"/>
      <c r="E6" s="61" t="n"/>
      <c r="F6" s="61" t="n"/>
      <c r="G6" s="61" t="n"/>
    </row>
    <row r="7" ht="27.95" customHeight="1" s="72">
      <c r="B7" s="30" t="inlineStr">
        <is>
          <t>Nr.</t>
        </is>
      </c>
      <c r="C7" s="30" t="inlineStr">
        <is>
          <t>Rechenschritt</t>
        </is>
      </c>
      <c r="D7" s="30" t="inlineStr">
        <is>
          <t>Formel / Funktion</t>
        </is>
      </c>
      <c r="E7" s="30" t="inlineStr">
        <is>
          <t>Wert</t>
        </is>
      </c>
      <c r="F7" s="30" t="inlineStr">
        <is>
          <t>Einheit</t>
        </is>
      </c>
      <c r="G7" s="30" t="inlineStr">
        <is>
          <t>Art des Werts</t>
        </is>
      </c>
    </row>
    <row r="8" ht="15" customHeight="1" s="72">
      <c r="B8" s="85" t="inlineStr">
        <is>
          <t>Verdichter 1. Stufe</t>
        </is>
      </c>
      <c r="C8" s="97" t="n"/>
      <c r="D8" s="97" t="n"/>
      <c r="E8" s="97" t="n"/>
      <c r="F8" s="97" t="n"/>
      <c r="G8" s="99" t="n"/>
    </row>
    <row r="9" ht="15" customHeight="1" s="72">
      <c r="B9" s="38" t="n">
        <v>1</v>
      </c>
      <c r="C9" s="31" t="inlineStr">
        <is>
          <t>Eintrittsdruck</t>
        </is>
      </c>
      <c r="D9" s="31" t="inlineStr">
        <is>
          <t>= Übergabe S2</t>
        </is>
      </c>
      <c r="E9" s="40">
        <f>p_S2</f>
        <v/>
      </c>
      <c r="F9" s="38" t="inlineStr">
        <is>
          <t>bar</t>
        </is>
      </c>
      <c r="G9" s="31" t="inlineStr">
        <is>
          <t>aus anderem Blatt</t>
        </is>
      </c>
    </row>
    <row r="10" ht="15" customHeight="1" s="72">
      <c r="B10" s="38" t="n">
        <v>2</v>
      </c>
      <c r="C10" s="31" t="inlineStr">
        <is>
          <t>Eintrittstemperatur</t>
        </is>
      </c>
      <c r="D10" s="31" t="inlineStr">
        <is>
          <t>= Übergabe S2</t>
        </is>
      </c>
      <c r="E10" s="40">
        <f>T_S2</f>
        <v/>
      </c>
      <c r="F10" s="38" t="inlineStr">
        <is>
          <t>°C</t>
        </is>
      </c>
      <c r="G10" s="31" t="inlineStr">
        <is>
          <t>aus anderem Blatt</t>
        </is>
      </c>
    </row>
    <row r="11" ht="15" customHeight="1" s="72">
      <c r="B11" s="38" t="n">
        <v>3</v>
      </c>
      <c r="C11" s="31" t="inlineStr">
        <is>
          <t>Enthalpie Eintritt</t>
        </is>
      </c>
      <c r="D11" s="31" t="inlineStr">
        <is>
          <t>CoolProp: H(p_ein, T_ein)</t>
        </is>
      </c>
      <c r="E11" s="44" t="n">
        <v>460.1284000400906</v>
      </c>
      <c r="F11" s="38" t="inlineStr">
        <is>
          <t>kJ/kg</t>
        </is>
      </c>
      <c r="G11" s="31" t="inlineStr">
        <is>
          <t>CoolProp (fest)</t>
        </is>
      </c>
    </row>
    <row r="12" ht="15" customHeight="1" s="72">
      <c r="B12" s="38" t="n">
        <v>4</v>
      </c>
      <c r="C12" s="31" t="inlineStr">
        <is>
          <t>Zwischendruck</t>
        </is>
      </c>
      <c r="D12" s="31" t="inlineStr">
        <is>
          <t>Annahme (Übersicht), Blatt „Kühlung“</t>
        </is>
      </c>
      <c r="E12" s="40">
        <f>p_zw</f>
        <v/>
      </c>
      <c r="F12" s="38" t="inlineStr">
        <is>
          <t>bar</t>
        </is>
      </c>
      <c r="G12" s="31" t="inlineStr">
        <is>
          <t>aus anderem Blatt</t>
        </is>
      </c>
    </row>
    <row r="13" ht="15" customHeight="1" s="72">
      <c r="B13" s="38" t="n">
        <v>5</v>
      </c>
      <c r="C13" s="31" t="inlineStr">
        <is>
          <t>Wirkungsgrad η_V1</t>
        </is>
      </c>
      <c r="D13" s="31" t="inlineStr">
        <is>
          <t>Annahme (Übersicht), Q-016 S. 4</t>
        </is>
      </c>
      <c r="E13" s="42">
        <f>eta_V1</f>
        <v/>
      </c>
      <c r="F13" s="38" t="inlineStr">
        <is>
          <t>–</t>
        </is>
      </c>
      <c r="G13" s="31" t="inlineStr">
        <is>
          <t>aus anderem Blatt</t>
        </is>
      </c>
    </row>
    <row r="14" ht="15" customHeight="1" s="72">
      <c r="B14" s="38" t="n">
        <v>6</v>
      </c>
      <c r="C14" s="31" t="inlineStr">
        <is>
          <t>Enthalpie isentrop</t>
        </is>
      </c>
      <c r="D14" s="31" t="inlineStr">
        <is>
          <t>CoolProp: H(p_zw, s_ein)</t>
        </is>
      </c>
      <c r="E14" s="44" t="n">
        <v>489.7064774032096</v>
      </c>
      <c r="F14" s="38" t="inlineStr">
        <is>
          <t>kJ/kg</t>
        </is>
      </c>
      <c r="G14" s="31" t="inlineStr">
        <is>
          <t>CoolProp (fest)</t>
        </is>
      </c>
    </row>
    <row r="15" ht="15" customHeight="1" s="72">
      <c r="B15" s="38" t="n">
        <v>7</v>
      </c>
      <c r="C15" s="31" t="inlineStr">
        <is>
          <t>Enthalpie real Austritt</t>
        </is>
      </c>
      <c r="D15" s="31" t="inlineStr">
        <is>
          <t>h = h_ein + (h_s − h_ein) / η_V1</t>
        </is>
      </c>
      <c r="E15" s="42">
        <f>Szen2_h1+(Szen2_h1s-Szen2_h1)/eta_V1</f>
        <v/>
      </c>
      <c r="F15" s="38" t="inlineStr">
        <is>
          <t>kJ/kg</t>
        </is>
      </c>
      <c r="G15" s="31" t="inlineStr">
        <is>
          <t>Excel-Formel</t>
        </is>
      </c>
    </row>
    <row r="16" ht="15" customHeight="1" s="72">
      <c r="B16" s="38" t="n">
        <v>8</v>
      </c>
      <c r="C16" s="31" t="inlineStr">
        <is>
          <t>Austrittstemperatur</t>
        </is>
      </c>
      <c r="D16" s="31" t="inlineStr">
        <is>
          <t>CoolProp: T(p_zw, h)</t>
        </is>
      </c>
      <c r="E16" s="45" t="n">
        <v>65.89908918557421</v>
      </c>
      <c r="F16" s="38" t="inlineStr">
        <is>
          <t>°C</t>
        </is>
      </c>
      <c r="G16" s="31" t="inlineStr">
        <is>
          <t>CoolProp (fest)</t>
        </is>
      </c>
    </row>
    <row r="17" ht="40" customHeight="1" s="72">
      <c r="B17" s="38" t="n">
        <v>9</v>
      </c>
      <c r="C17" s="31" t="inlineStr">
        <is>
          <t>Prüfung 95-°C-Grenze (Q-016 S. 4)</t>
        </is>
      </c>
      <c r="D17" s="31" t="inlineStr">
        <is>
          <t>T_aus ≤ T_max ?</t>
        </is>
      </c>
      <c r="E17" s="65">
        <f>IF(Szen2_T1a&lt;=T_maxV,"✔ eingehalten","⚠ überschritten")</f>
        <v/>
      </c>
      <c r="F17" s="38" t="inlineStr">
        <is>
          <t>–</t>
        </is>
      </c>
      <c r="G17" s="31" t="inlineStr">
        <is>
          <t>Excel-Formel</t>
        </is>
      </c>
    </row>
    <row r="18" ht="15" customHeight="1" s="72">
      <c r="B18" s="38" t="n">
        <v>10</v>
      </c>
      <c r="C18" s="31" t="inlineStr">
        <is>
          <t>Spezifische Arbeit Stufe 1</t>
        </is>
      </c>
      <c r="D18" s="31" t="inlineStr">
        <is>
          <t>w₁ = h_aus − h_ein</t>
        </is>
      </c>
      <c r="E18" s="46">
        <f>Szen2_h1a-Szen2_h1</f>
        <v/>
      </c>
      <c r="F18" s="38" t="inlineStr">
        <is>
          <t>kJ/kg</t>
        </is>
      </c>
      <c r="G18" s="31" t="inlineStr">
        <is>
          <t>Ergebnis (Formel)</t>
        </is>
      </c>
    </row>
    <row r="19" ht="15" customHeight="1" s="72">
      <c r="B19" s="85" t="inlineStr">
        <is>
          <t>Zwischenkühler (auf T_ZK = 40 °C)</t>
        </is>
      </c>
      <c r="C19" s="97" t="n"/>
      <c r="D19" s="97" t="n"/>
      <c r="E19" s="97" t="n"/>
      <c r="F19" s="97" t="n"/>
      <c r="G19" s="99" t="n"/>
    </row>
    <row r="20" ht="40" customHeight="1" s="72">
      <c r="B20" s="38" t="n">
        <v>11</v>
      </c>
      <c r="C20" s="31" t="inlineStr">
        <is>
          <t>Prüfung: bleibt gasförmig?</t>
        </is>
      </c>
      <c r="D20" s="31" t="inlineStr">
        <is>
          <t>T_ZK &gt; Cricondentherm ?</t>
        </is>
      </c>
      <c r="E20" s="65">
        <f>IF(T_ZK&gt;T_cricondentherm,"✔ gasförmig ("&amp;FIXED(T_ZK-T_cricondentherm,1)&amp;" K über der Cricondentherm)","⚠ unter der Cricondentherm – Taudruck prüfen")</f>
        <v/>
      </c>
      <c r="F20" s="38" t="inlineStr">
        <is>
          <t>–</t>
        </is>
      </c>
      <c r="G20" s="31" t="inlineStr">
        <is>
          <t>Excel-Formel</t>
        </is>
      </c>
    </row>
    <row r="21" ht="15" customHeight="1" s="72">
      <c r="B21" s="38" t="n">
        <v>12</v>
      </c>
      <c r="C21" s="31" t="inlineStr">
        <is>
          <t>Enthalpie nach Zwischenkühler</t>
        </is>
      </c>
      <c r="D21" s="31" t="inlineStr">
        <is>
          <t>CoolProp: H(p_zw, T_ZK)</t>
        </is>
      </c>
      <c r="E21" s="44" t="n">
        <v>459.9300476927096</v>
      </c>
      <c r="F21" s="38" t="inlineStr">
        <is>
          <t>kJ/kg</t>
        </is>
      </c>
      <c r="G21" s="31" t="inlineStr">
        <is>
          <t>CoolProp (fest)</t>
        </is>
      </c>
    </row>
    <row r="22" ht="15" customHeight="1" s="72">
      <c r="B22" s="38" t="n">
        <v>13</v>
      </c>
      <c r="C22" s="31" t="inlineStr">
        <is>
          <t>Abgeführte Wärme</t>
        </is>
      </c>
      <c r="D22" s="31" t="inlineStr">
        <is>
          <t>q = h_vor − h_nach</t>
        </is>
      </c>
      <c r="E22" s="42">
        <f>Szen2_h1a-Szen2_hZK</f>
        <v/>
      </c>
      <c r="F22" s="38" t="inlineStr">
        <is>
          <t>kJ/kg</t>
        </is>
      </c>
      <c r="G22" s="31" t="inlineStr">
        <is>
          <t>Excel-Formel</t>
        </is>
      </c>
    </row>
    <row r="23" ht="15" customHeight="1" s="72">
      <c r="B23" s="38" t="n">
        <v>14</v>
      </c>
      <c r="C23" s="31" t="inlineStr">
        <is>
          <t>Realgasfaktor Eintritt Stufe 2</t>
        </is>
      </c>
      <c r="D23" s="31" t="inlineStr">
        <is>
          <t>CoolProp: Z(p_zw, T_ZK)</t>
        </is>
      </c>
      <c r="E23" s="47" t="n">
        <v>0.7412474284395405</v>
      </c>
      <c r="F23" s="38" t="inlineStr">
        <is>
          <t>–</t>
        </is>
      </c>
      <c r="G23" s="31" t="inlineStr">
        <is>
          <t>CoolProp (fest)</t>
        </is>
      </c>
    </row>
    <row r="24" ht="40" customHeight="1" s="72">
      <c r="B24" s="38" t="n">
        <v>15</v>
      </c>
      <c r="C24" s="31" t="inlineStr">
        <is>
          <t>Prüfung Realgasfaktor (Siemens 0,65; Q-017: 0,7)</t>
        </is>
      </c>
      <c r="D24" s="31" t="inlineStr">
        <is>
          <t>Z &gt; Z_min ?</t>
        </is>
      </c>
      <c r="E24" s="65">
        <f>IF(Szen2_Z2&gt;=0.7,"✔ eingehalten (auch ≥ 0,7 nach Q-017)",IF(Szen2_Z2&gt;Z_min,"✔ über "&amp;FIXED(Z_min,2)&amp;", unter 0,7 (Q-017)","⚠ nicht über "&amp;FIXED(Z_min,2)))</f>
        <v/>
      </c>
      <c r="F24" s="38" t="inlineStr">
        <is>
          <t>–</t>
        </is>
      </c>
      <c r="G24" s="31" t="inlineStr">
        <is>
          <t>Excel-Formel</t>
        </is>
      </c>
    </row>
    <row r="25" ht="15" customHeight="1" s="72">
      <c r="B25" s="85" t="inlineStr">
        <is>
          <t>Verdichter 2. Stufe</t>
        </is>
      </c>
      <c r="C25" s="97" t="n"/>
      <c r="D25" s="97" t="n"/>
      <c r="E25" s="97" t="n"/>
      <c r="F25" s="97" t="n"/>
      <c r="G25" s="99" t="n"/>
    </row>
    <row r="26" ht="15" customHeight="1" s="72">
      <c r="B26" s="38" t="n">
        <v>16</v>
      </c>
      <c r="C26" s="31" t="inlineStr">
        <is>
          <t>Wirkungsgrad η_V2</t>
        </is>
      </c>
      <c r="D26" s="31" t="inlineStr">
        <is>
          <t>Annahme (Übersicht), Q-016 S. 4</t>
        </is>
      </c>
      <c r="E26" s="42">
        <f>eta_V2</f>
        <v/>
      </c>
      <c r="F26" s="38" t="inlineStr">
        <is>
          <t>–</t>
        </is>
      </c>
      <c r="G26" s="31" t="inlineStr">
        <is>
          <t>aus anderem Blatt</t>
        </is>
      </c>
    </row>
    <row r="27" ht="15" customHeight="1" s="72">
      <c r="B27" s="38" t="n">
        <v>17</v>
      </c>
      <c r="C27" s="31" t="inlineStr">
        <is>
          <t>Austrittsdruck</t>
        </is>
      </c>
      <c r="D27" s="31" t="inlineStr">
        <is>
          <t>Annahme (Übersicht)</t>
        </is>
      </c>
      <c r="E27" s="40">
        <f>p_uek</f>
        <v/>
      </c>
      <c r="F27" s="38" t="inlineStr">
        <is>
          <t>bar</t>
        </is>
      </c>
      <c r="G27" s="31" t="inlineStr">
        <is>
          <t>aus anderem Blatt</t>
        </is>
      </c>
    </row>
    <row r="28" ht="15" customHeight="1" s="72">
      <c r="B28" s="38" t="n">
        <v>18</v>
      </c>
      <c r="C28" s="31" t="inlineStr">
        <is>
          <t>Enthalpie isentrop</t>
        </is>
      </c>
      <c r="D28" s="31" t="inlineStr">
        <is>
          <t>CoolProp: H(p_ük, s(p_zw, T_ZK))</t>
        </is>
      </c>
      <c r="E28" s="44" t="n">
        <v>483.9101385801715</v>
      </c>
      <c r="F28" s="38" t="inlineStr">
        <is>
          <t>kJ/kg</t>
        </is>
      </c>
      <c r="G28" s="31" t="inlineStr">
        <is>
          <t>CoolProp (fest)</t>
        </is>
      </c>
    </row>
    <row r="29" ht="15" customHeight="1" s="72">
      <c r="B29" s="38" t="n">
        <v>19</v>
      </c>
      <c r="C29" s="31" t="inlineStr">
        <is>
          <t>Enthalpie real Austritt</t>
        </is>
      </c>
      <c r="D29" s="31" t="inlineStr">
        <is>
          <t>h = h_ein + (h_s − h_ein) / η_V2</t>
        </is>
      </c>
      <c r="E29" s="42">
        <f>Szen2_hZK+(Szen2_h2s-Szen2_hZK)/eta_V2</f>
        <v/>
      </c>
      <c r="F29" s="38" t="inlineStr">
        <is>
          <t>kJ/kg</t>
        </is>
      </c>
      <c r="G29" s="31" t="inlineStr">
        <is>
          <t>Excel-Formel</t>
        </is>
      </c>
    </row>
    <row r="30" ht="15" customHeight="1" s="72">
      <c r="B30" s="38" t="n">
        <v>20</v>
      </c>
      <c r="C30" s="31" t="inlineStr">
        <is>
          <t>Austrittstemperatur</t>
        </is>
      </c>
      <c r="D30" s="31" t="inlineStr">
        <is>
          <t>CoolProp: T(p_ük, h)</t>
        </is>
      </c>
      <c r="E30" s="45" t="n">
        <v>84.71342690350491</v>
      </c>
      <c r="F30" s="38" t="inlineStr">
        <is>
          <t>°C</t>
        </is>
      </c>
      <c r="G30" s="31" t="inlineStr">
        <is>
          <t>CoolProp (fest)</t>
        </is>
      </c>
    </row>
    <row r="31" ht="40" customHeight="1" s="72">
      <c r="B31" s="38" t="n">
        <v>21</v>
      </c>
      <c r="C31" s="31" t="inlineStr">
        <is>
          <t>Prüfung 95-°C-Grenze (Q-016 S. 4)</t>
        </is>
      </c>
      <c r="D31" s="31" t="inlineStr">
        <is>
          <t>T_aus ≤ T_max ?</t>
        </is>
      </c>
      <c r="E31" s="65">
        <f>IF(Szen2_T2a&lt;=T_maxV,"✔ eingehalten","⚠ überschritten")</f>
        <v/>
      </c>
      <c r="F31" s="38" t="inlineStr">
        <is>
          <t>–</t>
        </is>
      </c>
      <c r="G31" s="31" t="inlineStr">
        <is>
          <t>Excel-Formel</t>
        </is>
      </c>
    </row>
    <row r="32" ht="15" customHeight="1" s="72">
      <c r="B32" s="38" t="n">
        <v>22</v>
      </c>
      <c r="C32" s="31" t="inlineStr">
        <is>
          <t>Spezifische Arbeit Stufe 2</t>
        </is>
      </c>
      <c r="D32" s="31" t="inlineStr">
        <is>
          <t>w₂ = h_aus − h_ein</t>
        </is>
      </c>
      <c r="E32" s="46">
        <f>Szen2_h2a-Szen2_hZK</f>
        <v/>
      </c>
      <c r="F32" s="38" t="inlineStr">
        <is>
          <t>kJ/kg</t>
        </is>
      </c>
      <c r="G32" s="31" t="inlineStr">
        <is>
          <t>Ergebnis (Formel)</t>
        </is>
      </c>
    </row>
    <row r="33" ht="15" customHeight="1" s="72">
      <c r="B33" s="85" t="inlineStr">
        <is>
          <t>Kühler vor der Pumpe bei 91 bar (über der Cricondenbar – kein Phasenwechsel)</t>
        </is>
      </c>
      <c r="C33" s="97" t="n"/>
      <c r="D33" s="97" t="n"/>
      <c r="E33" s="97" t="n"/>
      <c r="F33" s="97" t="n"/>
      <c r="G33" s="99" t="n"/>
    </row>
    <row r="34" ht="40" customHeight="1" s="72">
      <c r="B34" s="38" t="n">
        <v>23</v>
      </c>
      <c r="C34" s="31" t="inlineStr">
        <is>
          <t>Prüfung: über der Phasengrenze?</t>
        </is>
      </c>
      <c r="D34" s="31" t="inlineStr">
        <is>
          <t>p_ük ≥ Cricondenbar + 3 bar ?</t>
        </is>
      </c>
      <c r="E34" s="65">
        <f>IF(p_uek&gt;=p_cricondenbar+U_PG,"✔ "&amp;FIXED(p_uek-p_cricondenbar,1)&amp;" bar darüber – keine Phasengrenze","⚠ Kühler kreuzt das Zweiphasengebiet")</f>
        <v/>
      </c>
      <c r="F34" s="38" t="inlineStr">
        <is>
          <t>–</t>
        </is>
      </c>
      <c r="G34" s="31" t="inlineStr">
        <is>
          <t>Excel-Formel</t>
        </is>
      </c>
    </row>
    <row r="35" ht="15" customHeight="1" s="72">
      <c r="B35" s="38" t="n">
        <v>24</v>
      </c>
      <c r="C35" s="31" t="inlineStr">
        <is>
          <t>Enthalpie nach Kühler</t>
        </is>
      </c>
      <c r="D35" s="31" t="inlineStr">
        <is>
          <t>CoolProp: H(p_ük, T_K)</t>
        </is>
      </c>
      <c r="E35" s="44" t="n">
        <v>287.136604309345</v>
      </c>
      <c r="F35" s="38" t="inlineStr">
        <is>
          <t>kJ/kg</t>
        </is>
      </c>
      <c r="G35" s="31" t="inlineStr">
        <is>
          <t>CoolProp (fest)</t>
        </is>
      </c>
    </row>
    <row r="36" ht="15" customHeight="1" s="72">
      <c r="B36" s="38" t="n">
        <v>25</v>
      </c>
      <c r="C36" s="31" t="inlineStr">
        <is>
          <t>Dichte nach Kühler = Pumpeneintritt</t>
        </is>
      </c>
      <c r="D36" s="31" t="inlineStr">
        <is>
          <t>CoolProp: D(p_ük, T_K)</t>
        </is>
      </c>
      <c r="E36" s="45" t="n">
        <v>660.4210536918031</v>
      </c>
      <c r="F36" s="38" t="inlineStr">
        <is>
          <t>kg/m³</t>
        </is>
      </c>
      <c r="G36" s="31" t="inlineStr">
        <is>
          <t>CoolProp (fest)</t>
        </is>
      </c>
    </row>
    <row r="37" ht="40" customHeight="1" s="72">
      <c r="B37" s="38" t="n">
        <v>26</v>
      </c>
      <c r="C37" s="31" t="inlineStr">
        <is>
          <t>Prüfung Dichte (Q-121 S. 2)</t>
        </is>
      </c>
      <c r="D37" s="31" t="inlineStr">
        <is>
          <t>ρ ≥ ρ_min ?</t>
        </is>
      </c>
      <c r="E37" s="65">
        <f>IF(Szen2_rhoP&gt;=rho_min,"✔ pumpbar (≥ "&amp;TEXT(rho_min,"0")&amp;" kg/m³)","⚠ zu dünn für eine Pumpe")</f>
        <v/>
      </c>
      <c r="F37" s="38" t="inlineStr">
        <is>
          <t>–</t>
        </is>
      </c>
      <c r="G37" s="31" t="inlineStr">
        <is>
          <t>Excel-Formel</t>
        </is>
      </c>
    </row>
    <row r="38" ht="15" customHeight="1" s="72">
      <c r="B38" s="38" t="n">
        <v>27</v>
      </c>
      <c r="C38" s="31" t="inlineStr">
        <is>
          <t>Abgeführte Wärme</t>
        </is>
      </c>
      <c r="D38" s="31" t="inlineStr">
        <is>
          <t>q = h_vor − h_nach</t>
        </is>
      </c>
      <c r="E38" s="42">
        <f>Szen2_h2a-Szen2_hK</f>
        <v/>
      </c>
      <c r="F38" s="38" t="inlineStr">
        <is>
          <t>kJ/kg</t>
        </is>
      </c>
      <c r="G38" s="31" t="inlineStr">
        <is>
          <t>Excel-Formel</t>
        </is>
      </c>
    </row>
    <row r="39" ht="15" customHeight="1" s="72">
      <c r="B39" s="85" t="inlineStr">
        <is>
          <t>Pumpe</t>
        </is>
      </c>
      <c r="C39" s="97" t="n"/>
      <c r="D39" s="97" t="n"/>
      <c r="E39" s="97" t="n"/>
      <c r="F39" s="97" t="n"/>
      <c r="G39" s="99" t="n"/>
    </row>
    <row r="40" ht="15" customHeight="1" s="72">
      <c r="B40" s="38" t="n">
        <v>28</v>
      </c>
      <c r="C40" s="31" t="inlineStr">
        <is>
          <t>Austrittsdruck (= Zieldruck im Betrieb)</t>
        </is>
      </c>
      <c r="D40" s="31" t="inlineStr">
        <is>
          <t>Kaverne &amp; Gassäule: Betrieb, V_n,max</t>
        </is>
      </c>
      <c r="E40" s="40">
        <f>Kopf_betr_S2</f>
        <v/>
      </c>
      <c r="F40" s="38" t="inlineStr">
        <is>
          <t>bar</t>
        </is>
      </c>
      <c r="G40" s="31" t="inlineStr">
        <is>
          <t>aus anderem Blatt</t>
        </is>
      </c>
    </row>
    <row r="41" ht="15" customHeight="1" s="72">
      <c r="B41" s="38" t="n">
        <v>29</v>
      </c>
      <c r="C41" s="31" t="inlineStr">
        <is>
          <t>Wirkungsgrad η_P</t>
        </is>
      </c>
      <c r="D41" s="31" t="inlineStr">
        <is>
          <t>Annahme (Übersicht)</t>
        </is>
      </c>
      <c r="E41" s="42">
        <f>eta</f>
        <v/>
      </c>
      <c r="F41" s="38" t="inlineStr">
        <is>
          <t>–</t>
        </is>
      </c>
      <c r="G41" s="31" t="inlineStr">
        <is>
          <t>aus anderem Blatt</t>
        </is>
      </c>
    </row>
    <row r="42" ht="15" customHeight="1" s="72">
      <c r="B42" s="38" t="n">
        <v>30</v>
      </c>
      <c r="C42" s="31" t="inlineStr">
        <is>
          <t>Enthalpie isentrop bei Kopfdruck</t>
        </is>
      </c>
      <c r="D42" s="31" t="inlineStr">
        <is>
          <t>CoolProp: H(p_Kopf, s(p_ük, T_K))</t>
        </is>
      </c>
      <c r="E42" s="44" t="n">
        <v>292.4759909018724</v>
      </c>
      <c r="F42" s="38" t="inlineStr">
        <is>
          <t>kJ/kg</t>
        </is>
      </c>
      <c r="G42" s="31" t="inlineStr">
        <is>
          <t>CoolProp (fest)</t>
        </is>
      </c>
    </row>
    <row r="43" ht="15" customHeight="1" s="72">
      <c r="B43" s="38" t="n">
        <v>31</v>
      </c>
      <c r="C43" s="31" t="inlineStr">
        <is>
          <t>Enthalpie real Austritt</t>
        </is>
      </c>
      <c r="D43" s="31" t="inlineStr">
        <is>
          <t>h = h_ein + (h_s − h_ein) / η_P</t>
        </is>
      </c>
      <c r="E43" s="42">
        <f>Szen2_hK+(Szen2_hPs-Szen2_hK)/eta</f>
        <v/>
      </c>
      <c r="F43" s="38" t="inlineStr">
        <is>
          <t>kJ/kg</t>
        </is>
      </c>
      <c r="G43" s="31" t="inlineStr">
        <is>
          <t>Excel-Formel</t>
        </is>
      </c>
    </row>
    <row r="44" ht="15" customHeight="1" s="72">
      <c r="B44" s="38" t="n">
        <v>32</v>
      </c>
      <c r="C44" s="31" t="inlineStr">
        <is>
          <t>Austrittstemperatur</t>
        </is>
      </c>
      <c r="D44" s="31" t="inlineStr">
        <is>
          <t>CoolProp: T(p_Kopf, h)</t>
        </is>
      </c>
      <c r="E44" s="45" t="n">
        <v>34.40649477199338</v>
      </c>
      <c r="F44" s="38" t="inlineStr">
        <is>
          <t>°C</t>
        </is>
      </c>
      <c r="G44" s="31" t="inlineStr">
        <is>
          <t>CoolProp (fest)</t>
        </is>
      </c>
    </row>
    <row r="45" ht="15" customHeight="1" s="72">
      <c r="B45" s="38" t="n">
        <v>33</v>
      </c>
      <c r="C45" s="31" t="inlineStr">
        <is>
          <t>Spezifische Arbeit Pumpe</t>
        </is>
      </c>
      <c r="D45" s="31" t="inlineStr">
        <is>
          <t>w_P = h_aus − h_ein</t>
        </is>
      </c>
      <c r="E45" s="46">
        <f>Szen2_hPa-Szen2_hK</f>
        <v/>
      </c>
      <c r="F45" s="38" t="inlineStr">
        <is>
          <t>kJ/kg</t>
        </is>
      </c>
      <c r="G45" s="31" t="inlineStr">
        <is>
          <t>Ergebnis (Formel)</t>
        </is>
      </c>
    </row>
    <row r="46" ht="15" customHeight="1" s="72">
      <c r="B46" s="85" t="inlineStr">
        <is>
          <t>Summe S2</t>
        </is>
      </c>
      <c r="C46" s="97" t="n"/>
      <c r="D46" s="97" t="n"/>
      <c r="E46" s="97" t="n"/>
      <c r="F46" s="97" t="n"/>
      <c r="G46" s="99" t="n"/>
    </row>
    <row r="47" ht="15" customHeight="1" s="72">
      <c r="B47" s="38" t="n">
        <v>34</v>
      </c>
      <c r="C47" s="31" t="inlineStr">
        <is>
          <t>Spezifische Arbeit gesamt</t>
        </is>
      </c>
      <c r="D47" s="31" t="inlineStr">
        <is>
          <t>w = w₁ + w₂ + w_P</t>
        </is>
      </c>
      <c r="E47" s="46">
        <f>Szen2_w1+Szen2_w2+Szen2_wP</f>
        <v/>
      </c>
      <c r="F47" s="38" t="inlineStr">
        <is>
          <t>kJ/kg</t>
        </is>
      </c>
      <c r="G47" s="31" t="inlineStr">
        <is>
          <t>Ergebnis (Formel)</t>
        </is>
      </c>
    </row>
    <row r="48" ht="15" customHeight="1" s="72">
      <c r="B48" s="38" t="n">
        <v>35</v>
      </c>
      <c r="C48" s="31" t="inlineStr">
        <is>
          <t>Abgeführte Wärme gesamt</t>
        </is>
      </c>
      <c r="D48" s="31" t="inlineStr">
        <is>
          <t>q = q_ZK + q_K</t>
        </is>
      </c>
      <c r="E48" s="42">
        <f>Szen2_qZK+Szen2_qK</f>
        <v/>
      </c>
      <c r="F48" s="38" t="inlineStr">
        <is>
          <t>kJ/kg</t>
        </is>
      </c>
      <c r="G48" s="31" t="inlineStr">
        <is>
          <t>Excel-Formel</t>
        </is>
      </c>
    </row>
    <row r="49" ht="15" customHeight="1" s="72">
      <c r="B49" s="38" t="n">
        <v>36</v>
      </c>
      <c r="C49" s="31" t="inlineStr">
        <is>
          <t>Antriebsleistung, unterer Fall</t>
        </is>
      </c>
      <c r="D49" s="31" t="inlineStr">
        <is>
          <t>P = ṁ_min · w</t>
        </is>
      </c>
      <c r="E49" s="66">
        <f>Szen1_mmin*Szen2_w_ges</f>
        <v/>
      </c>
      <c r="F49" s="38" t="inlineStr">
        <is>
          <t>kW</t>
        </is>
      </c>
      <c r="G49" s="31" t="inlineStr">
        <is>
          <t>Ergebnis (Formel)</t>
        </is>
      </c>
      <c r="I49" s="25" t="inlineStr">
        <is>
          <t>Der Kühler bei 91 bar liegt über der Spitze des roten Zweiphasengebiets (Cricondenbar 82,2 bar): das Gemisch wird ohne Phasenwechsel dicht. Gesamtbild mit S1: Blatt „Phasendiagramm“.</t>
        </is>
      </c>
    </row>
    <row r="50" ht="15" customHeight="1" s="72">
      <c r="B50" s="38" t="n">
        <v>37</v>
      </c>
      <c r="C50" s="31" t="inlineStr">
        <is>
          <t>Antriebsleistung, oberer Fall</t>
        </is>
      </c>
      <c r="D50" s="31" t="inlineStr">
        <is>
          <t>P = ṁ_max · w</t>
        </is>
      </c>
      <c r="E50" s="66">
        <f>Szen1_mmax*Szen2_w_ges</f>
        <v/>
      </c>
      <c r="F50" s="38" t="inlineStr">
        <is>
          <t>kW</t>
        </is>
      </c>
      <c r="G50" s="31" t="inlineStr">
        <is>
          <t>Ergebnis (Formel)</t>
        </is>
      </c>
    </row>
    <row r="51" ht="15" customHeight="1" s="72">
      <c r="B51" s="38" t="n">
        <v>38</v>
      </c>
      <c r="C51" s="31" t="inlineStr">
        <is>
          <t>Kühlleistung gesamt, oberer Fall</t>
        </is>
      </c>
      <c r="D51" s="31" t="inlineStr">
        <is>
          <t>Q = ṁ_max · q</t>
        </is>
      </c>
      <c r="E51" s="100">
        <f>Szen1_mmax*Szen2_q_ges</f>
        <v/>
      </c>
      <c r="F51" s="38" t="inlineStr">
        <is>
          <t>kW</t>
        </is>
      </c>
      <c r="G51" s="31" t="inlineStr">
        <is>
          <t>Excel-Formel</t>
        </is>
      </c>
    </row>
    <row r="52" ht="15" customHeight="1" s="72">
      <c r="B52" s="25" t="inlineStr">
        <is>
          <t>Massenstrom wie in S1 (gleicher Normvolumenstrom). Wird eine Annahme auf der Übersicht geändert, rechnen die weißen Werte mit; graue CoolProp-Werte färben sich rot und müssen mit Prozesskette/03_S2_verdichtung_kuehlung_pumpe_gemisch.py neu gerechnet werden.</t>
        </is>
      </c>
    </row>
    <row r="53"/>
    <row r="54" ht="20.1" customHeight="1" s="72" thickBot="1">
      <c r="B54" s="61" t="inlineStr">
        <is>
          <t>Zustandspunkte</t>
        </is>
      </c>
      <c r="C54" s="61" t="n"/>
      <c r="D54" s="61" t="n"/>
      <c r="E54" s="61" t="n"/>
      <c r="F54" s="61" t="n"/>
      <c r="G54" s="61" t="n"/>
    </row>
    <row r="55" ht="27.95" customHeight="1" s="72">
      <c r="C55" s="30" t="inlineStr">
        <is>
          <t>Punkt</t>
        </is>
      </c>
      <c r="D55" s="30" t="inlineStr">
        <is>
          <t>p [bar]</t>
        </is>
      </c>
      <c r="E55" s="30" t="inlineStr">
        <is>
          <t>T [°C]</t>
        </is>
      </c>
      <c r="F55" s="30" t="inlineStr">
        <is>
          <t>h [kJ/kg]</t>
        </is>
      </c>
      <c r="G55" s="30" t="inlineStr">
        <is>
          <t>Phase</t>
        </is>
      </c>
    </row>
    <row r="56" ht="15" customHeight="1" s="72">
      <c r="C56" s="31" t="inlineStr">
        <is>
          <t>1 Netzübergabe / Verdichter 1 ein</t>
        </is>
      </c>
      <c r="D56" s="40">
        <f>p_S2</f>
        <v/>
      </c>
      <c r="E56" s="40">
        <f>T_S2</f>
        <v/>
      </c>
      <c r="F56" s="40">
        <f>Szen2_h1</f>
        <v/>
      </c>
      <c r="G56" s="38" t="inlineStr">
        <is>
          <t>gasförmig</t>
        </is>
      </c>
    </row>
    <row r="57" ht="15" customHeight="1" s="72">
      <c r="C57" s="31" t="inlineStr">
        <is>
          <t>2 Verdichter 1 aus</t>
        </is>
      </c>
      <c r="D57" s="40">
        <f>p_zw</f>
        <v/>
      </c>
      <c r="E57" s="40">
        <f>Szen2_T1a</f>
        <v/>
      </c>
      <c r="F57" s="40">
        <f>Szen2_h1a</f>
        <v/>
      </c>
      <c r="G57" s="38" t="inlineStr">
        <is>
          <t>gasförmig</t>
        </is>
      </c>
    </row>
    <row r="58" ht="27.95" customHeight="1" s="72">
      <c r="C58" s="31" t="inlineStr">
        <is>
          <t>3 Zwischenkühler aus / Verdichter 2 ein</t>
        </is>
      </c>
      <c r="D58" s="40">
        <f>p_zw</f>
        <v/>
      </c>
      <c r="E58" s="40">
        <f>T_ZK</f>
        <v/>
      </c>
      <c r="F58" s="40">
        <f>Szen2_hZK</f>
        <v/>
      </c>
      <c r="G58" s="38" t="inlineStr">
        <is>
          <t>gasförmig (über der Cricondentherm)</t>
        </is>
      </c>
    </row>
    <row r="59" ht="27.95" customHeight="1" s="72">
      <c r="C59" s="31" t="inlineStr">
        <is>
          <t>4 Verdichter 2 aus</t>
        </is>
      </c>
      <c r="D59" s="40">
        <f>p_uek</f>
        <v/>
      </c>
      <c r="E59" s="40">
        <f>Szen2_T2a</f>
        <v/>
      </c>
      <c r="F59" s="40">
        <f>Szen2_h2a</f>
        <v/>
      </c>
      <c r="G59" s="38" t="inlineStr">
        <is>
          <t>gasförmig (überkritischer Druck)</t>
        </is>
      </c>
    </row>
    <row r="60" ht="27.95" customHeight="1" s="72">
      <c r="C60" s="31" t="inlineStr">
        <is>
          <t>5 Kühler aus / Pumpe ein</t>
        </is>
      </c>
      <c r="D60" s="40">
        <f>p_uek</f>
        <v/>
      </c>
      <c r="E60" s="40">
        <f>T_K</f>
        <v/>
      </c>
      <c r="F60" s="40">
        <f>Szen2_hK</f>
        <v/>
      </c>
      <c r="G60" s="38" t="inlineStr">
        <is>
          <t>dicht (über der Cricondenbar)</t>
        </is>
      </c>
    </row>
    <row r="61" ht="15" customHeight="1" s="72">
      <c r="C61" s="31" t="inlineStr">
        <is>
          <t>6 Pumpe aus / Bohrlochkopf</t>
        </is>
      </c>
      <c r="D61" s="40">
        <f>Kopf_betr_S2</f>
        <v/>
      </c>
      <c r="E61" s="40">
        <f>Szen2_TPa</f>
        <v/>
      </c>
      <c r="F61" s="40">
        <f>Szen2_hPa</f>
        <v/>
      </c>
      <c r="G61" s="38" t="inlineStr">
        <is>
          <t>dicht</t>
        </is>
      </c>
    </row>
    <row r="62"/>
    <row r="63" ht="20.1" customHeight="1" s="72">
      <c r="B63" s="61" t="inlineStr">
        <is>
          <t>Warum dieser Weg? – mögliche Pfade im Vergleich</t>
        </is>
      </c>
      <c r="C63" s="61" t="n"/>
      <c r="D63" s="61" t="n"/>
      <c r="E63" s="61" t="n"/>
      <c r="F63" s="61" t="n"/>
      <c r="G63" s="61" t="n"/>
    </row>
    <row r="64" ht="135" customHeight="1" s="72">
      <c r="B64" s="83" t="inlineStr">
        <is>
          <r>
            <rPr>
              <rFont val="Calibri"/>
              <b val="1"/>
              <sz val="10"/>
            </rPr>
            <t>GEWÄHLT – ÜBERKRITISCH KÜHLEN (B):</t>
          </r>
          <r>
            <rPr>
              <rFont val="Calibri"/>
              <sz val="10"/>
            </rPr>
            <t xml:space="preserve">  Zwischenkühler 40 °C bei 55 bar, Kühler und Pumpe bei 91 bar über der Cricondenbar – weder Verdichter noch Pumpe sehen Tropfen oder Gasblasen. Funktioniert mit normalem Kühlwasser (CO₂ bis ca. 32 °C für ρ ≥ 500 kg/m³). Die Pumpe arbeitet bei demselben Druck wie in S1. Arbeit: 71,1 kJ/kg.
</t>
          </r>
          <r>
            <rPr>
              <rFont val="Calibri"/>
              <b val="1"/>
              <sz val="10"/>
            </rPr>
            <t>A – VERFLÜSSIGEN BEI 80 BAR:</t>
          </r>
          <r>
            <rPr>
              <rFont val="Calibri"/>
              <sz val="10"/>
            </rPr>
            <t xml:space="preserve">  nur mit Kühlwasser ≤ 14 °C oder Kältemaschine; die Pumpe saugt nur 3,3 bar neben der Blasenlinie an. 14 % weniger Arbeit, dazu käme die Kältemaschine (nicht gerechnet).
</t>
          </r>
          <r>
            <rPr>
              <rFont val="Calibri"/>
              <b val="1"/>
              <sz val="10"/>
            </rPr>
            <t>C – DURCHVERDICHTEN:</t>
          </r>
          <r>
            <rPr>
              <rFont val="Calibri"/>
              <sz val="10"/>
            </rPr>
            <t xml:space="preserve">  14 % mehr Arbeit, und die zweite Stufe läge mit 104,2 °C über der 95-°C-Grenze (mit 2 Stufen nicht zulässig).
</t>
          </r>
          <r>
            <rPr>
              <rFont val="Calibri"/>
              <b val="1"/>
              <sz val="10"/>
            </rPr>
            <t>D, E – NICHT MÖGLICH:</t>
          </r>
          <r>
            <rPr>
              <rFont val="Calibri"/>
              <sz val="10"/>
            </rPr>
            <t xml:space="preserve">  bei 30 bar wird das Gemisch nie ganz flüssig (D); eine Pumpe fördert kein Gas-Flüssig-Gemisch (E, 18 Vol-% Gas).
</t>
          </r>
          <r>
            <rPr>
              <rFont val="Calibri"/>
              <b val="1"/>
              <sz val="10"/>
            </rPr>
            <t>FAZIT:</t>
          </r>
          <r>
            <rPr>
              <rFont val="Calibri"/>
              <sz val="10"/>
            </rPr>
            <t xml:space="preserve">  B ist der einzige Weg ohne Phasengrenze und ohne Kältemaschine – geringstes Risiko bei vertretbarer Arbeit. Rechnung A–E: Prozesskette/04_phasenpfade_vergleich.py; Kühltemperaturen: Blatt „Kühlung“.</t>
          </r>
        </is>
      </c>
      <c r="C64" s="92" t="n"/>
      <c r="D64" s="92" t="n"/>
      <c r="E64" s="92" t="n"/>
      <c r="F64" s="92" t="n"/>
      <c r="G64" s="93" t="n"/>
    </row>
    <row r="65" ht="27.95" customHeight="1" s="72">
      <c r="B65" s="30" t="inlineStr">
        <is>
          <t>Pfad</t>
        </is>
      </c>
      <c r="C65" s="30" t="inlineStr">
        <is>
          <t>Weg</t>
        </is>
      </c>
      <c r="D65" s="30" t="inlineStr">
        <is>
          <t>Zweiphasengebiet</t>
        </is>
      </c>
      <c r="E65" s="30" t="inlineStr">
        <is>
          <t>Kühlwasser höchstens</t>
        </is>
      </c>
      <c r="F65" s="30" t="inlineStr">
        <is>
          <t>spez. Arbeit [kJ/kg]</t>
        </is>
      </c>
      <c r="G65" s="30" t="inlineStr">
        <is>
          <t>Bewertung</t>
        </is>
      </c>
    </row>
    <row r="66" ht="27.95" customHeight="1" s="72">
      <c r="B66" s="37" t="inlineStr">
        <is>
          <t>B</t>
        </is>
      </c>
      <c r="C66" s="31" t="inlineStr">
        <is>
          <t>2 Stufen 30 → 55 → 91 bar (ZK 40 °C), Kühler 26 °C, Pumpe</t>
        </is>
      </c>
      <c r="D66" s="31" t="inlineStr">
        <is>
          <t>wird nicht berührt (91 &gt; 82,2 bar)</t>
        </is>
      </c>
      <c r="E66" s="31" t="inlineStr">
        <is>
          <t>≈ 26 °C (CO₂ ≤ 32 °C für ρ ≥ 500 kg/m³)</t>
        </is>
      </c>
      <c r="F66" s="46">
        <f>Szen2_w_ges</f>
        <v/>
      </c>
      <c r="G66" s="31" t="inlineStr">
        <is>
          <t>gewählt</t>
        </is>
      </c>
    </row>
    <row r="67" ht="27.95" customHeight="1" s="72">
      <c r="B67" s="37" t="inlineStr">
        <is>
          <t>A</t>
        </is>
      </c>
      <c r="C67" s="31" t="inlineStr">
        <is>
          <t>2 Stufen bis 80 bar, verflüssigen bei 20 °C, Pumpe</t>
        </is>
      </c>
      <c r="D67" s="31" t="inlineStr">
        <is>
          <t>im Verflüssiger; Pumpe 3,3 bar neben der Blasenlinie</t>
        </is>
      </c>
      <c r="E67" s="31" t="inlineStr">
        <is>
          <t>≈ 14 °C</t>
        </is>
      </c>
      <c r="F67" s="44" t="n">
        <v>61.02812945406714</v>
      </c>
      <c r="G67" s="31" t="inlineStr">
        <is>
          <t>möglich, nur mit Kältemaschine</t>
        </is>
      </c>
    </row>
    <row r="68" ht="27.95" customHeight="1" s="72">
      <c r="B68" s="37" t="inlineStr">
        <is>
          <t>C</t>
        </is>
      </c>
      <c r="C68" s="31" t="inlineStr">
        <is>
          <t>2 Stufen 30 → 52 → 127,3 bar, keine Pumpe</t>
        </is>
      </c>
      <c r="D68" s="31" t="inlineStr">
        <is>
          <t>wird nicht berührt</t>
        </is>
      </c>
      <c r="E68" s="31" t="inlineStr">
        <is>
          <t>beliebig</t>
        </is>
      </c>
      <c r="F68" s="44" t="n">
        <v>81.1709353233295</v>
      </c>
      <c r="G68" s="31" t="inlineStr">
        <is>
          <t>Stufe 2 104 °C &gt; 95 °C – nicht zulässig</t>
        </is>
      </c>
    </row>
    <row r="69" ht="27.95" customHeight="1" s="72">
      <c r="B69" s="37" t="inlineStr">
        <is>
          <t>D</t>
        </is>
      </c>
      <c r="C69" s="31" t="inlineStr">
        <is>
          <t>bei 30 bar tiefkalt verflüssigen, pumpen</t>
        </is>
      </c>
      <c r="D69" s="31" t="inlineStr">
        <is>
          <t>kommt nicht heraus (Blasendruck ≥ 45,9 bar)</t>
        </is>
      </c>
      <c r="E69" s="31" t="inlineStr">
        <is>
          <t>–</t>
        </is>
      </c>
      <c r="F69" s="38" t="inlineStr">
        <is>
          <t>–</t>
        </is>
      </c>
      <c r="G69" s="31" t="inlineStr">
        <is>
          <t>nicht möglich</t>
        </is>
      </c>
    </row>
    <row r="70" ht="27.95" customHeight="1" s="72">
      <c r="B70" s="37" t="inlineStr">
        <is>
          <t>E</t>
        </is>
      </c>
      <c r="C70" s="31" t="inlineStr">
        <is>
          <t>Pumpe saugt bei 80 bar / 25–26 °C an</t>
        </is>
      </c>
      <c r="D70" s="31" t="inlineStr">
        <is>
          <t>Pumpeneintritt darin (18 Vol-% Gas)</t>
        </is>
      </c>
      <c r="E70" s="31" t="inlineStr">
        <is>
          <t>–</t>
        </is>
      </c>
      <c r="F70" s="38" t="inlineStr">
        <is>
          <t>–</t>
        </is>
      </c>
      <c r="G70" s="31" t="inlineStr">
        <is>
          <t>nicht möglich</t>
        </is>
      </c>
    </row>
    <row r="71" ht="15" customHeight="1" s="72">
      <c r="B71" s="25" t="inlineStr">
        <is>
          <t>A und C: grau = Werte aus 04_phasenpfade_vergleich.py (gleiche Annahmen; A mit 20 °C gerechnet, C mit Zwischenkühlung auf 26 °C). Kühlwasser höchstens = CO₂-Temperatur − 6 K (Q-120 Folie 24).</t>
        </is>
      </c>
      <c r="I71" s="25" t="inlineStr">
        <is>
          <t>B bleibt über der Spitze des roten Gebiets (Cricondenbar 82,2 bar). A kreuzt es im Verflüssiger, D kommt nicht heraus, E pumpt aus ihm heraus, C bleibt auf der Gasseite, braucht aber 14 % mehr Arbeit und läge über 95 °C.</t>
        </is>
      </c>
    </row>
    <row r="72"/>
    <row r="73" ht="20.1" customHeight="1" s="72" thickBot="1">
      <c r="B73" s="61" t="inlineStr">
        <is>
          <t>Diagrammwerte – spezifische Arbeit je Maschine [kJ/kg]</t>
        </is>
      </c>
      <c r="C73" s="61" t="n"/>
      <c r="D73" s="61" t="n"/>
      <c r="E73" s="61" t="n"/>
      <c r="F73" s="61" t="n"/>
      <c r="G73" s="69" t="n"/>
    </row>
    <row r="74" ht="27.95" customHeight="1" s="72">
      <c r="C74" s="30" t="inlineStr">
        <is>
          <t>Weg</t>
        </is>
      </c>
      <c r="D74" s="30" t="inlineStr">
        <is>
          <t>Verdichter 1. Stufe</t>
        </is>
      </c>
      <c r="E74" s="30" t="inlineStr">
        <is>
          <t>Verdichter 2. Stufe</t>
        </is>
      </c>
      <c r="F74" s="30" t="inlineStr">
        <is>
          <t>Pumpe</t>
        </is>
      </c>
    </row>
    <row r="75" ht="15" customHeight="1" s="72">
      <c r="C75" s="31" t="inlineStr">
        <is>
          <t>S1: Pumpe</t>
        </is>
      </c>
      <c r="D75" s="42" t="n">
        <v>0</v>
      </c>
      <c r="E75" s="42" t="n">
        <v>0</v>
      </c>
      <c r="F75" s="42">
        <f>Szen1_w</f>
        <v/>
      </c>
    </row>
    <row r="76" ht="15" customHeight="1" s="72">
      <c r="C76" s="31" t="inlineStr">
        <is>
          <t>S2 gewählt (B)</t>
        </is>
      </c>
      <c r="D76" s="42">
        <f>Szen2_w1</f>
        <v/>
      </c>
      <c r="E76" s="42">
        <f>Szen2_w2</f>
        <v/>
      </c>
      <c r="F76" s="42">
        <f>Szen2_wP</f>
        <v/>
      </c>
    </row>
    <row r="77" ht="15" customHeight="1" s="72">
      <c r="C77" s="31" t="inlineStr">
        <is>
          <t>Alternative A: verflüssigen</t>
        </is>
      </c>
      <c r="D77" s="44" t="n">
        <v>28.11953813276318</v>
      </c>
      <c r="E77" s="44" t="n">
        <v>24.794489797663</v>
      </c>
      <c r="F77" s="44" t="n">
        <v>8.114101523640954</v>
      </c>
    </row>
    <row r="78" ht="15" customHeight="1" s="72">
      <c r="C78" s="31" t="inlineStr">
        <is>
          <t>Alternative C: durchverdichten</t>
        </is>
      </c>
      <c r="D78" s="44" t="n">
        <v>31.75130103087963</v>
      </c>
      <c r="E78" s="44" t="n">
        <v>49.41963429244987</v>
      </c>
      <c r="F78" s="44" t="n">
        <v>0</v>
      </c>
    </row>
  </sheetData>
  <mergeCells count="8">
    <mergeCell ref="B19:G19"/>
    <mergeCell ref="B46:G46"/>
    <mergeCell ref="B33:G33"/>
    <mergeCell ref="B8:G8"/>
    <mergeCell ref="B4:G4"/>
    <mergeCell ref="B64:G64"/>
    <mergeCell ref="B39:G39"/>
    <mergeCell ref="B25:G25"/>
  </mergeCells>
  <conditionalFormatting sqref="D77:F78">
    <cfRule type="expression" priority="1" dxfId="23">
      <formula>NOT(Stand_ok)</formula>
    </cfRule>
  </conditionalFormatting>
  <conditionalFormatting sqref="E11">
    <cfRule type="expression" priority="2" dxfId="23">
      <formula>NOT(Stand_ok)</formula>
    </cfRule>
  </conditionalFormatting>
  <conditionalFormatting sqref="E14">
    <cfRule type="expression" priority="3" dxfId="23">
      <formula>NOT(Stand_ok)</formula>
    </cfRule>
  </conditionalFormatting>
  <conditionalFormatting sqref="E16">
    <cfRule type="expression" priority="4" dxfId="23">
      <formula>NOT(Stand_ok)</formula>
    </cfRule>
  </conditionalFormatting>
  <conditionalFormatting sqref="E21">
    <cfRule type="expression" priority="5" dxfId="23">
      <formula>NOT(Stand_ok)</formula>
    </cfRule>
  </conditionalFormatting>
  <conditionalFormatting sqref="E23">
    <cfRule type="expression" priority="6" dxfId="23">
      <formula>NOT(Stand_ok)</formula>
    </cfRule>
  </conditionalFormatting>
  <conditionalFormatting sqref="E28">
    <cfRule type="expression" priority="7" dxfId="23">
      <formula>NOT(Stand_ok)</formula>
    </cfRule>
  </conditionalFormatting>
  <conditionalFormatting sqref="E30">
    <cfRule type="expression" priority="8" dxfId="23">
      <formula>NOT(Stand_ok)</formula>
    </cfRule>
  </conditionalFormatting>
  <conditionalFormatting sqref="E35">
    <cfRule type="expression" priority="9" dxfId="23">
      <formula>NOT(Stand_ok)</formula>
    </cfRule>
  </conditionalFormatting>
  <conditionalFormatting sqref="E36">
    <cfRule type="expression" priority="10" dxfId="23">
      <formula>NOT(Stand_ok)</formula>
    </cfRule>
  </conditionalFormatting>
  <conditionalFormatting sqref="E42">
    <cfRule type="expression" priority="11" dxfId="23">
      <formula>NOT(Stand_ok)</formula>
    </cfRule>
  </conditionalFormatting>
  <conditionalFormatting sqref="E44">
    <cfRule type="expression" priority="12" dxfId="23">
      <formula>NOT(Stand_ok)</formula>
    </cfRule>
  </conditionalFormatting>
  <conditionalFormatting sqref="F67">
    <cfRule type="expression" priority="13" dxfId="23">
      <formula>NOT(Stand_ok)</formula>
    </cfRule>
  </conditionalFormatting>
  <conditionalFormatting sqref="F68">
    <cfRule type="expression" priority="14" dxfId="23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7.xml><?xml version="1.0" encoding="utf-8"?>
<worksheet xmlns="http://schemas.openxmlformats.org/spreadsheetml/2006/main">
  <sheetPr>
    <tabColor rgb="FF0476D9"/>
    <outlinePr summaryBelow="1" summaryRight="1"/>
    <pageSetUpPr fitToPage="1"/>
  </sheetPr>
  <dimension ref="A1:Q82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7" customWidth="1" style="72" min="1" max="1"/>
    <col width="15" customWidth="1" style="72" min="2" max="2"/>
    <col width="11" customWidth="1" style="72" min="3" max="3"/>
    <col width="11" customWidth="1" style="72" min="4" max="4"/>
    <col width="11" customWidth="1" style="72" min="5" max="5"/>
    <col width="11" customWidth="1" style="72" min="6" max="6"/>
    <col width="3" customWidth="1" style="72" min="7" max="7"/>
    <col width="11" customWidth="1" style="72" min="8" max="8"/>
    <col width="11" customWidth="1" style="72" min="9" max="9"/>
    <col width="11" customWidth="1" style="72" min="10" max="10"/>
    <col width="11" customWidth="1" style="72" min="11" max="11"/>
    <col width="3" customWidth="1" style="72" min="12" max="12"/>
    <col width="14" customWidth="1" style="72" min="13" max="13"/>
    <col width="14" customWidth="1" style="72" min="14" max="14"/>
  </cols>
  <sheetData>
    <row r="1" ht="30" customHeight="1" s="72">
      <c r="B1" s="1" t="inlineStr">
        <is>
          <t>Kühlung – Zwischenkühler 40 °C, Kühler vor der Pumpe 26 °C, Zwischendruck 55 bar</t>
        </is>
      </c>
    </row>
    <row r="2">
      <c r="B2" s="2" t="inlineStr">
        <is>
          <t>Besprechung K. Vosbeck 15.10.2026, Pkt. 2 · Rechnung: Einspeicherung/Begleitstoffe_CO2/Prozesskette/05_kuehlung_begruendung.py · reines CO₂ und Worst-Case-Gemisch nebeneinander</t>
        </is>
      </c>
    </row>
    <row r="3">
      <c r="B3" s="29" t="inlineStr">
        <is>
          <t>← zur Übersicht</t>
        </is>
      </c>
    </row>
    <row r="4" ht="150" customHeight="1" s="72">
      <c r="B4" s="83" t="inlineStr">
        <is>
          <r>
            <rPr>
              <rFont val="Calibri"/>
              <b val="1"/>
              <sz val="10"/>
            </rPr>
            <t>ZWEI KÜHLER – ZWEI ZWECKE:</t>
          </r>
          <r>
            <rPr>
              <rFont val="Calibri"/>
              <sz val="10"/>
            </rPr>
            <t xml:space="preserve">  Der Zwischenkühler (zwischen den Verdichterstufen, 55 bar) soll die Verdichterarbeit senken und die zweite Stufe unter 95 °C halten. Der Kühler vor der Pumpe (91 bar) soll das CO₂ so dicht wie möglich machen, damit die Pumpe einphasig und mit wenig Förderhöhe arbeitet. Deshalb zwei verschiedene Temperaturen.
</t>
          </r>
          <r>
            <rPr>
              <rFont val="Calibri"/>
              <b val="1"/>
              <sz val="10"/>
            </rPr>
            <t>ZWISCHENKÜHLER 40 °C:</t>
          </r>
          <r>
            <rPr>
              <rFont val="Calibri"/>
              <sz val="10"/>
            </rPr>
            <t xml:space="preserve">  Q-017 S. 37 (Tab. 3): „Soll-Kühltemperatur CO₂ 40 °C“, S. 61 (Siemens-Konzept, Eingangstemperatur 40 °C); Q-063 Kap. 5.1 (PDF-S. 22): CO₂ „no more than about 40 °C“, Kühlung „between and after compressor stages“. Kälter ist nicht besser: der Realgasfaktor sinkt (Tabelle 3) – bei 26 °C wäre Z beim reinen CO₂ 0,63 und damit unter 0,65 (Siemens).
</t>
          </r>
          <r>
            <rPr>
              <rFont val="Calibri"/>
              <b val="1"/>
              <sz val="10"/>
            </rPr>
            <t>KÜHLER VOR DER PUMPE 26 °C:</t>
          </r>
          <r>
            <rPr>
              <rFont val="Calibri"/>
              <sz val="10"/>
            </rPr>
            <t xml:space="preserve">  Kühlwasser 20 °C + 6 K (Q-120 Folie 24: CO₂ „seldom lower than 6 deg. C warmer than the air or water“). Q-120 Folie 32: für Pumpen auf 27–32 °C oder kälter kühlen, über 38 °C steigt die Förderhöhe stark. Bei 91 bar liegt die pseudokritische Linie (cp-Maximum, steilster Dichteabfall) beim Gemisch bei 32,8 °C, beim reinen CO₂ bei 40,5 °C (Tabelle 1) – 26 °C liegt sicher auf der dichten Seite.
</t>
          </r>
          <r>
            <rPr>
              <rFont val="Calibri"/>
              <b val="1"/>
              <sz val="10"/>
            </rPr>
            <t>ZWISCHENDRUCK 55 bar:</t>
          </r>
          <r>
            <rPr>
              <rFont val="Calibri"/>
              <sz val="10"/>
            </rPr>
            <t xml:space="preserve">  höchster runder Druck, bei dem am Eintritt Stufe 2 (40 °C) Z ≥ 0,7 (Q-017 S. 44) für beide Gasqualitäten gilt; beide Stufen bleiben dann unter 95 °C (Tabelle 2).
</t>
          </r>
          <r>
            <rPr>
              <rFont val="Calibri"/>
              <b val="1"/>
              <sz val="10"/>
            </rPr>
            <t>MIT HERSTELLERN ABSTIMMEN (Messe Hamburg 20.–22.10.2026):</t>
          </r>
          <r>
            <rPr>
              <rFont val="Calibri"/>
              <sz val="10"/>
            </rPr>
            <t xml:space="preserve">  Kühlwassertemperatur am Standort, erreichbare Grädigkeit, Z-Grenze der Laufradauslegung, Pumpenwirkungsgrad und Mindest-Saugdichte.</t>
          </r>
        </is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3" t="n"/>
    </row>
    <row r="5"/>
    <row r="6">
      <c r="B6" s="61" t="inlineStr">
        <is>
          <t>1) Dichte und Wärmekapazität bei 91 bar (Druck des Kühlers vor der Pumpe)</t>
        </is>
      </c>
    </row>
    <row r="7" ht="42" customHeight="1" s="72">
      <c r="B7" s="30" t="inlineStr">
        <is>
          <t>T [°C]</t>
        </is>
      </c>
      <c r="C7" s="30" t="inlineStr">
        <is>
          <t>ρ rein [kg/m³]</t>
        </is>
      </c>
      <c r="D7" s="30" t="inlineStr">
        <is>
          <t>cp rein [kJ/(kg·K)]</t>
        </is>
      </c>
      <c r="E7" s="30" t="inlineStr">
        <is>
          <t>ρ Gemisch [kg/m³]</t>
        </is>
      </c>
      <c r="F7" s="30" t="inlineStr">
        <is>
          <t>cp Gemisch [kJ/(kg·K)]</t>
        </is>
      </c>
    </row>
    <row r="8">
      <c r="B8" s="48" t="n">
        <v>10</v>
      </c>
      <c r="C8" s="48" t="n">
        <v>913.0397489246066</v>
      </c>
      <c r="D8" s="44" t="n">
        <v>2.395488133974612</v>
      </c>
      <c r="E8" s="48" t="n">
        <v>837.8147591542688</v>
      </c>
      <c r="F8" s="44" t="n">
        <v>2.675840664869324</v>
      </c>
    </row>
    <row r="9">
      <c r="B9" s="48" t="n">
        <v>11</v>
      </c>
      <c r="C9" s="48" t="n">
        <v>906.8990627917079</v>
      </c>
      <c r="D9" s="44" t="n">
        <v>2.42042249940332</v>
      </c>
      <c r="E9" s="48" t="n">
        <v>830.1581948466444</v>
      </c>
      <c r="F9" s="44" t="n">
        <v>2.724432484511257</v>
      </c>
    </row>
    <row r="10">
      <c r="B10" s="48" t="n">
        <v>12</v>
      </c>
      <c r="C10" s="48" t="n">
        <v>900.6297727944108</v>
      </c>
      <c r="D10" s="44" t="n">
        <v>2.447030163353658</v>
      </c>
      <c r="E10" s="48" t="n">
        <v>822.2523402462665</v>
      </c>
      <c r="F10" s="44" t="n">
        <v>2.777682165026919</v>
      </c>
    </row>
    <row r="11">
      <c r="B11" s="48" t="n">
        <v>13</v>
      </c>
      <c r="C11" s="48" t="n">
        <v>894.2233483101834</v>
      </c>
      <c r="D11" s="44" t="n">
        <v>2.475502606140185</v>
      </c>
      <c r="E11" s="48" t="n">
        <v>814.0734714576148</v>
      </c>
      <c r="F11" s="44" t="n">
        <v>2.836224110878999</v>
      </c>
    </row>
    <row r="12">
      <c r="B12" s="48" t="n">
        <v>14</v>
      </c>
      <c r="C12" s="48" t="n">
        <v>887.6703040718235</v>
      </c>
      <c r="D12" s="44" t="n">
        <v>2.50606184158355</v>
      </c>
      <c r="E12" s="48" t="n">
        <v>805.594543295702</v>
      </c>
      <c r="F12" s="44" t="n">
        <v>2.900794471938207</v>
      </c>
    </row>
    <row r="13">
      <c r="B13" s="48" t="n">
        <v>15</v>
      </c>
      <c r="C13" s="48" t="n">
        <v>880.9600505759001</v>
      </c>
      <c r="D13" s="44" t="n">
        <v>2.538965021967182</v>
      </c>
      <c r="E13" s="48" t="n">
        <v>796.7846169202014</v>
      </c>
      <c r="F13" s="44" t="n">
        <v>2.972261355290295</v>
      </c>
    </row>
    <row r="14">
      <c r="B14" s="48" t="n">
        <v>16</v>
      </c>
      <c r="C14" s="48" t="n">
        <v>874.0807188921523</v>
      </c>
      <c r="D14" s="44" t="n">
        <v>2.574509519510931</v>
      </c>
      <c r="E14" s="48" t="n">
        <v>787.608122578259</v>
      </c>
      <c r="F14" s="44" t="n">
        <v>3.051672797610686</v>
      </c>
    </row>
    <row r="15">
      <c r="B15" s="48" t="n">
        <v>17</v>
      </c>
      <c r="C15" s="48" t="n">
        <v>867.0189559694653</v>
      </c>
      <c r="D15" s="44" t="n">
        <v>2.613038603743362</v>
      </c>
      <c r="E15" s="48" t="n">
        <v>778.0238659114821</v>
      </c>
      <c r="F15" s="44" t="n">
        <v>3.140332482888681</v>
      </c>
    </row>
    <row r="16">
      <c r="B16" s="48" t="n">
        <v>18</v>
      </c>
      <c r="C16" s="48" t="n">
        <v>859.7596857189008</v>
      </c>
      <c r="D16" s="44" t="n">
        <v>2.654947960625857</v>
      </c>
      <c r="E16" s="48" t="n">
        <v>767.9836338196784</v>
      </c>
      <c r="F16" s="44" t="n">
        <v>3.239916922756325</v>
      </c>
    </row>
    <row r="17">
      <c r="B17" s="48" t="n">
        <v>19</v>
      </c>
      <c r="C17" s="48" t="n">
        <v>852.2858297890316</v>
      </c>
      <c r="D17" s="44" t="n">
        <v>2.700693514473119</v>
      </c>
      <c r="E17" s="48" t="n">
        <v>757.4301845993245</v>
      </c>
      <c r="F17" s="44" t="n">
        <v>3.352651363074483</v>
      </c>
    </row>
    <row r="18">
      <c r="B18" s="48" t="n">
        <v>20</v>
      </c>
      <c r="C18" s="48" t="n">
        <v>844.5779795789957</v>
      </c>
      <c r="D18" s="44" t="n">
        <v>2.750801367085571</v>
      </c>
      <c r="E18" s="48" t="n">
        <v>746.2943213481602</v>
      </c>
      <c r="F18" s="44" t="n">
        <v>3.481563339286704</v>
      </c>
    </row>
    <row r="19">
      <c r="B19" s="48" t="n">
        <v>21</v>
      </c>
      <c r="C19" s="48" t="n">
        <v>836.6140069979341</v>
      </c>
      <c r="D19" s="44" t="n">
        <v>2.805881235418937</v>
      </c>
      <c r="E19" s="48" t="n">
        <v>734.4906654693397</v>
      </c>
      <c r="F19" s="44" t="n">
        <v>3.630829527039048</v>
      </c>
    </row>
    <row r="20">
      <c r="B20" s="48" t="n">
        <v>22</v>
      </c>
      <c r="C20" s="48" t="n">
        <v>828.3685944897298</v>
      </c>
      <c r="D20" s="44" t="n">
        <v>2.866645666283896</v>
      </c>
      <c r="E20" s="48" t="n">
        <v>721.9117111897965</v>
      </c>
      <c r="F20" s="44" t="n">
        <v>3.806218710347985</v>
      </c>
    </row>
    <row r="21">
      <c r="B21" s="48" t="n">
        <v>23</v>
      </c>
      <c r="C21" s="48" t="n">
        <v>819.8126531654683</v>
      </c>
      <c r="D21" s="44" t="n">
        <v>2.933938702415148</v>
      </c>
      <c r="E21" s="48" t="n">
        <v>708.4198329202702</v>
      </c>
      <c r="F21" s="44" t="n">
        <v>4.01560585785887</v>
      </c>
    </row>
    <row r="22">
      <c r="B22" s="48" t="n">
        <v>24</v>
      </c>
      <c r="C22" s="48" t="n">
        <v>810.9125784949766</v>
      </c>
      <c r="D22" s="44" t="n">
        <v>3.00877980764302</v>
      </c>
      <c r="E22" s="48" t="n">
        <v>693.8372597740747</v>
      </c>
      <c r="F22" s="44" t="n">
        <v>4.269487433274316</v>
      </c>
    </row>
    <row r="23">
      <c r="B23" s="48" t="n">
        <v>25</v>
      </c>
      <c r="C23" s="48" t="n">
        <v>801.6292616496098</v>
      </c>
      <c r="D23" s="44" t="n">
        <v>3.092432037809787</v>
      </c>
      <c r="E23" s="48" t="n">
        <v>677.9347657595052</v>
      </c>
      <c r="F23" s="44" t="n">
        <v>4.581377792532281</v>
      </c>
    </row>
    <row r="24">
      <c r="B24" s="101" t="n">
        <v>26</v>
      </c>
      <c r="C24" s="101" t="n">
        <v>791.9167250663442</v>
      </c>
      <c r="D24" s="102" t="n">
        <v>3.186508033523213</v>
      </c>
      <c r="E24" s="101" t="n">
        <v>660.4210536918031</v>
      </c>
      <c r="F24" s="102" t="n">
        <v>4.967915849672451</v>
      </c>
    </row>
    <row r="25">
      <c r="B25" s="48" t="n">
        <v>27</v>
      </c>
      <c r="C25" s="48" t="n">
        <v>781.7201749736008</v>
      </c>
      <c r="D25" s="44" t="n">
        <v>3.293133791483291</v>
      </c>
      <c r="E25" s="48" t="n">
        <v>640.9370533847209</v>
      </c>
      <c r="F25" s="44" t="n">
        <v>5.448208679976924</v>
      </c>
    </row>
    <row r="26">
      <c r="B26" s="48" t="n">
        <v>28</v>
      </c>
      <c r="C26" s="48" t="n">
        <v>770.9731514455088</v>
      </c>
      <c r="D26" s="44" t="n">
        <v>3.415198702057255</v>
      </c>
      <c r="E26" s="48" t="n">
        <v>619.06593532886</v>
      </c>
      <c r="F26" s="44" t="n">
        <v>6.040590542651187</v>
      </c>
    </row>
    <row r="27">
      <c r="B27" s="48" t="n">
        <v>29</v>
      </c>
      <c r="C27" s="48" t="n">
        <v>759.5932971203317</v>
      </c>
      <c r="D27" s="44" t="n">
        <v>3.556731403924534</v>
      </c>
      <c r="E27" s="48" t="n">
        <v>594.3822740091144</v>
      </c>
      <c r="F27" s="44" t="n">
        <v>6.756472301117923</v>
      </c>
    </row>
    <row r="28">
      <c r="B28" s="48" t="n">
        <v>30</v>
      </c>
      <c r="C28" s="48" t="n">
        <v>747.4760483260917</v>
      </c>
      <c r="D28" s="44" t="n">
        <v>3.723455348728494</v>
      </c>
      <c r="E28" s="48" t="n">
        <v>566.5347989255371</v>
      </c>
      <c r="F28" s="44" t="n">
        <v>7.606372530143207</v>
      </c>
    </row>
    <row r="29">
      <c r="B29" s="48" t="n">
        <v>31</v>
      </c>
      <c r="C29" s="48" t="n">
        <v>734.485267950547</v>
      </c>
      <c r="D29" s="44" t="n">
        <v>3.923597808660869</v>
      </c>
      <c r="E29" s="48" t="n">
        <v>535.3758274068099</v>
      </c>
      <c r="F29" s="44" t="n">
        <v>8.542068591659199</v>
      </c>
    </row>
    <row r="30">
      <c r="B30" s="48" t="n">
        <v>32</v>
      </c>
      <c r="C30" s="48" t="n">
        <v>720.439477185478</v>
      </c>
      <c r="D30" s="44" t="n">
        <v>4.169058527380785</v>
      </c>
      <c r="E30" s="48" t="n">
        <v>501.6890562932817</v>
      </c>
      <c r="F30" s="44" t="n">
        <v>9.241730093290576</v>
      </c>
    </row>
    <row r="31">
      <c r="B31" s="48" t="n">
        <v>33</v>
      </c>
      <c r="C31" s="48" t="n">
        <v>705.091870263214</v>
      </c>
      <c r="D31" s="44" t="n">
        <v>4.477111990213777</v>
      </c>
      <c r="E31" s="48" t="n">
        <v>467.7484289314175</v>
      </c>
      <c r="F31" s="44" t="n">
        <v>9.407803437657142</v>
      </c>
    </row>
    <row r="32">
      <c r="B32" s="48" t="n">
        <v>34</v>
      </c>
      <c r="C32" s="48" t="n">
        <v>688.1015818805816</v>
      </c>
      <c r="D32" s="44" t="n">
        <v>4.872982303744687</v>
      </c>
      <c r="E32" s="48" t="n">
        <v>435.8758539768246</v>
      </c>
      <c r="F32" s="44" t="n">
        <v>9.109444801842731</v>
      </c>
    </row>
    <row r="33">
      <c r="B33" s="48" t="n">
        <v>35</v>
      </c>
      <c r="C33" s="48" t="n">
        <v>668.9924331566972</v>
      </c>
      <c r="D33" s="44" t="n">
        <v>5.39395894409409</v>
      </c>
      <c r="E33" s="48" t="n">
        <v>407.6385826136055</v>
      </c>
      <c r="F33" s="44" t="n">
        <v>8.357699777517517</v>
      </c>
    </row>
    <row r="34">
      <c r="B34" s="48" t="n">
        <v>36</v>
      </c>
      <c r="C34" s="48" t="n">
        <v>647.0945589837764</v>
      </c>
      <c r="D34" s="44" t="n">
        <v>6.09562281788838</v>
      </c>
      <c r="E34" s="48" t="n">
        <v>383.771670054625</v>
      </c>
      <c r="F34" s="44" t="n">
        <v>7.448031072834867</v>
      </c>
    </row>
    <row r="35">
      <c r="B35" s="48" t="n">
        <v>37</v>
      </c>
      <c r="C35" s="48" t="n">
        <v>621.4752283863749</v>
      </c>
      <c r="D35" s="44" t="n">
        <v>7.057150094764591</v>
      </c>
      <c r="E35" s="48" t="n">
        <v>363.8804070869565</v>
      </c>
      <c r="F35" s="44" t="n">
        <v>6.608247918293253</v>
      </c>
    </row>
    <row r="36">
      <c r="B36" s="48" t="n">
        <v>38</v>
      </c>
      <c r="C36" s="48" t="n">
        <v>590.9079766189991</v>
      </c>
      <c r="D36" s="44" t="n">
        <v>8.38490003289022</v>
      </c>
      <c r="E36" s="48" t="n">
        <v>347.2126624946891</v>
      </c>
      <c r="F36" s="44" t="n">
        <v>5.898446000215751</v>
      </c>
    </row>
    <row r="37">
      <c r="B37" s="48" t="n">
        <v>39</v>
      </c>
      <c r="C37" s="48" t="n">
        <v>553.9382952530437</v>
      </c>
      <c r="D37" s="44" t="n">
        <v>10.1965109357423</v>
      </c>
      <c r="E37" s="48" t="n">
        <v>333.0761169938239</v>
      </c>
      <c r="F37" s="44" t="n">
        <v>5.31307091259339</v>
      </c>
    </row>
    <row r="38">
      <c r="B38" s="101" t="n">
        <v>40</v>
      </c>
      <c r="C38" s="101" t="n">
        <v>510.3758485131316</v>
      </c>
      <c r="D38" s="102" t="n">
        <v>11.84077312284</v>
      </c>
      <c r="E38" s="101" t="n">
        <v>320.9244214809156</v>
      </c>
      <c r="F38" s="102" t="n">
        <v>4.831856396294861</v>
      </c>
    </row>
    <row r="39">
      <c r="B39" s="48" t="n">
        <v>41</v>
      </c>
      <c r="C39" s="48" t="n">
        <v>465.5651732710515</v>
      </c>
      <c r="D39" s="44" t="n">
        <v>11.93220497281983</v>
      </c>
      <c r="E39" s="48" t="n">
        <v>310.343147233528</v>
      </c>
      <c r="F39" s="44" t="n">
        <v>4.434397169880796</v>
      </c>
    </row>
    <row r="40">
      <c r="B40" s="48" t="n">
        <v>42</v>
      </c>
      <c r="C40" s="48" t="n">
        <v>425.9784871255952</v>
      </c>
      <c r="D40" s="44" t="n">
        <v>10.73281420960925</v>
      </c>
      <c r="E40" s="48" t="n">
        <v>301.0199414278925</v>
      </c>
      <c r="F40" s="44" t="n">
        <v>4.103458887063476</v>
      </c>
    </row>
    <row r="41">
      <c r="B41" s="48" t="n">
        <v>43</v>
      </c>
      <c r="C41" s="48" t="n">
        <v>394.5707108202685</v>
      </c>
      <c r="D41" s="44" t="n">
        <v>8.98136860809314</v>
      </c>
      <c r="E41" s="48" t="n">
        <v>292.7181811386653</v>
      </c>
      <c r="F41" s="44" t="n">
        <v>3.825300822135807</v>
      </c>
    </row>
    <row r="42">
      <c r="B42" s="48" t="n">
        <v>44</v>
      </c>
      <c r="C42" s="48" t="n">
        <v>370.3134706351857</v>
      </c>
      <c r="D42" s="44" t="n">
        <v>7.53906802496361</v>
      </c>
      <c r="E42" s="48" t="n">
        <v>285.2568309829858</v>
      </c>
      <c r="F42" s="44" t="n">
        <v>3.589216305475858</v>
      </c>
    </row>
    <row r="43">
      <c r="B43" s="48" t="n">
        <v>45</v>
      </c>
      <c r="C43" s="48" t="n">
        <v>351.1372339983274</v>
      </c>
      <c r="D43" s="44" t="n">
        <v>6.467942786909436</v>
      </c>
      <c r="E43" s="48" t="n">
        <v>278.4957150998498</v>
      </c>
      <c r="F43" s="44" t="n">
        <v>3.386927051508026</v>
      </c>
    </row>
    <row r="44">
      <c r="B44" s="48" t="n">
        <v>46</v>
      </c>
      <c r="C44" s="48" t="n">
        <v>335.5227256251454</v>
      </c>
      <c r="D44" s="44" t="n">
        <v>5.667709939363561</v>
      </c>
      <c r="E44" s="48" t="n">
        <v>272.3249079148875</v>
      </c>
      <c r="F44" s="44" t="n">
        <v>3.212029970653117</v>
      </c>
    </row>
    <row r="45">
      <c r="B45" s="48" t="n">
        <v>47</v>
      </c>
      <c r="C45" s="48" t="n">
        <v>322.4774411705602</v>
      </c>
      <c r="D45" s="44" t="n">
        <v>5.055820871205901</v>
      </c>
      <c r="E45" s="48" t="n">
        <v>266.6571081910071</v>
      </c>
      <c r="F45" s="44" t="n">
        <v>3.059547903682836</v>
      </c>
    </row>
    <row r="46">
      <c r="B46" s="48" t="n">
        <v>48</v>
      </c>
      <c r="C46" s="48" t="n">
        <v>311.3450357623676</v>
      </c>
      <c r="D46" s="44" t="n">
        <v>4.576782221810402</v>
      </c>
      <c r="E46" s="48" t="n">
        <v>261.4221323071399</v>
      </c>
      <c r="F46" s="44" t="n">
        <v>2.925583183111117</v>
      </c>
    </row>
    <row r="47">
      <c r="B47" s="48" t="n">
        <v>49</v>
      </c>
      <c r="C47" s="48" t="n">
        <v>301.6778325447752</v>
      </c>
      <c r="D47" s="44" t="n">
        <v>4.193613414903491</v>
      </c>
      <c r="E47" s="48" t="n">
        <v>256.5629047189207</v>
      </c>
      <c r="F47" s="44" t="n">
        <v>2.807056821688384</v>
      </c>
    </row>
    <row r="48">
      <c r="B48" s="48" t="n">
        <v>50</v>
      </c>
      <c r="C48" s="48" t="n">
        <v>293.160968491925</v>
      </c>
      <c r="D48" s="44" t="n">
        <v>3.881227874796212</v>
      </c>
      <c r="E48" s="48" t="n">
        <v>252.0325084091949</v>
      </c>
      <c r="F48" s="44" t="n">
        <v>2.701514056530242</v>
      </c>
    </row>
    <row r="49" ht="18" customHeight="1" s="72">
      <c r="B49" s="30" t="inlineStr">
        <is>
          <t>Kennwert</t>
        </is>
      </c>
      <c r="C49" s="30" t="inlineStr">
        <is>
          <t>rein</t>
        </is>
      </c>
      <c r="D49" s="30" t="inlineStr"/>
      <c r="E49" s="30" t="inlineStr">
        <is>
          <t>Gemisch</t>
        </is>
      </c>
      <c r="F49" s="30" t="inlineStr"/>
    </row>
    <row r="50" ht="27.95" customHeight="1" s="72">
      <c r="B50" s="31" t="inlineStr">
        <is>
          <t>pseudokritisch (cp-Max.) [°C]</t>
        </is>
      </c>
      <c r="C50" s="98" t="n">
        <v>40.50000000000022</v>
      </c>
      <c r="D50" s="31" t="n"/>
      <c r="E50" s="98" t="n">
        <v>32.80000000000011</v>
      </c>
      <c r="F50" s="31" t="n"/>
    </row>
    <row r="51" ht="27.95" customHeight="1" s="72">
      <c r="B51" s="31" t="inlineStr">
        <is>
          <t>ρ = 500 kg/m³ bei T [°C]</t>
        </is>
      </c>
      <c r="C51" s="98" t="n">
        <v>40.23154858651601</v>
      </c>
      <c r="D51" s="31" t="n"/>
      <c r="E51" s="98" t="n">
        <v>32.04976502865647</v>
      </c>
      <c r="F51" s="31" t="n"/>
    </row>
    <row r="52">
      <c r="B52" s="25" t="inlineStr">
        <is>
          <t>Fett: 26 °C (Kühler vor der Pumpe) und 40 °C (Zwischenkühler). Graue Werte: CoolProp, gerechnet in 05_kuehlung_begruendung.py.</t>
        </is>
      </c>
    </row>
    <row r="53"/>
    <row r="54">
      <c r="B54" s="61" t="inlineStr">
        <is>
          <t>2) Wahl des Zwischendrucks (Zwischenkühler 40 °C, Stufe 1 ab 30 bar / 15 °C, Stufe 2 bis 91 bar)</t>
        </is>
      </c>
    </row>
    <row r="55">
      <c r="C55" s="61" t="inlineStr">
        <is>
          <t>reines CO₂</t>
        </is>
      </c>
      <c r="H55" s="61" t="inlineStr">
        <is>
          <t>Worst-Case-Gemisch</t>
        </is>
      </c>
    </row>
    <row r="56" ht="42" customHeight="1" s="72">
      <c r="B56" s="30" t="inlineStr">
        <is>
          <t>p_zw [bar]</t>
        </is>
      </c>
      <c r="C56" s="30" t="inlineStr">
        <is>
          <t>T Stufe 1 aus [°C]</t>
        </is>
      </c>
      <c r="D56" s="30" t="inlineStr">
        <is>
          <t>T Stufe 2 aus [°C]</t>
        </is>
      </c>
      <c r="E56" s="30" t="inlineStr">
        <is>
          <t>Z Eintritt Stufe 2</t>
        </is>
      </c>
      <c r="F56" s="30" t="inlineStr">
        <is>
          <t>w Verdichter [kJ/kg]</t>
        </is>
      </c>
      <c r="H56" s="30" t="inlineStr">
        <is>
          <t>T Stufe 1 aus [°C]</t>
        </is>
      </c>
      <c r="I56" s="30" t="inlineStr">
        <is>
          <t>T Stufe 2 aus [°C]</t>
        </is>
      </c>
      <c r="J56" s="30" t="inlineStr">
        <is>
          <t>Z Eintritt Stufe 2</t>
        </is>
      </c>
      <c r="K56" s="30" t="inlineStr">
        <is>
          <t>w Verdichter [kJ/kg]</t>
        </is>
      </c>
      <c r="M56" s="30" t="inlineStr">
        <is>
          <t>beide Stufen ≤ T_max?</t>
        </is>
      </c>
      <c r="N56" s="30" t="inlineStr">
        <is>
          <t>Z ≥ 0,7 (rein und Gemisch)?</t>
        </is>
      </c>
    </row>
    <row r="57">
      <c r="B57" s="48" t="n">
        <v>45</v>
      </c>
      <c r="C57" s="45" t="n">
        <v>48.07117874786957</v>
      </c>
      <c r="D57" s="45" t="n">
        <v>103.7403191092862</v>
      </c>
      <c r="E57" s="47" t="n">
        <v>0.7782536341993421</v>
      </c>
      <c r="F57" s="45" t="n">
        <v>64.90249767627193</v>
      </c>
      <c r="H57" s="45" t="n">
        <v>48.386985823136</v>
      </c>
      <c r="I57" s="45" t="n">
        <v>104.3838863367002</v>
      </c>
      <c r="J57" s="47" t="n">
        <v>0.7965638880467006</v>
      </c>
      <c r="K57" s="45" t="n">
        <v>67.90234045814054</v>
      </c>
      <c r="M57" s="103">
        <f>IF(MAX(C57:D57,H57:I57)&lt;=T_maxV,"✔ ja","✘ nein")</f>
        <v/>
      </c>
      <c r="N57" s="103">
        <f>IF(MIN(E57,J57)&gt;=Z_lit,"✔ ja","✘ nein")</f>
        <v/>
      </c>
    </row>
    <row r="58">
      <c r="B58" s="48" t="n">
        <v>50</v>
      </c>
      <c r="C58" s="45" t="n">
        <v>57.10272017421391</v>
      </c>
      <c r="D58" s="45" t="n">
        <v>93.41485187768865</v>
      </c>
      <c r="E58" s="47" t="n">
        <v>0.747569438223893</v>
      </c>
      <c r="F58" s="45" t="n">
        <v>62.75656219681423</v>
      </c>
      <c r="H58" s="45" t="n">
        <v>57.49998447408973</v>
      </c>
      <c r="I58" s="45" t="n">
        <v>94.00527899155486</v>
      </c>
      <c r="J58" s="47" t="n">
        <v>0.7695737104319318</v>
      </c>
      <c r="K58" s="45" t="n">
        <v>65.82367801837222</v>
      </c>
      <c r="M58" s="103">
        <f>IF(MAX(C58:D58,H58:I58)&lt;=T_maxV,"✔ ja","✘ nein")</f>
        <v/>
      </c>
      <c r="N58" s="103">
        <f>IF(MIN(E58,J58)&gt;=Z_lit,"✔ ja","✘ nein")</f>
        <v/>
      </c>
    </row>
    <row r="59">
      <c r="B59" s="101" t="n">
        <v>55</v>
      </c>
      <c r="C59" s="104" t="n">
        <v>65.42761478141722</v>
      </c>
      <c r="D59" s="104" t="n">
        <v>84.14270921757679</v>
      </c>
      <c r="E59" s="105" t="n">
        <v>0.7148114423484014</v>
      </c>
      <c r="F59" s="104" t="n">
        <v>61.31619059095596</v>
      </c>
      <c r="H59" s="104" t="n">
        <v>65.89908918557421</v>
      </c>
      <c r="I59" s="104" t="n">
        <v>84.71342690350491</v>
      </c>
      <c r="J59" s="105" t="n">
        <v>0.7412474284395405</v>
      </c>
      <c r="K59" s="104" t="n">
        <v>64.45601013824842</v>
      </c>
      <c r="M59" s="103">
        <f>IF(MAX(C59:D59,H59:I59)&lt;=T_maxV,"✔ ja","✘ nein")</f>
        <v/>
      </c>
      <c r="N59" s="103">
        <f>IF(MIN(E59,J59)&gt;=Z_lit,"✔ ja","✘ nein")</f>
        <v/>
      </c>
    </row>
    <row r="60">
      <c r="B60" s="48" t="n">
        <v>60</v>
      </c>
      <c r="C60" s="45" t="n">
        <v>73.15539245907911</v>
      </c>
      <c r="D60" s="45" t="n">
        <v>75.74805838852853</v>
      </c>
      <c r="E60" s="47" t="n">
        <v>0.6794673070008671</v>
      </c>
      <c r="F60" s="45" t="n">
        <v>60.46043678499711</v>
      </c>
      <c r="H60" s="45" t="n">
        <v>73.69576965366616</v>
      </c>
      <c r="I60" s="45" t="n">
        <v>76.33010916248122</v>
      </c>
      <c r="J60" s="47" t="n">
        <v>0.7113684251552708</v>
      </c>
      <c r="K60" s="45" t="n">
        <v>63.67471221511323</v>
      </c>
      <c r="M60" s="103">
        <f>IF(MAX(C60:D60,H60:I60)&lt;=T_maxV,"✔ ja","✘ nein")</f>
        <v/>
      </c>
      <c r="N60" s="103">
        <f>IF(MIN(E60,J60)&gt;=Z_lit,"✔ ja","✘ nein")</f>
        <v/>
      </c>
    </row>
    <row r="61"/>
    <row r="62">
      <c r="B62" s="31" t="inlineStr">
        <is>
          <t>Literaturrichtwert Z (Q-017 S. 37 / S. 44):</t>
        </is>
      </c>
      <c r="C62" s="97" t="n"/>
      <c r="D62" s="97" t="n"/>
      <c r="E62" s="16" t="n">
        <v>0.7</v>
      </c>
      <c r="F62" s="25" t="inlineStr">
        <is>
          <t>– darf zum Vergleich geändert werden (Hersteller: 0,65)</t>
        </is>
      </c>
    </row>
    <row r="63">
      <c r="B63" s="25" t="inlineStr">
        <is>
          <t>Gewählt 55 bar (fett): höchster runder Druck, der beide Prüfungen besteht. Mit 50 bar läge Stufe 2 bei 93–94 °C (knapp unter 95 °C), mit 60 bar wäre Z beim reinen CO₂ unter 0,7.</t>
        </is>
      </c>
    </row>
    <row r="64"/>
    <row r="65">
      <c r="B65" s="61" t="inlineStr">
        <is>
          <t>3) Temperatur nach dem Zwischenkühler (Zwischendruck 55 bar)</t>
        </is>
      </c>
    </row>
    <row r="66">
      <c r="C66" s="61" t="inlineStr">
        <is>
          <t>reines CO₂</t>
        </is>
      </c>
      <c r="H66" s="61" t="inlineStr">
        <is>
          <t>Worst-Case-Gemisch</t>
        </is>
      </c>
    </row>
    <row r="67" ht="42" customHeight="1" s="72">
      <c r="B67" s="30" t="inlineStr">
        <is>
          <t>T_ZK [°C]</t>
        </is>
      </c>
      <c r="C67" s="30" t="inlineStr">
        <is>
          <t>Z Eintritt Stufe 2</t>
        </is>
      </c>
      <c r="D67" s="30" t="inlineStr">
        <is>
          <t>T Stufe 2 aus [°C]</t>
        </is>
      </c>
      <c r="E67" s="30" t="inlineStr">
        <is>
          <t>w Verdichter [kJ/kg]</t>
        </is>
      </c>
      <c r="F67" s="30" t="inlineStr">
        <is>
          <t>q Zwischenkühler [kJ/kg]</t>
        </is>
      </c>
      <c r="H67" s="30" t="inlineStr">
        <is>
          <t>Z Eintritt Stufe 2</t>
        </is>
      </c>
      <c r="I67" s="30" t="inlineStr">
        <is>
          <t>T Stufe 2 aus [°C]</t>
        </is>
      </c>
      <c r="J67" s="30" t="inlineStr">
        <is>
          <t>w Verdichter [kJ/kg]</t>
        </is>
      </c>
      <c r="K67" s="30" t="inlineStr">
        <is>
          <t>q Zwischenkühler [kJ/kg]</t>
        </is>
      </c>
      <c r="M67" s="30" t="inlineStr">
        <is>
          <t>Z &gt; Z_min (0,65)?</t>
        </is>
      </c>
      <c r="N67" s="30" t="inlineStr">
        <is>
          <t>Z ≥ 0,7?</t>
        </is>
      </c>
    </row>
    <row r="68">
      <c r="B68" s="48" t="n">
        <v>20</v>
      </c>
      <c r="C68" s="47" t="n">
        <v>0.5742749194708469</v>
      </c>
      <c r="D68" s="45" t="n">
        <v>58.8577742429984</v>
      </c>
      <c r="E68" s="45" t="n">
        <v>54.57624006750223</v>
      </c>
      <c r="F68" s="45" t="n">
        <v>78.61829891703081</v>
      </c>
      <c r="H68" s="47" t="n">
        <v>0.6324632277979488</v>
      </c>
      <c r="I68" s="45" t="n">
        <v>60.5431607539075</v>
      </c>
      <c r="J68" s="45" t="n">
        <v>58.65708669622398</v>
      </c>
      <c r="K68" s="45" t="n">
        <v>71.36754727169551</v>
      </c>
      <c r="M68" s="103">
        <f>IF(MIN(C68,H68)&gt;Z_min,"✔ ja","✘ nein")</f>
        <v/>
      </c>
      <c r="N68" s="103">
        <f>IF(MIN(C68,H68)&gt;=Z_lit,"✔ ja","✘ nein")</f>
        <v/>
      </c>
    </row>
    <row r="69">
      <c r="B69" s="48" t="n">
        <v>26</v>
      </c>
      <c r="C69" s="47" t="n">
        <v>0.6323398087280765</v>
      </c>
      <c r="D69" s="45" t="n">
        <v>67.10383171663818</v>
      </c>
      <c r="E69" s="45" t="n">
        <v>57.10343554873833</v>
      </c>
      <c r="F69" s="45" t="n">
        <v>62.5958054444647</v>
      </c>
      <c r="H69" s="47" t="n">
        <v>0.6738029801063857</v>
      </c>
      <c r="I69" s="45" t="n">
        <v>68.11168739230095</v>
      </c>
      <c r="J69" s="45" t="n">
        <v>60.66194632929381</v>
      </c>
      <c r="K69" s="45" t="n">
        <v>58.91280439362635</v>
      </c>
      <c r="M69" s="103">
        <f>IF(MIN(C69,H69)&gt;Z_min,"✔ ja","✘ nein")</f>
        <v/>
      </c>
      <c r="N69" s="103">
        <f>IF(MIN(C69,H69)&gt;=Z_lit,"✔ ja","✘ nein")</f>
        <v/>
      </c>
    </row>
    <row r="70">
      <c r="B70" s="48" t="n">
        <v>30</v>
      </c>
      <c r="C70" s="47" t="n">
        <v>0.6608229331106465</v>
      </c>
      <c r="D70" s="45" t="n">
        <v>72.15742923386972</v>
      </c>
      <c r="E70" s="45" t="n">
        <v>58.45911390769066</v>
      </c>
      <c r="F70" s="45" t="n">
        <v>54.11291762652951</v>
      </c>
      <c r="H70" s="47" t="n">
        <v>0.6962346293748348</v>
      </c>
      <c r="I70" s="45" t="n">
        <v>72.9622633663335</v>
      </c>
      <c r="J70" s="45" t="n">
        <v>61.84060109960171</v>
      </c>
      <c r="K70" s="45" t="n">
        <v>51.6190864151115</v>
      </c>
      <c r="M70" s="103">
        <f>IF(MIN(C70,H70)&gt;Z_min,"✔ ja","✘ nein")</f>
        <v/>
      </c>
      <c r="N70" s="103">
        <f>IF(MIN(C70,H70)&gt;=Z_lit,"✔ ja","✘ nein")</f>
        <v/>
      </c>
    </row>
    <row r="71">
      <c r="B71" s="48" t="n">
        <v>35</v>
      </c>
      <c r="C71" s="47" t="n">
        <v>0.6901788964828222</v>
      </c>
      <c r="D71" s="45" t="n">
        <v>78.23329627967792</v>
      </c>
      <c r="E71" s="45" t="n">
        <v>59.95939496947801</v>
      </c>
      <c r="F71" s="45" t="n">
        <v>44.75659460742281</v>
      </c>
      <c r="H71" s="47" t="n">
        <v>0.7203730293540083</v>
      </c>
      <c r="I71" s="45" t="n">
        <v>78.89034006291809</v>
      </c>
      <c r="J71" s="45" t="n">
        <v>63.19659039233409</v>
      </c>
      <c r="K71" s="45" t="n">
        <v>43.22581342830881</v>
      </c>
      <c r="M71" s="103">
        <f>IF(MIN(C71,H71)&gt;Z_min,"✔ ja","✘ nein")</f>
        <v/>
      </c>
      <c r="N71" s="103">
        <f>IF(MIN(C71,H71)&gt;=Z_lit,"✔ ja","✘ nein")</f>
        <v/>
      </c>
    </row>
    <row r="72">
      <c r="B72" s="101" t="n">
        <v>40</v>
      </c>
      <c r="C72" s="105" t="n">
        <v>0.7148114423484014</v>
      </c>
      <c r="D72" s="104" t="n">
        <v>84.14270921757679</v>
      </c>
      <c r="E72" s="104" t="n">
        <v>61.31619059095596</v>
      </c>
      <c r="F72" s="104" t="n">
        <v>36.29198209027032</v>
      </c>
      <c r="H72" s="105" t="n">
        <v>0.7412474284395405</v>
      </c>
      <c r="I72" s="104" t="n">
        <v>84.71342690350491</v>
      </c>
      <c r="J72" s="104" t="n">
        <v>64.45601013824842</v>
      </c>
      <c r="K72" s="104" t="n">
        <v>35.41034920823688</v>
      </c>
      <c r="M72" s="103">
        <f>IF(MIN(C72,H72)&gt;Z_min,"✔ ja","✘ nein")</f>
        <v/>
      </c>
      <c r="N72" s="103">
        <f>IF(MIN(C72,H72)&gt;=Z_lit,"✔ ja","✘ nein")</f>
        <v/>
      </c>
    </row>
    <row r="73">
      <c r="B73" s="48" t="n">
        <v>45</v>
      </c>
      <c r="C73" s="47" t="n">
        <v>0.7360359899259548</v>
      </c>
      <c r="D73" s="45" t="n">
        <v>89.94214827970376</v>
      </c>
      <c r="E73" s="45" t="n">
        <v>62.57150631802182</v>
      </c>
      <c r="F73" s="45" t="n">
        <v>28.43709428802373</v>
      </c>
      <c r="H73" s="47" t="n">
        <v>0.7595970302639479</v>
      </c>
      <c r="I73" s="45" t="n">
        <v>90.46108676120565</v>
      </c>
      <c r="J73" s="45" t="n">
        <v>65.64179576860977</v>
      </c>
      <c r="K73" s="45" t="n">
        <v>28.02134847888084</v>
      </c>
      <c r="M73" s="103">
        <f>IF(MIN(C73,H73)&gt;Z_min,"✔ ja","✘ nein")</f>
        <v/>
      </c>
      <c r="N73" s="103">
        <f>IF(MIN(C73,H73)&gt;=Z_lit,"✔ ja","✘ nein")</f>
        <v/>
      </c>
    </row>
    <row r="74">
      <c r="B74" s="25" t="inlineStr">
        <is>
          <t>Tiefer kühlen spart Arbeit, senkt aber Z: unter ca. 35 °C (rein) bzw. 30 °C (Gemisch) fällt Z unter 0,7, bei 20–26 °C unter 0,65. 40 °C ist der Quellenwert (Q-017, Q-063) und hält beide Grenzen mit Abstand ein.</t>
        </is>
      </c>
    </row>
    <row r="75"/>
    <row r="76">
      <c r="B76" s="61" t="inlineStr">
        <is>
          <t>4) Kühlwasser wärmer oder kälter: Wirkung auf Pumpeneintritt und Zieldruck im Betrieb (S2, 100.000 Nm³/h)</t>
        </is>
      </c>
      <c r="P76" s="25" t="inlineStr">
        <is>
          <t>Hilfswerte Diagramm</t>
        </is>
      </c>
    </row>
    <row r="77">
      <c r="C77" s="61" t="inlineStr">
        <is>
          <t>reines CO₂</t>
        </is>
      </c>
      <c r="H77" s="61" t="inlineStr">
        <is>
          <t>Worst-Case-Gemisch</t>
        </is>
      </c>
      <c r="P77" t="n">
        <v>20</v>
      </c>
      <c r="Q77">
        <f>Z_min</f>
        <v/>
      </c>
    </row>
    <row r="78" ht="42" customHeight="1" s="72">
      <c r="B78" s="30" t="inlineStr">
        <is>
          <t>T_KW [°C]</t>
        </is>
      </c>
      <c r="C78" s="30" t="inlineStr">
        <is>
          <t>T_K = T_KW + 6 K [°C]</t>
        </is>
      </c>
      <c r="D78" s="30" t="inlineStr">
        <is>
          <t>ρ Pumpeneintritt [kg/m³]</t>
        </is>
      </c>
      <c r="E78" s="30" t="inlineStr">
        <is>
          <t>Zieldruck Kopf [bar]</t>
        </is>
      </c>
      <c r="F78" s="30" t="inlineStr">
        <is>
          <t>w Pumpe [kJ/kg]</t>
        </is>
      </c>
      <c r="H78" s="30" t="inlineStr">
        <is>
          <t>ρ Pumpeneintritt [kg/m³]</t>
        </is>
      </c>
      <c r="I78" s="30" t="inlineStr">
        <is>
          <t>Zieldruck Kopf [bar]</t>
        </is>
      </c>
      <c r="J78" s="30" t="inlineStr">
        <is>
          <t>T Kopf [°C]</t>
        </is>
      </c>
      <c r="K78" s="30" t="inlineStr">
        <is>
          <t>w Pumpe [kJ/kg]</t>
        </is>
      </c>
      <c r="P78" t="n">
        <v>45</v>
      </c>
      <c r="Q78">
        <f>Z_min</f>
        <v/>
      </c>
    </row>
    <row r="79">
      <c r="B79" s="48" t="n">
        <v>15</v>
      </c>
      <c r="C79" s="48" t="n">
        <v>21</v>
      </c>
      <c r="D79" s="48" t="n">
        <v>836.6140069979341</v>
      </c>
      <c r="E79" s="45" t="n">
        <v>110.0964972697667</v>
      </c>
      <c r="F79" s="44" t="n">
        <v>2.837725056256659</v>
      </c>
      <c r="H79" s="48" t="n">
        <v>734.4906654693397</v>
      </c>
      <c r="I79" s="45" t="n">
        <v>120.3950029574115</v>
      </c>
      <c r="J79" s="45" t="n">
        <v>26.25828964001937</v>
      </c>
      <c r="K79" s="44" t="n">
        <v>4.928609133941791</v>
      </c>
      <c r="P79" t="n">
        <v>20</v>
      </c>
      <c r="Q79">
        <f>Z_lit</f>
        <v/>
      </c>
    </row>
    <row r="80">
      <c r="B80" s="101" t="n">
        <v>20</v>
      </c>
      <c r="C80" s="101" t="n">
        <v>26</v>
      </c>
      <c r="D80" s="101" t="n">
        <v>791.9167250663442</v>
      </c>
      <c r="E80" s="104" t="n">
        <v>114.6341589872628</v>
      </c>
      <c r="F80" s="102" t="n">
        <v>3.697425868443872</v>
      </c>
      <c r="H80" s="101" t="n">
        <v>660.4210536918031</v>
      </c>
      <c r="I80" s="104" t="n">
        <v>127.2718032176663</v>
      </c>
      <c r="J80" s="104" t="n">
        <v>34.40649477199338</v>
      </c>
      <c r="K80" s="102" t="n">
        <v>6.674233240659305</v>
      </c>
      <c r="P80" t="n">
        <v>45</v>
      </c>
      <c r="Q80">
        <f>Z_lit</f>
        <v/>
      </c>
    </row>
    <row r="81">
      <c r="B81" s="48" t="n">
        <v>25</v>
      </c>
      <c r="C81" s="48" t="n">
        <v>31</v>
      </c>
      <c r="D81" s="48" t="n">
        <v>734.485267950547</v>
      </c>
      <c r="E81" s="45" t="n">
        <v>120.2204821554021</v>
      </c>
      <c r="F81" s="44" t="n">
        <v>4.895698704448478</v>
      </c>
      <c r="H81" s="48" t="n">
        <v>535.3758274068099</v>
      </c>
      <c r="I81" s="45" t="n">
        <v>138.3591661212128</v>
      </c>
      <c r="J81" s="45" t="n">
        <v>46.93892467756802</v>
      </c>
      <c r="K81" s="44" t="n">
        <v>10.35338207894159</v>
      </c>
    </row>
    <row r="82">
      <c r="B82" s="25" t="inlineStr">
        <is>
          <t>Wärmeres Kühlwasser macht das CO₂ an der Pumpe dünner und die Säule im Bohrloch leichter: beim Gemisch steigt der nötige Kopfdruck von 120,4 bar (15 °C) auf 138,4 bar (25 °C), die Pumpenarbeit verdoppelt sich. Die Kühlwassertemperatur am Standort ist deshalb eine Auslegungsgröße – mit Hersteller/Standort klären.</t>
        </is>
      </c>
    </row>
  </sheetData>
  <mergeCells count="2">
    <mergeCell ref="B4:N4"/>
    <mergeCell ref="B62:D62"/>
  </mergeCells>
  <conditionalFormatting sqref="B8:F48">
    <cfRule type="expression" priority="1" dxfId="23">
      <formula>NOT(Stand_ok)</formula>
    </cfRule>
  </conditionalFormatting>
  <conditionalFormatting sqref="C50:E51">
    <cfRule type="expression" priority="2" dxfId="23">
      <formula>NOT(Stand_ok)</formula>
    </cfRule>
  </conditionalFormatting>
  <conditionalFormatting sqref="B57:K60">
    <cfRule type="expression" priority="3" dxfId="23">
      <formula>NOT(Stand_ok)</formula>
    </cfRule>
  </conditionalFormatting>
  <conditionalFormatting sqref="B68:K73">
    <cfRule type="expression" priority="4" dxfId="23">
      <formula>NOT(Stand_ok)</formula>
    </cfRule>
  </conditionalFormatting>
  <conditionalFormatting sqref="B79:K81">
    <cfRule type="expression" priority="5" dxfId="23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0476D9"/>
    <outlinePr summaryBelow="1" summaryRight="1"/>
    <pageSetUpPr fitToPage="1"/>
  </sheetPr>
  <dimension ref="A1:L58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7" customWidth="1" style="72" min="1" max="1"/>
    <col width="40" customWidth="1" style="72" min="2" max="2"/>
    <col width="10" customWidth="1" style="72" min="3" max="3"/>
    <col width="10" customWidth="1" style="72" min="4" max="4"/>
    <col width="12" customWidth="1" style="72" min="5" max="5"/>
    <col width="24" customWidth="1" style="72" min="6" max="6"/>
    <col width="14" customWidth="1" style="72" min="7" max="7"/>
    <col width="14" customWidth="1" style="72" min="8" max="8"/>
    <col width="14" customWidth="1" style="72" min="9" max="9"/>
    <col width="3" customWidth="1" style="72" min="10" max="10"/>
    <col width="14" customWidth="1" style="72" min="11" max="11"/>
    <col width="14" customWidth="1" style="72" min="12" max="12"/>
  </cols>
  <sheetData>
    <row r="1" ht="30" customHeight="1" s="72">
      <c r="B1" s="1" t="inlineStr">
        <is>
          <t>Massenströme – ein Massenstrom, viele Volumenströme</t>
        </is>
      </c>
    </row>
    <row r="2">
      <c r="B2" s="2" t="inlineStr">
        <is>
          <t>Besprechung K. Vosbeck 15.10.2026, Pkt. 4 · Rechnung: Einspeicherung/Begleitstoffe_CO2/Prozesskette/06_massenstrom_volumenstroeme.py</t>
        </is>
      </c>
    </row>
    <row r="3">
      <c r="B3" s="29" t="inlineStr">
        <is>
          <t>← zur Übersicht</t>
        </is>
      </c>
    </row>
    <row r="4" ht="66" customHeight="1" s="72">
      <c r="B4" s="83" t="inlineStr">
        <is>
          <r>
            <rPr>
              <rFont val="Calibri"/>
              <b val="1"/>
              <sz val="10"/>
            </rPr>
            <t>GRUNDSATZ:</t>
          </r>
          <r>
            <rPr>
              <rFont val="Calibri"/>
              <sz val="10"/>
            </rPr>
            <t xml:space="preserve">  Die Volumenströme der verschiedenen Phasen dürfen nicht gleichgesetzt werden – verknüpft wird über einen Massenstrom, der entlang der ganzen Kette gleich bleibt (keine Abzweigung, kein Speicher).
</t>
          </r>
          <r>
            <rPr>
              <rFont val="Calibri"/>
              <b val="1"/>
              <sz val="10"/>
            </rPr>
            <t>RECHENWEG:</t>
          </r>
          <r>
            <rPr>
              <rFont val="Calibri"/>
              <sz val="10"/>
            </rPr>
            <t xml:space="preserve">  ṁ = V_n · ρ_n / 3600 mit dem Normvolumenstrom V_n (0 °C, 1,01325 bar, DIN 1343). An jedem Zustandspunkt ist der tatsächliche Volumenstrom V̇ = ṁ / ρ(p, T) · 3600 in m³/h.
</t>
          </r>
          <r>
            <rPr>
              <rFont val="Calibri"/>
              <b val="1"/>
              <sz val="10"/>
            </rPr>
            <t>FOLGE:</t>
          </r>
          <r>
            <rPr>
              <rFont val="Calibri"/>
              <sz val="10"/>
            </rPr>
            <t xml:space="preserve">  Bei gleichem ṁ fördert Verdichter 1 rund 10-mal so viel Volumen wie die Pumpe (2.941 gegenüber 293 m³/h bei 100.000 Nm³/h). Maschinen und Rohre werden am Zustand ausgelegt, nicht am Normvolumenstrom (Nm³/h ≠ m³/h).</t>
          </r>
        </is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</row>
    <row r="5"/>
    <row r="6">
      <c r="B6" s="61" t="inlineStr">
        <is>
          <t>1) Massenstrom aus dem Normvolumenstrom</t>
        </is>
      </c>
    </row>
    <row r="7" ht="20" customHeight="1" s="72">
      <c r="B7" s="30" t="inlineStr">
        <is>
          <t>Größe</t>
        </is>
      </c>
      <c r="C7" s="30" t="inlineStr">
        <is>
          <t>unterer Fall</t>
        </is>
      </c>
      <c r="D7" s="30" t="inlineStr">
        <is>
          <t>oberer Fall</t>
        </is>
      </c>
      <c r="E7" s="30" t="inlineStr">
        <is>
          <t>Einheit</t>
        </is>
      </c>
    </row>
    <row r="8">
      <c r="B8" s="31" t="inlineStr">
        <is>
          <t>Normvolumenstrom V_n</t>
        </is>
      </c>
      <c r="C8" s="100">
        <f>V_min</f>
        <v/>
      </c>
      <c r="D8" s="100">
        <f>V_max</f>
        <v/>
      </c>
      <c r="E8" s="38" t="inlineStr">
        <is>
          <t>Nm³/h</t>
        </is>
      </c>
    </row>
    <row r="9">
      <c r="B9" s="31" t="inlineStr">
        <is>
          <t>Normdichte ρ_n (CoolProp, DIN 1343)</t>
        </is>
      </c>
      <c r="C9" s="106">
        <f>rho_n</f>
        <v/>
      </c>
      <c r="D9" s="106">
        <f>rho_n</f>
        <v/>
      </c>
      <c r="E9" s="38" t="inlineStr">
        <is>
          <t>kg/m³</t>
        </is>
      </c>
    </row>
    <row r="10">
      <c r="B10" s="31" t="inlineStr">
        <is>
          <t>Massenstrom ṁ = V_n · ρ_n / 3600</t>
        </is>
      </c>
      <c r="C10" s="46">
        <f>Szen1_mmin</f>
        <v/>
      </c>
      <c r="D10" s="46">
        <f>Szen1_mmax</f>
        <v/>
      </c>
      <c r="E10" s="38" t="inlineStr">
        <is>
          <t>kg/s</t>
        </is>
      </c>
    </row>
    <row r="11">
      <c r="B11" s="31" t="inlineStr">
        <is>
          <t>Massenstrom</t>
        </is>
      </c>
      <c r="C11" s="40">
        <f>C10*3.6</f>
        <v/>
      </c>
      <c r="D11" s="40">
        <f>D10*3.6</f>
        <v/>
      </c>
      <c r="E11" s="38" t="inlineStr">
        <is>
          <t>t/h</t>
        </is>
      </c>
    </row>
    <row r="12">
      <c r="B12" s="31" t="inlineStr">
        <is>
          <t>Massenstrom</t>
        </is>
      </c>
      <c r="C12" s="100">
        <f>C10*86.4</f>
        <v/>
      </c>
      <c r="D12" s="100">
        <f>D10*86.4</f>
        <v/>
      </c>
      <c r="E12" s="38" t="inlineStr">
        <is>
          <t>t/d</t>
        </is>
      </c>
    </row>
    <row r="13"/>
    <row r="14"/>
    <row r="15">
      <c r="B15" s="61" t="inlineStr">
        <is>
          <t>2) Volumenströme an den Zustandspunkten – Worst-Case-Gemisch (diese Mappe; ṁ aus Tabelle 1)</t>
        </is>
      </c>
    </row>
    <row r="16" ht="42" customHeight="1" s="72">
      <c r="B16" s="30" t="inlineStr">
        <is>
          <t>Zustandspunkt</t>
        </is>
      </c>
      <c r="C16" s="30" t="inlineStr">
        <is>
          <t>p [bar]</t>
        </is>
      </c>
      <c r="D16" s="30" t="inlineStr">
        <is>
          <t>T [°C]</t>
        </is>
      </c>
      <c r="E16" s="30" t="inlineStr">
        <is>
          <t>ρ [kg/m³]</t>
        </is>
      </c>
      <c r="F16" s="30" t="inlineStr">
        <is>
          <t>Phase</t>
        </is>
      </c>
      <c r="G16" s="30" t="inlineStr">
        <is>
          <t>V̇ bei 50.000 Nm³/h [m³/h]</t>
        </is>
      </c>
      <c r="H16" s="30" t="inlineStr">
        <is>
          <t>V̇ bei 100.000 Nm³/h [m³/h]</t>
        </is>
      </c>
      <c r="I16" s="30" t="inlineStr">
        <is>
          <t>Vielfaches des Pumpeneintritts</t>
        </is>
      </c>
    </row>
    <row r="17">
      <c r="B17" s="85" t="inlineStr">
        <is>
          <t>S2 – gasförmige Anlieferung</t>
        </is>
      </c>
      <c r="C17" s="97" t="n"/>
      <c r="D17" s="97" t="n"/>
      <c r="E17" s="97" t="n"/>
      <c r="F17" s="97" t="n"/>
      <c r="G17" s="97" t="n"/>
      <c r="H17" s="97" t="n"/>
      <c r="I17" s="99" t="n"/>
    </row>
    <row r="18">
      <c r="B18" s="31" t="inlineStr">
        <is>
          <t>Netzübergabe S2 = Verdichter 1 ein</t>
        </is>
      </c>
      <c r="C18" s="45" t="n">
        <v>30</v>
      </c>
      <c r="D18" s="45" t="n">
        <v>15</v>
      </c>
      <c r="E18" s="45" t="n">
        <v>65.76192809402214</v>
      </c>
      <c r="F18" s="38" t="inlineStr">
        <is>
          <t>gasförmig</t>
        </is>
      </c>
      <c r="G18" s="100">
        <f>$C$10/E18*3600</f>
        <v/>
      </c>
      <c r="H18" s="66">
        <f>$D$10/E18*3600</f>
        <v/>
      </c>
      <c r="I18" s="40">
        <f>H18/$H$22</f>
        <v/>
      </c>
    </row>
    <row r="19">
      <c r="B19" s="31" t="inlineStr">
        <is>
          <t>Verdichter 1 aus</t>
        </is>
      </c>
      <c r="C19" s="45" t="n">
        <v>55</v>
      </c>
      <c r="D19" s="45" t="n">
        <v>65.89908918557421</v>
      </c>
      <c r="E19" s="45" t="n">
        <v>102.7564406666362</v>
      </c>
      <c r="F19" s="38" t="inlineStr">
        <is>
          <t>gasförmig</t>
        </is>
      </c>
      <c r="G19" s="100">
        <f>$C$10/E19*3600</f>
        <v/>
      </c>
      <c r="H19" s="66">
        <f>$D$10/E19*3600</f>
        <v/>
      </c>
      <c r="I19" s="40">
        <f>H19/$H$22</f>
        <v/>
      </c>
    </row>
    <row r="20">
      <c r="B20" s="31" t="inlineStr">
        <is>
          <t>Zwischenkühler aus = Verdichter 2 ein</t>
        </is>
      </c>
      <c r="C20" s="45" t="n">
        <v>55</v>
      </c>
      <c r="D20" s="45" t="n">
        <v>40</v>
      </c>
      <c r="E20" s="45" t="n">
        <v>122.7679103075167</v>
      </c>
      <c r="F20" s="38" t="inlineStr">
        <is>
          <t>gasförmig</t>
        </is>
      </c>
      <c r="G20" s="100">
        <f>$C$10/E20*3600</f>
        <v/>
      </c>
      <c r="H20" s="66">
        <f>$D$10/E20*3600</f>
        <v/>
      </c>
      <c r="I20" s="40">
        <f>H20/$H$22</f>
        <v/>
      </c>
    </row>
    <row r="21">
      <c r="B21" s="31" t="inlineStr">
        <is>
          <t>Verdichter 2 aus</t>
        </is>
      </c>
      <c r="C21" s="45" t="n">
        <v>91</v>
      </c>
      <c r="D21" s="45" t="n">
        <v>84.71342690350491</v>
      </c>
      <c r="E21" s="45" t="n">
        <v>175.0561427495532</v>
      </c>
      <c r="F21" s="38" t="inlineStr">
        <is>
          <t>gasförmig</t>
        </is>
      </c>
      <c r="G21" s="100">
        <f>$C$10/E21*3600</f>
        <v/>
      </c>
      <c r="H21" s="66">
        <f>$D$10/E21*3600</f>
        <v/>
      </c>
      <c r="I21" s="40">
        <f>H21/$H$22</f>
        <v/>
      </c>
    </row>
    <row r="22">
      <c r="B22" s="31" t="inlineStr">
        <is>
          <t>Kühler aus = Pumpe ein</t>
        </is>
      </c>
      <c r="C22" s="45" t="n">
        <v>91</v>
      </c>
      <c r="D22" s="45" t="n">
        <v>26</v>
      </c>
      <c r="E22" s="45" t="n">
        <v>660.4210536918031</v>
      </c>
      <c r="F22" s="38" t="inlineStr">
        <is>
          <t>dicht (flüssig)</t>
        </is>
      </c>
      <c r="G22" s="100">
        <f>$C$10/E22*3600</f>
        <v/>
      </c>
      <c r="H22" s="66">
        <f>$D$10/E22*3600</f>
        <v/>
      </c>
      <c r="I22" s="40">
        <f>H22/$H$22</f>
        <v/>
      </c>
    </row>
    <row r="23">
      <c r="B23" s="31" t="inlineStr">
        <is>
          <t>Pumpe aus = Bohrlochkopf</t>
        </is>
      </c>
      <c r="C23" s="45" t="n">
        <v>127.2718032176663</v>
      </c>
      <c r="D23" s="45" t="n">
        <v>34.40649477199338</v>
      </c>
      <c r="E23" s="45" t="n">
        <v>691.9746297829873</v>
      </c>
      <c r="F23" s="38" t="inlineStr">
        <is>
          <t>dicht (flüssig)</t>
        </is>
      </c>
      <c r="G23" s="100">
        <f>$C$10/E23*3600</f>
        <v/>
      </c>
      <c r="H23" s="66">
        <f>$D$10/E23*3600</f>
        <v/>
      </c>
      <c r="I23" s="40">
        <f>H23/$H$22</f>
        <v/>
      </c>
    </row>
    <row r="24">
      <c r="B24" s="31" t="inlineStr">
        <is>
          <t>LCCS (Kaverne voll)</t>
        </is>
      </c>
      <c r="C24" s="45" t="n">
        <v>210</v>
      </c>
      <c r="D24" s="45" t="n">
        <v>48.11519660575867</v>
      </c>
      <c r="E24" s="45" t="n">
        <v>744.0480058919592</v>
      </c>
      <c r="F24" s="38" t="inlineStr">
        <is>
          <t>dicht (flüssig)</t>
        </is>
      </c>
      <c r="G24" s="100">
        <f>$C$10/E24*3600</f>
        <v/>
      </c>
      <c r="H24" s="66">
        <f>$D$10/E24*3600</f>
        <v/>
      </c>
      <c r="I24" s="40">
        <f>H24/$H$22</f>
        <v/>
      </c>
    </row>
    <row r="25">
      <c r="B25" s="85" t="inlineStr">
        <is>
          <t>S1 – dichte Anlieferung</t>
        </is>
      </c>
      <c r="C25" s="97" t="n"/>
      <c r="D25" s="97" t="n"/>
      <c r="E25" s="97" t="n"/>
      <c r="F25" s="97" t="n"/>
      <c r="G25" s="97" t="n"/>
      <c r="H25" s="97" t="n"/>
      <c r="I25" s="99" t="n"/>
    </row>
    <row r="26">
      <c r="B26" s="31" t="inlineStr">
        <is>
          <t>Netzübergabe S1</t>
        </is>
      </c>
      <c r="C26" s="45" t="n">
        <v>91</v>
      </c>
      <c r="D26" s="45" t="n">
        <v>15</v>
      </c>
      <c r="E26" s="45" t="n">
        <v>796.7846169202014</v>
      </c>
      <c r="F26" s="38" t="inlineStr">
        <is>
          <t>dicht (flüssig)</t>
        </is>
      </c>
      <c r="G26" s="100">
        <f>$C$10/E26*3600</f>
        <v/>
      </c>
      <c r="H26" s="66">
        <f>$D$10/E26*3600</f>
        <v/>
      </c>
      <c r="I26" s="40">
        <f>H26/$H$22</f>
        <v/>
      </c>
    </row>
    <row r="27">
      <c r="B27" s="31" t="inlineStr">
        <is>
          <t>Pumpe aus = Bohrlochkopf</t>
        </is>
      </c>
      <c r="C27" s="45" t="n">
        <v>114.273800177097</v>
      </c>
      <c r="D27" s="45" t="n">
        <v>18.30573505665217</v>
      </c>
      <c r="E27" s="45" t="n">
        <v>807.3370831889272</v>
      </c>
      <c r="F27" s="38" t="inlineStr">
        <is>
          <t>dicht (flüssig)</t>
        </is>
      </c>
      <c r="G27" s="100">
        <f>$C$10/E27*3600</f>
        <v/>
      </c>
      <c r="H27" s="66">
        <f>$D$10/E27*3600</f>
        <v/>
      </c>
      <c r="I27" s="40">
        <f>H27/$H$22</f>
        <v/>
      </c>
    </row>
    <row r="28">
      <c r="B28" s="31" t="inlineStr">
        <is>
          <t>LCCS (Kaverne voll)</t>
        </is>
      </c>
      <c r="C28" s="45" t="n">
        <v>210</v>
      </c>
      <c r="D28" s="45" t="n">
        <v>28.78955369701979</v>
      </c>
      <c r="E28" s="45" t="n">
        <v>846.4170506558789</v>
      </c>
      <c r="F28" s="38" t="inlineStr">
        <is>
          <t>dicht (flüssig)</t>
        </is>
      </c>
      <c r="G28" s="100">
        <f>$C$10/E28*3600</f>
        <v/>
      </c>
      <c r="H28" s="66">
        <f>$D$10/E28*3600</f>
        <v/>
      </c>
      <c r="I28" s="40">
        <f>H28/$H$22</f>
        <v/>
      </c>
    </row>
    <row r="29"/>
    <row r="30"/>
    <row r="31">
      <c r="B31" s="61" t="inlineStr">
        <is>
          <t>3) Zum Vergleich: reines CO₂ (eigener Massenstrom, da andere Normdichte)</t>
        </is>
      </c>
    </row>
    <row r="32" ht="42" customHeight="1" s="72">
      <c r="B32" s="30" t="inlineStr">
        <is>
          <t>Zustandspunkt</t>
        </is>
      </c>
      <c r="C32" s="30" t="inlineStr">
        <is>
          <t>p [bar]</t>
        </is>
      </c>
      <c r="D32" s="30" t="inlineStr">
        <is>
          <t>T [°C]</t>
        </is>
      </c>
      <c r="E32" s="30" t="inlineStr">
        <is>
          <t>ρ [kg/m³]</t>
        </is>
      </c>
      <c r="F32" s="30" t="inlineStr">
        <is>
          <t>Phase</t>
        </is>
      </c>
      <c r="G32" s="30" t="inlineStr">
        <is>
          <t>V̇ bei 50.000 Nm³/h [m³/h]</t>
        </is>
      </c>
      <c r="H32" s="30" t="inlineStr">
        <is>
          <t>V̇ bei 100.000 Nm³/h [m³/h]</t>
        </is>
      </c>
      <c r="I32" s="30" t="inlineStr">
        <is>
          <t>Vielfaches des Pumpeneintritts</t>
        </is>
      </c>
      <c r="K32" s="30" t="inlineStr">
        <is>
          <t>ṁ unten [kg/s]</t>
        </is>
      </c>
      <c r="L32" s="30" t="inlineStr">
        <is>
          <t>ṁ oben [kg/s]</t>
        </is>
      </c>
    </row>
    <row r="33">
      <c r="B33" s="85" t="inlineStr">
        <is>
          <t>S2 – gasförmige Anlieferung</t>
        </is>
      </c>
      <c r="C33" s="97" t="n"/>
      <c r="D33" s="97" t="n"/>
      <c r="E33" s="97" t="n"/>
      <c r="F33" s="97" t="n"/>
      <c r="G33" s="97" t="n"/>
      <c r="H33" s="97" t="n"/>
      <c r="I33" s="99" t="n"/>
      <c r="K33" s="44" t="n">
        <v>27.45573252043847</v>
      </c>
      <c r="L33" s="44" t="n">
        <v>54.91146504087695</v>
      </c>
    </row>
    <row r="34">
      <c r="B34" s="31" t="inlineStr">
        <is>
          <t>Netzübergabe S2 = Verdichter 1 ein</t>
        </is>
      </c>
      <c r="C34" s="45" t="n">
        <v>30</v>
      </c>
      <c r="D34" s="45" t="n">
        <v>15</v>
      </c>
      <c r="E34" s="45" t="n">
        <v>68.4443507734823</v>
      </c>
      <c r="F34" s="38" t="inlineStr">
        <is>
          <t>gasförmig</t>
        </is>
      </c>
      <c r="G34" s="100">
        <f>$K$33/E34*3600</f>
        <v/>
      </c>
      <c r="H34" s="66">
        <f>$L$33/E34*3600</f>
        <v/>
      </c>
      <c r="I34" s="40">
        <f>H34/$H$38</f>
        <v/>
      </c>
    </row>
    <row r="35">
      <c r="B35" s="31" t="inlineStr">
        <is>
          <t>Verdichter 1 aus</t>
        </is>
      </c>
      <c r="C35" s="45" t="n">
        <v>55</v>
      </c>
      <c r="D35" s="45" t="n">
        <v>65.42761478141722</v>
      </c>
      <c r="E35" s="45" t="n">
        <v>107.4088821663625</v>
      </c>
      <c r="F35" s="38" t="inlineStr">
        <is>
          <t>überkritisch (gasähnlich)</t>
        </is>
      </c>
      <c r="G35" s="100">
        <f>$K$33/E35*3600</f>
        <v/>
      </c>
      <c r="H35" s="66">
        <f>$L$33/E35*3600</f>
        <v/>
      </c>
      <c r="I35" s="40">
        <f>H35/$H$38</f>
        <v/>
      </c>
    </row>
    <row r="36">
      <c r="B36" s="31" t="inlineStr">
        <is>
          <t>Zwischenkühler aus = Verdichter 2 ein</t>
        </is>
      </c>
      <c r="C36" s="45" t="n">
        <v>55</v>
      </c>
      <c r="D36" s="45" t="n">
        <v>40</v>
      </c>
      <c r="E36" s="45" t="n">
        <v>130.0563353503907</v>
      </c>
      <c r="F36" s="38" t="inlineStr">
        <is>
          <t>überkritisch (gasähnlich)</t>
        </is>
      </c>
      <c r="G36" s="100">
        <f>$K$33/E36*3600</f>
        <v/>
      </c>
      <c r="H36" s="66">
        <f>$L$33/E36*3600</f>
        <v/>
      </c>
      <c r="I36" s="40">
        <f>H36/$H$38</f>
        <v/>
      </c>
    </row>
    <row r="37">
      <c r="B37" s="31" t="inlineStr">
        <is>
          <t>Verdichter 2 aus</t>
        </is>
      </c>
      <c r="C37" s="45" t="n">
        <v>91</v>
      </c>
      <c r="D37" s="45" t="n">
        <v>84.14270921757679</v>
      </c>
      <c r="E37" s="45" t="n">
        <v>186.0122997975169</v>
      </c>
      <c r="F37" s="38" t="inlineStr">
        <is>
          <t>überkritisch</t>
        </is>
      </c>
      <c r="G37" s="100">
        <f>$K$33/E37*3600</f>
        <v/>
      </c>
      <c r="H37" s="66">
        <f>$L$33/E37*3600</f>
        <v/>
      </c>
      <c r="I37" s="40">
        <f>H37/$H$38</f>
        <v/>
      </c>
    </row>
    <row r="38">
      <c r="B38" s="31" t="inlineStr">
        <is>
          <t>Kühler aus = Pumpe ein</t>
        </is>
      </c>
      <c r="C38" s="45" t="n">
        <v>91</v>
      </c>
      <c r="D38" s="45" t="n">
        <v>26</v>
      </c>
      <c r="E38" s="45" t="n">
        <v>791.9167250663442</v>
      </c>
      <c r="F38" s="38" t="inlineStr">
        <is>
          <t>dicht (überkritisch)</t>
        </is>
      </c>
      <c r="G38" s="100">
        <f>$K$33/E38*3600</f>
        <v/>
      </c>
      <c r="H38" s="66">
        <f>$L$33/E38*3600</f>
        <v/>
      </c>
      <c r="I38" s="40">
        <f>H38/$H$38</f>
        <v/>
      </c>
    </row>
    <row r="39">
      <c r="B39" s="31" t="inlineStr">
        <is>
          <t>Pumpe aus = Bohrlochkopf</t>
        </is>
      </c>
      <c r="C39" s="45" t="n">
        <v>114.6341589872628</v>
      </c>
      <c r="D39" s="45" t="n">
        <v>29.58976389993643</v>
      </c>
      <c r="E39" s="45" t="n">
        <v>803.6415320696234</v>
      </c>
      <c r="F39" s="38" t="inlineStr">
        <is>
          <t>dicht (überkritisch)</t>
        </is>
      </c>
      <c r="G39" s="100">
        <f>$K$33/E39*3600</f>
        <v/>
      </c>
      <c r="H39" s="66">
        <f>$L$33/E39*3600</f>
        <v/>
      </c>
      <c r="I39" s="40">
        <f>H39/$H$38</f>
        <v/>
      </c>
    </row>
    <row r="40">
      <c r="B40" s="31" t="inlineStr">
        <is>
          <t>LCCS (Kaverne voll)</t>
        </is>
      </c>
      <c r="C40" s="45" t="n">
        <v>210</v>
      </c>
      <c r="D40" s="45" t="n">
        <v>40.71835330057093</v>
      </c>
      <c r="E40" s="45" t="n">
        <v>845.1567061980433</v>
      </c>
      <c r="F40" s="38" t="inlineStr">
        <is>
          <t>überkritisch</t>
        </is>
      </c>
      <c r="G40" s="100">
        <f>$K$33/E40*3600</f>
        <v/>
      </c>
      <c r="H40" s="66">
        <f>$L$33/E40*3600</f>
        <v/>
      </c>
      <c r="I40" s="40">
        <f>H40/$H$38</f>
        <v/>
      </c>
    </row>
    <row r="41">
      <c r="B41" s="85" t="inlineStr">
        <is>
          <t>S1 – dichte Anlieferung</t>
        </is>
      </c>
      <c r="C41" s="97" t="n"/>
      <c r="D41" s="97" t="n"/>
      <c r="E41" s="97" t="n"/>
      <c r="F41" s="97" t="n"/>
      <c r="G41" s="97" t="n"/>
      <c r="H41" s="97" t="n"/>
      <c r="I41" s="99" t="n"/>
    </row>
    <row r="42">
      <c r="B42" s="31" t="inlineStr">
        <is>
          <t>Netzübergabe S1</t>
        </is>
      </c>
      <c r="C42" s="45" t="n">
        <v>91</v>
      </c>
      <c r="D42" s="45" t="n">
        <v>15</v>
      </c>
      <c r="E42" s="45" t="n">
        <v>880.9600505759001</v>
      </c>
      <c r="F42" s="38" t="inlineStr">
        <is>
          <t>dicht (überkritisch)</t>
        </is>
      </c>
      <c r="G42" s="100">
        <f>$K$33/E42*3600</f>
        <v/>
      </c>
      <c r="H42" s="66">
        <f>$L$33/E42*3600</f>
        <v/>
      </c>
      <c r="I42" s="40">
        <f>H42/$H$38</f>
        <v/>
      </c>
    </row>
    <row r="43">
      <c r="B43" s="31" t="inlineStr">
        <is>
          <t>Pumpe aus = Bohrlochkopf</t>
        </is>
      </c>
      <c r="C43" s="45" t="n">
        <v>105.4411023087268</v>
      </c>
      <c r="D43" s="45" t="n">
        <v>16.57186183757796</v>
      </c>
      <c r="E43" s="45" t="n">
        <v>885.389707780545</v>
      </c>
      <c r="F43" s="38" t="inlineStr">
        <is>
          <t>dicht (überkritisch)</t>
        </is>
      </c>
      <c r="G43" s="100">
        <f>$K$33/E43*3600</f>
        <v/>
      </c>
      <c r="H43" s="66">
        <f>$L$33/E43*3600</f>
        <v/>
      </c>
      <c r="I43" s="40">
        <f>H43/$H$38</f>
        <v/>
      </c>
    </row>
    <row r="44">
      <c r="B44" s="31" t="inlineStr">
        <is>
          <t>LCCS (Kaverne voll)</t>
        </is>
      </c>
      <c r="C44" s="45" t="n">
        <v>210</v>
      </c>
      <c r="D44" s="45" t="n">
        <v>25.57424145386437</v>
      </c>
      <c r="E44" s="45" t="n">
        <v>917.9392998774811</v>
      </c>
      <c r="F44" s="38" t="inlineStr">
        <is>
          <t>dicht (überkritisch)</t>
        </is>
      </c>
      <c r="G44" s="100">
        <f>$K$33/E44*3600</f>
        <v/>
      </c>
      <c r="H44" s="66">
        <f>$L$33/E44*3600</f>
        <v/>
      </c>
      <c r="I44" s="40">
        <f>H44/$H$38</f>
        <v/>
      </c>
    </row>
    <row r="45">
      <c r="B45" s="25" t="inlineStr">
        <is>
          <t>Graue Zustandswerte aus 06_massenstrom_volumenstroeme.py (Betrieb bei 100.000 Nm³/h: Kopfdruck und LCCS-Temperatur aus der strömenden Säule). V̇ und Vielfaches rechnen live mit dem Massenstrom.</t>
        </is>
      </c>
    </row>
    <row r="46"/>
    <row r="47"/>
    <row r="48">
      <c r="B48" s="25" t="inlineStr">
        <is>
          <t>Hilfswerte Diagramm (V̇ bei 100.000 Nm³/h)</t>
        </is>
      </c>
      <c r="C48" t="inlineStr">
        <is>
          <t>Worst-Case-Gemisch</t>
        </is>
      </c>
      <c r="D48" t="inlineStr">
        <is>
          <t>reines CO₂</t>
        </is>
      </c>
    </row>
    <row r="49">
      <c r="B49" t="inlineStr">
        <is>
          <t>S2: Netzübergabe S2 = Verdichter 1 ein</t>
        </is>
      </c>
      <c r="C49">
        <f>H18</f>
        <v/>
      </c>
      <c r="D49">
        <f>H34</f>
        <v/>
      </c>
    </row>
    <row r="50">
      <c r="B50" t="inlineStr">
        <is>
          <t>S2: Verdichter 1 aus</t>
        </is>
      </c>
      <c r="C50">
        <f>H19</f>
        <v/>
      </c>
      <c r="D50">
        <f>H35</f>
        <v/>
      </c>
    </row>
    <row r="51">
      <c r="B51" t="inlineStr">
        <is>
          <t>S2: Zwischenkühler aus = Verdichter 2 ein</t>
        </is>
      </c>
      <c r="C51">
        <f>H20</f>
        <v/>
      </c>
      <c r="D51">
        <f>H36</f>
        <v/>
      </c>
    </row>
    <row r="52">
      <c r="B52" t="inlineStr">
        <is>
          <t>S2: Verdichter 2 aus</t>
        </is>
      </c>
      <c r="C52">
        <f>H21</f>
        <v/>
      </c>
      <c r="D52">
        <f>H37</f>
        <v/>
      </c>
    </row>
    <row r="53">
      <c r="B53" t="inlineStr">
        <is>
          <t>S2: Kühler aus = Pumpe ein</t>
        </is>
      </c>
      <c r="C53">
        <f>H22</f>
        <v/>
      </c>
      <c r="D53">
        <f>H38</f>
        <v/>
      </c>
    </row>
    <row r="54">
      <c r="B54" t="inlineStr">
        <is>
          <t>S2: Pumpe aus = Bohrlochkopf</t>
        </is>
      </c>
      <c r="C54">
        <f>H23</f>
        <v/>
      </c>
      <c r="D54">
        <f>H39</f>
        <v/>
      </c>
    </row>
    <row r="55">
      <c r="B55" t="inlineStr">
        <is>
          <t>S2: LCCS (Kaverne voll)</t>
        </is>
      </c>
      <c r="C55">
        <f>H24</f>
        <v/>
      </c>
      <c r="D55">
        <f>H40</f>
        <v/>
      </c>
    </row>
    <row r="56">
      <c r="B56" t="inlineStr">
        <is>
          <t>S1: Netzübergabe S1</t>
        </is>
      </c>
      <c r="C56">
        <f>H26</f>
        <v/>
      </c>
      <c r="D56">
        <f>H42</f>
        <v/>
      </c>
    </row>
    <row r="57">
      <c r="B57" t="inlineStr">
        <is>
          <t>S1: Pumpe aus = Bohrlochkopf</t>
        </is>
      </c>
      <c r="C57">
        <f>H27</f>
        <v/>
      </c>
      <c r="D57">
        <f>H43</f>
        <v/>
      </c>
    </row>
    <row r="58">
      <c r="B58" t="inlineStr">
        <is>
          <t>S1: LCCS (Kaverne voll)</t>
        </is>
      </c>
      <c r="C58">
        <f>H28</f>
        <v/>
      </c>
      <c r="D58">
        <f>H44</f>
        <v/>
      </c>
    </row>
  </sheetData>
  <mergeCells count="5">
    <mergeCell ref="B4:L4"/>
    <mergeCell ref="B33:I33"/>
    <mergeCell ref="B25:I25"/>
    <mergeCell ref="B41:I41"/>
    <mergeCell ref="B17:I17"/>
  </mergeCells>
  <conditionalFormatting sqref="C17:E28">
    <cfRule type="expression" priority="1" dxfId="23">
      <formula>NOT(Stand_ok)</formula>
    </cfRule>
  </conditionalFormatting>
  <conditionalFormatting sqref="C33:E44">
    <cfRule type="expression" priority="2" dxfId="23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EE7203"/>
    <outlinePr summaryBelow="1" summaryRight="1"/>
    <pageSetUpPr fitToPage="1"/>
  </sheetPr>
  <dimension ref="A1:Q72"/>
  <sheetViews>
    <sheetView showGridLines="0" tabSelected="0" topLeftCell="A23" workbookViewId="0">
      <selection activeCell="V19" sqref="V19"/>
    </sheetView>
  </sheetViews>
  <sheetFormatPr baseColWidth="10" defaultColWidth="9.140625" defaultRowHeight="15"/>
  <cols>
    <col width="2.7109375" customWidth="1" style="72" min="1" max="1"/>
    <col width="9.7109375" customWidth="1" style="72" min="2" max="31"/>
  </cols>
  <sheetData>
    <row r="1" ht="30" customHeight="1" s="72">
      <c r="B1" s="1" t="inlineStr">
        <is>
          <t>Phasendiagramm – Prozesspfade der Einspeicherung und Betriebsfenster von Bohrloch und Kaverne (Worst-Case-Gemisch)</t>
        </is>
      </c>
    </row>
    <row r="2">
      <c r="B2" s="2" t="inlineStr">
        <is>
          <t>Worst-Case-Gemisch (95 % CO₂ + 5 % Begleitstoffe) · Stoffdaten CoolProp (GERG-2008-Mischungsregel) · Fest-Gebiet, Sublimations- und Schmelzlinie: Näherung reines CO₂ (Span &amp; Wagner 1996)</t>
        </is>
      </c>
    </row>
    <row r="3">
      <c r="B3" s="71" t="inlineStr">
        <is>
          <t>← zur Übersicht</t>
        </is>
      </c>
    </row>
    <row r="4">
      <c r="B4" s="69" t="inlineStr">
        <is>
          <t>Diagramm 1 – Einspeicherung: von der Netzübergabe bis zum Bohrlochkopf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 ht="92.59999999999999" customHeight="1" s="72">
      <c r="B36" s="83" t="inlineStr">
        <is>
          <r>
            <rPr>
              <rFont val="Calibri"/>
              <b val="1"/>
              <sz val="10"/>
            </rPr>
            <t>DIAGRAMM 1:</t>
          </r>
          <r>
            <rPr>
              <rFont val="Calibri"/>
              <sz val="10"/>
            </rPr>
            <t xml:space="preserve">  Farbflächen = Phasengebiete des Gemischs, rot = Zweiphasengebiet (reines CO₂ hat nur eine Linie, grau zum Vergleich). Rot gestrichelt = ±3 bar Unsicherheit der Phasengrenze. Grün = S1 (Pumpe). Blau = S2 (2 Verdichterstufen bis 91 bar mit Zwischenkühler 40 °C, Kühler bei 91 bar auf 26 °C, Pumpe) – der Kühler liegt über der Cricondenbar und kreuzt kein Zweiphasengebiet. Violett gestrichelt = Vergleich Durchverdichten (2 Stufen bis 127,3 bar). Orange gepunktet = Dichte 500 kg/m³: rechts davon ist das Gemisch zu dünn für eine Pumpe.
</t>
          </r>
          <r>
            <rPr>
              <rFont val="Calibri"/>
              <b val="1"/>
              <sz val="10"/>
            </rPr>
            <t>ENDPUNKT:</t>
          </r>
          <r>
            <rPr>
              <rFont val="Calibri"/>
              <sz val="10"/>
            </rPr>
            <t xml:space="preserve">  Die Pfade enden am Bohrlochkopf im Betrieb (100.000 Nm³/h): S1 bei 114,3 bar, S2 und Durchverdichten bei 127,3 bar – das wärmere CO₂ aus der S2-Pumpe (34,4 °C) macht die Säule leichter. Im Stillstand wären es 114,9 bar. Diagramm 2 zeigt Bohrloch und Kaverne – nur im Stillstand.</t>
          </r>
        </is>
      </c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3" t="n"/>
    </row>
    <row r="37"/>
    <row r="38"/>
    <row r="39">
      <c r="B39" s="69" t="inlineStr">
        <is>
          <t>Diagramm 2 – Bohrloch und Kaverne im Stillstand: Betriebsfenster (nur Stillstand, 3 Füllstände nach Q-028)</t>
        </is>
      </c>
    </row>
    <row r="40" ht="36" customHeight="1" s="72">
      <c r="B40" s="82" t="inlineStr">
        <is>
          <t>NUR STILLSTAND:  Die Gassäulen gelten für ruhendes CO₂ mit Gebirgstemperatur und für die drei Füllstände nach Q-028 (Buzogany &amp; Kruck 2022, Fig. 3: voll, Grenzfall, leer). Was Injektion und Ausspeicherung für das Fenster bedeuten (Reibungsdruckverlust im Strang, Wärmeaustausch mit dem Gebirge, Erwärmung bzw. Abkühlung in der Kaverne, Drosselung beim Ausspeichern), ist hier NICHT dargestellt.</t>
        </is>
      </c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6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 ht="158.45" customHeight="1" s="72">
      <c r="B72" s="83" t="inlineStr">
        <is>
          <r>
            <rPr>
              <rFont val="Calibri"/>
              <b val="1"/>
              <sz val="10"/>
            </rPr>
            <t>DIAGRAMM 2:</t>
          </r>
          <r>
            <rPr>
              <rFont val="Calibri"/>
              <sz val="10"/>
            </rPr>
            <t xml:space="preserve">  Jede gestrichelte Linie ist eine Gassäule – ein Füllstand der Kaverne im Stillstand. Sie läuft vom Bohrlochkopf (grauer Balken, 0 m, 10 °C) bis zur Kaverne (dunkelblauer Balken, 1200 m, 46 °C). Jeder Punkt auf der Linie ist eine Teufe: oben kalt und niedriger Druck, unten warm und hoher Druck.
</t>
          </r>
          <r>
            <rPr>
              <rFont val="Calibri"/>
              <b val="1"/>
              <sz val="10"/>
            </rPr>
            <t>BETRIEBSFENSTER IM STILLSTAND:</t>
          </r>
          <r>
            <rPr>
              <rFont val="Calibri"/>
              <sz val="10"/>
            </rPr>
            <t xml:space="preserve">  Der Bereich zwischen der Linie „voll“ (oben) und der Linie „leer“ (unten), links begrenzt durch den Kopf-Balken und rechts durch den Kavernen-Balken.
</t>
          </r>
          <r>
            <rPr>
              <rFont val="Calibri"/>
              <b val="1"/>
              <sz val="10"/>
            </rPr>
            <t>WICHTIG BEI LEERER KAVERNE:</t>
          </r>
          <r>
            <rPr>
              <rFont val="Calibri"/>
              <sz val="10"/>
            </rPr>
            <t xml:space="preserve">  70 bar unten ergeben oben 50,7 bar (reines CO₂: 45,0 bar). Das obere Bohrloch (0–82 m) liegt dann im Zweiphasengebiet des Gemischs. Erst ab ca. 171,2 bar Kavernendruck (Grenzfall: Kopf = Cricondenbar 82,2 bar) bleibt das ganze Bohrloch einphasig.
</t>
          </r>
          <r>
            <rPr>
              <rFont val="Calibri"/>
              <b val="1"/>
              <sz val="10"/>
            </rPr>
            <t>KAVERNE SELBST:</t>
          </r>
          <r>
            <rPr>
              <rFont val="Calibri"/>
              <sz val="10"/>
            </rPr>
            <t xml:space="preserve">  Bei 46 °C liegt sie immer über der Cricondentherm des Gemischs (28,1 °C) – dort gibt es keine Flüssigphase. Über 81,5 bar ist das Gemisch überkritisch, bei 70 bar gasförmig.
</t>
          </r>
          <r>
            <rPr>
              <rFont val="Calibri"/>
              <b val="1"/>
              <sz val="10"/>
            </rPr>
            <t>STILLSTAND VS. BETRIEB:</t>
          </r>
          <r>
            <rPr>
              <rFont val="Calibri"/>
              <sz val="10"/>
            </rPr>
            <t xml:space="preserve">  Die Gassäulen sind mit Gebirgstemperatur gerechnet (Kopf 10 °C) und gelten nur, solange nichts fließt. Beim Einspeichern kommt das Gemisch wärmer aus der Pumpe (S1 18,3 °C, S2 34,4 °C) – Zieldrücke im Betrieb: Blatt „Kaverne &amp; Gassäule“ unten; Kopfdruckfenster über den ganzen Zyklus: Kaverne-Mappe.</t>
          </r>
        </is>
      </c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3" t="n"/>
    </row>
  </sheetData>
  <mergeCells count="3">
    <mergeCell ref="B40:Q40"/>
    <mergeCell ref="B72:Q72"/>
    <mergeCell ref="B36:Q36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10.xml><?xml version="1.0" encoding="utf-8"?>
<worksheet xmlns="http://schemas.openxmlformats.org/spreadsheetml/2006/main">
  <sheetPr>
    <tabColor rgb="FF7F6000"/>
    <outlinePr summaryBelow="1" summaryRight="1"/>
    <pageSetUpPr fitToPage="1"/>
  </sheetPr>
  <dimension ref="A1:K46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7" customWidth="1" style="72" min="1" max="1"/>
    <col width="5" customWidth="1" style="72" min="2" max="2"/>
    <col width="34" customWidth="1" style="72" min="3" max="3"/>
    <col width="10" customWidth="1" style="72" min="4" max="4"/>
    <col width="12" customWidth="1" style="72" min="5" max="5"/>
    <col width="8" customWidth="1" style="72" min="6" max="6"/>
    <col width="20" customWidth="1" style="72" min="7" max="7"/>
    <col width="24" customWidth="1" style="72" min="8" max="8"/>
    <col width="78" customWidth="1" style="72" min="9" max="9"/>
    <col width="24" customWidth="1" style="72" min="10" max="10"/>
    <col width="17" customWidth="1" style="72" min="11" max="11"/>
  </cols>
  <sheetData>
    <row r="1" ht="30" customHeight="1" s="72">
      <c r="B1" s="1" t="inlineStr">
        <is>
          <t>Annahmen &amp; Begründung – woher jede Zahl kommt</t>
        </is>
      </c>
    </row>
    <row r="2">
      <c r="B2" s="2" t="inlineStr">
        <is>
          <t>Stand 15.10.2026 (nach der Besprechung mit K. Vosbeck) · Worst-Case-Gemisch · gleiche Annahmen wie im Python-Code (Einspeicherung/Begleitstoffe_CO2/Grundlagen/einspeicherung_bausteine.py, Kaverne/Grundlagen/kaverne_bausteine.py)</t>
        </is>
      </c>
    </row>
    <row r="3">
      <c r="B3" s="29" t="inlineStr">
        <is>
          <t>← zur Übersicht</t>
        </is>
      </c>
    </row>
    <row r="4" ht="78" customHeight="1" s="72">
      <c r="B4" s="83" t="inlineStr">
        <is>
          <r>
            <rPr>
              <rFont val="Calibri"/>
              <b val="1"/>
              <sz val="10"/>
            </rPr>
            <t>SO IST DIE TABELLE AUFGEBAUT:</t>
          </r>
          <r>
            <rPr>
              <rFont val="Calibri"/>
              <sz val="10"/>
            </rPr>
            <t xml:space="preserve">  Jede Annahme mit Wert, Quelle (ID wie in der Quellen- und Wissensmatrix, Blatt „Quellen“) und Fundstelle (Seite S., Folie, Tabelle oder Kapitel) – damit jede Zahl nachgelesen werden kann. „Begründung“ sagt, was in der Quelle steht und warum der Wert so gewählt ist. „Code“ nennt die Konstante im Python-Code mit demselben Wert.
</t>
          </r>
          <r>
            <rPr>
              <rFont val="Calibri"/>
              <b val="1"/>
              <sz val="10"/>
            </rPr>
            <t>WERTE:</t>
          </r>
          <r>
            <rPr>
              <rFont val="Calibri"/>
              <sz val="10"/>
            </rPr>
            <t xml:space="preserve">  weiß = verknüpft mit der Übersicht (ändert sich mit), grau = fester Wert im Code. Geändert wird nur auf der Übersicht.
</t>
          </r>
          <r>
            <rPr>
              <rFont val="Calibri"/>
              <b val="1"/>
              <sz val="10"/>
            </rPr>
            <t>STATUS:</t>
          </r>
          <r>
            <rPr>
              <rFont val="Calibri"/>
              <sz val="10"/>
            </rPr>
            <t xml:space="preserve">  ✔ belegt = steht so in der Quelle · ◐ abgeleitet = aus Quellen hergeleitet · ○ eigene Annahme · ? = noch zu klären (Quelle offen bzw. mit Hersteller bestätigen, Messe Hamburg 20.–22.10.2026).</t>
          </r>
        </is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3" t="n"/>
    </row>
    <row r="5"/>
    <row r="6" ht="30" customHeight="1" s="72">
      <c r="B6" s="30" t="inlineStr">
        <is>
          <t>Nr.</t>
        </is>
      </c>
      <c r="C6" s="30" t="inlineStr">
        <is>
          <t>Größe</t>
        </is>
      </c>
      <c r="D6" s="30" t="inlineStr">
        <is>
          <t>Symbol</t>
        </is>
      </c>
      <c r="E6" s="30" t="inlineStr">
        <is>
          <t>Wert</t>
        </is>
      </c>
      <c r="F6" s="30" t="inlineStr">
        <is>
          <t>Einheit</t>
        </is>
      </c>
      <c r="G6" s="30" t="inlineStr">
        <is>
          <t>Quelle</t>
        </is>
      </c>
      <c r="H6" s="30" t="inlineStr">
        <is>
          <t>Fundstelle</t>
        </is>
      </c>
      <c r="I6" s="30" t="inlineStr">
        <is>
          <t>Inhalt der Quelle / Begründung</t>
        </is>
      </c>
      <c r="J6" s="30" t="inlineStr">
        <is>
          <t>Code</t>
        </is>
      </c>
      <c r="K6" s="30" t="inlineStr">
        <is>
          <t>Status</t>
        </is>
      </c>
    </row>
    <row r="7" ht="18" customHeight="1" s="72">
      <c r="B7" s="85" t="inlineStr">
        <is>
          <t>A  Anlieferung (Netzübergabe)</t>
        </is>
      </c>
      <c r="C7" s="97" t="n"/>
      <c r="D7" s="97" t="n"/>
      <c r="E7" s="97" t="n"/>
      <c r="F7" s="97" t="n"/>
      <c r="G7" s="97" t="n"/>
      <c r="H7" s="97" t="n"/>
      <c r="I7" s="97" t="n"/>
      <c r="J7" s="97" t="n"/>
      <c r="K7" s="99" t="n"/>
    </row>
    <row r="8" ht="27.95" customHeight="1" s="72">
      <c r="B8" s="38" t="n">
        <v>1</v>
      </c>
      <c r="C8" s="31" t="inlineStr">
        <is>
          <t>Übergabedruck S1 (dicht)</t>
        </is>
      </c>
      <c r="D8" s="38" t="inlineStr">
        <is>
          <t>p_S1</t>
        </is>
      </c>
      <c r="E8" s="107">
        <f>p_S1</f>
        <v/>
      </c>
      <c r="F8" s="38" t="inlineStr">
        <is>
          <t>bar</t>
        </is>
      </c>
      <c r="G8" s="31" t="inlineStr">
        <is>
          <t>OGE</t>
        </is>
      </c>
      <c r="H8" s="31" t="inlineStr">
        <is>
          <t>Notizen 16.09.2026, Pkt. 6</t>
        </is>
      </c>
      <c r="I8" s="31" t="inlineStr">
        <is>
          <t>mind. 91 bar (vorher 85 bar), Worst Case mit Begleitstoffen. Beim Gemisch 8,8 bar über der Cricondenbar (82,2 bar) → dichte, einphasige Übergabe.</t>
        </is>
      </c>
      <c r="J8" s="31" t="inlineStr">
        <is>
          <t>eb.p_S1</t>
        </is>
      </c>
      <c r="K8" s="108" t="inlineStr">
        <is>
          <t>✔ belegt</t>
        </is>
      </c>
    </row>
    <row r="9" ht="27.95" customHeight="1" s="72">
      <c r="B9" s="38" t="n">
        <v>2</v>
      </c>
      <c r="C9" s="31" t="inlineStr">
        <is>
          <t>Übergabetemperatur S1</t>
        </is>
      </c>
      <c r="D9" s="38" t="inlineStr">
        <is>
          <t>T_S1</t>
        </is>
      </c>
      <c r="E9" s="109">
        <f>T_S1</f>
        <v/>
      </c>
      <c r="F9" s="38" t="inlineStr">
        <is>
          <t>°C</t>
        </is>
      </c>
      <c r="G9" s="31" t="inlineStr">
        <is>
          <t>eigene Annahme</t>
        </is>
      </c>
      <c r="H9" s="31" t="inlineStr">
        <is>
          <t>–</t>
        </is>
      </c>
      <c r="I9" s="31" t="inlineStr">
        <is>
          <t>Medientemperatur der erdverlegten Fernleitung (nicht Gebirgstemperatur) – mit OGE abzustimmen.</t>
        </is>
      </c>
      <c r="J9" s="31" t="inlineStr">
        <is>
          <t>eb.T_S1</t>
        </is>
      </c>
      <c r="K9" s="110" t="inlineStr">
        <is>
          <t>○ eigene Annahme</t>
        </is>
      </c>
    </row>
    <row r="10" ht="27.95" customHeight="1" s="72">
      <c r="B10" s="38" t="n">
        <v>3</v>
      </c>
      <c r="C10" s="31" t="inlineStr">
        <is>
          <t>Übergabedruck S2 (gasförmig)</t>
        </is>
      </c>
      <c r="D10" s="38" t="inlineStr">
        <is>
          <t>p_S2</t>
        </is>
      </c>
      <c r="E10" s="107">
        <f>p_S2</f>
        <v/>
      </c>
      <c r="F10" s="38" t="inlineStr">
        <is>
          <t>bar</t>
        </is>
      </c>
      <c r="G10" s="31" t="inlineStr">
        <is>
          <t>Vorarbeit</t>
        </is>
      </c>
      <c r="H10" s="31" t="inlineStr">
        <is>
          <t>–</t>
        </is>
      </c>
      <c r="I10" s="31" t="inlineStr">
        <is>
          <t>aus der eigenen Vorarbeit; alte Annahmentabelle nennt ISO 27913 (Q-040) – dort noch nicht ausgewertet.</t>
        </is>
      </c>
      <c r="J10" s="31" t="inlineStr">
        <is>
          <t>eb.p_S2</t>
        </is>
      </c>
      <c r="K10" s="111" t="inlineStr">
        <is>
          <t>? Quelle offen</t>
        </is>
      </c>
    </row>
    <row r="11" ht="27.95" customHeight="1" s="72">
      <c r="B11" s="38" t="n">
        <v>4</v>
      </c>
      <c r="C11" s="31" t="inlineStr">
        <is>
          <t>Übergabetemperatur S2</t>
        </is>
      </c>
      <c r="D11" s="38" t="inlineStr">
        <is>
          <t>T_S2</t>
        </is>
      </c>
      <c r="E11" s="109">
        <f>T_S2</f>
        <v/>
      </c>
      <c r="F11" s="38" t="inlineStr">
        <is>
          <t>°C</t>
        </is>
      </c>
      <c r="G11" s="31" t="inlineStr">
        <is>
          <t>eigene Annahme</t>
        </is>
      </c>
      <c r="H11" s="31" t="inlineStr">
        <is>
          <t>–</t>
        </is>
      </c>
      <c r="I11" s="31" t="inlineStr">
        <is>
          <t>Medientemperatur wie S1.</t>
        </is>
      </c>
      <c r="J11" s="31" t="inlineStr">
        <is>
          <t>eb.T_S2</t>
        </is>
      </c>
      <c r="K11" s="110" t="inlineStr">
        <is>
          <t>○ eigene Annahme</t>
        </is>
      </c>
    </row>
    <row r="12" ht="18" customHeight="1" s="72">
      <c r="B12" s="85" t="inlineStr">
        <is>
          <t>B  Verdichtung S2 (2 Stufen 30 → 55 → 91 bar)</t>
        </is>
      </c>
      <c r="C12" s="97" t="n"/>
      <c r="D12" s="97" t="n"/>
      <c r="E12" s="97" t="n"/>
      <c r="F12" s="97" t="n"/>
      <c r="G12" s="97" t="n"/>
      <c r="H12" s="97" t="n"/>
      <c r="I12" s="97" t="n"/>
      <c r="J12" s="97" t="n"/>
      <c r="K12" s="99" t="n"/>
    </row>
    <row r="13" ht="54" customHeight="1" s="72">
      <c r="B13" s="38" t="n">
        <v>5</v>
      </c>
      <c r="C13" s="31" t="inlineStr">
        <is>
          <t>Zwischendruck</t>
        </is>
      </c>
      <c r="D13" s="38" t="inlineStr">
        <is>
          <t>p_zw</t>
        </is>
      </c>
      <c r="E13" s="107">
        <f>p_zw</f>
        <v/>
      </c>
      <c r="F13" s="38" t="inlineStr">
        <is>
          <t>bar</t>
        </is>
      </c>
      <c r="G13" s="31" t="inlineStr">
        <is>
          <t>eigene Herleitung (Q-017, Q-016)</t>
        </is>
      </c>
      <c r="H13" s="31" t="inlineStr">
        <is>
          <t>Blatt „Kühlung“, Tabelle 2</t>
        </is>
      </c>
      <c r="I13" s="31" t="inlineStr">
        <is>
          <t>höchster runder Zwischendruck, bei dem am Eintritt Stufe 2 (40 °C) Z ≥ 0,7 für reines CO₂ UND Gemisch gilt (rein 0,715, Gemisch 0,741). Beide Stufen bleiben dann unter 95 °C (Stufe 2: rein 84,1 °C, Gemisch 84,7 °C). Mit 50 bar läge Stufe 2 bei 93–94 °C, mit 60 bar wäre Z beim reinen CO₂ &lt; 0,7.</t>
        </is>
      </c>
      <c r="J13" s="31" t="inlineStr">
        <is>
          <t>eb.P_ZW</t>
        </is>
      </c>
      <c r="K13" s="110" t="inlineStr">
        <is>
          <t>◐ abgeleitet</t>
        </is>
      </c>
    </row>
    <row r="14" ht="40.5" customHeight="1" s="72">
      <c r="B14" s="38" t="n">
        <v>6</v>
      </c>
      <c r="C14" s="31" t="inlineStr">
        <is>
          <t>Druck nach Verdichtung = Kühldruck = Pumpeneintritt</t>
        </is>
      </c>
      <c r="D14" s="38" t="inlineStr">
        <is>
          <t>p_ük</t>
        </is>
      </c>
      <c r="E14" s="107">
        <f>p_uek</f>
        <v/>
      </c>
      <c r="F14" s="38" t="inlineStr">
        <is>
          <t>bar</t>
        </is>
      </c>
      <c r="G14" s="31" t="inlineStr">
        <is>
          <t>eigene Festlegung</t>
        </is>
      </c>
      <c r="H14" s="31" t="inlineStr">
        <is>
          <t>Blatt „Gemisch &amp; Grenzen“</t>
        </is>
      </c>
      <c r="I14" s="31" t="inlineStr">
        <is>
          <t>über der Cricondenbar des Gemischs (82,2 bar) + 3 bar Unsicherheit bzw. über p_krit (73,8 bar): der Kühler kreuzt kein Zweiphasengebiet. = Übergabedruck S1 → eine Pumpenbauart für S1 und S2.</t>
        </is>
      </c>
      <c r="J14" s="31" t="inlineStr">
        <is>
          <t>eb.P_UEK</t>
        </is>
      </c>
      <c r="K14" s="110" t="inlineStr">
        <is>
          <t>◐ abgeleitet</t>
        </is>
      </c>
    </row>
    <row r="15" ht="27.95" customHeight="1" s="72">
      <c r="B15" s="38" t="n">
        <v>7</v>
      </c>
      <c r="C15" s="31" t="inlineStr">
        <is>
          <t>Höchste Austrittstemperatur je Stufe</t>
        </is>
      </c>
      <c r="D15" s="38" t="inlineStr">
        <is>
          <t>T_max</t>
        </is>
      </c>
      <c r="E15" s="109">
        <f>T_maxV</f>
        <v/>
      </c>
      <c r="F15" s="38" t="inlineStr">
        <is>
          <t>°C</t>
        </is>
      </c>
      <c r="G15" s="31" t="inlineStr">
        <is>
          <t>Q-016</t>
        </is>
      </c>
      <c r="H15" s="31" t="inlineStr">
        <is>
          <t>S. 4, Kap. 2.3 (dort Lit. [24])</t>
        </is>
      </c>
      <c r="I15" s="31" t="inlineStr">
        <is>
          <t>„… might not be higher than the assumed value of 95 °C“ – legt die Zahl der Stufen fest.</t>
        </is>
      </c>
      <c r="J15" s="31" t="inlineStr">
        <is>
          <t>eb.T_MAX_STUFE</t>
        </is>
      </c>
      <c r="K15" s="108" t="inlineStr">
        <is>
          <t>✔ belegt</t>
        </is>
      </c>
    </row>
    <row r="16" ht="27.95" customHeight="1" s="72">
      <c r="B16" s="38" t="n">
        <v>8</v>
      </c>
      <c r="C16" s="31" t="inlineStr">
        <is>
          <t>Isentroper Wirkungsgrad Stufe 1</t>
        </is>
      </c>
      <c r="D16" s="38" t="inlineStr">
        <is>
          <t>η_V1</t>
        </is>
      </c>
      <c r="E16" s="109">
        <f>eta_V1</f>
        <v/>
      </c>
      <c r="F16" s="38" t="inlineStr">
        <is>
          <t>–</t>
        </is>
      </c>
      <c r="G16" s="31" t="inlineStr">
        <is>
          <t>Q-016</t>
        </is>
      </c>
      <c r="H16" s="31" t="inlineStr">
        <is>
          <t>S. 4, Kap. 2.3</t>
        </is>
      </c>
      <c r="I16" s="31" t="inlineStr">
        <is>
          <t>„efficiency of compressors … for the first stage is 84 %“</t>
        </is>
      </c>
      <c r="J16" s="31" t="inlineStr">
        <is>
          <t>eb.eta_V1</t>
        </is>
      </c>
      <c r="K16" s="108" t="inlineStr">
        <is>
          <t>✔ belegt</t>
        </is>
      </c>
    </row>
    <row r="17" ht="27.95" customHeight="1" s="72">
      <c r="B17" s="38" t="n">
        <v>9</v>
      </c>
      <c r="C17" s="31" t="inlineStr">
        <is>
          <t>Isentroper Wirkungsgrad Stufe 2</t>
        </is>
      </c>
      <c r="D17" s="38" t="inlineStr">
        <is>
          <t>η_V2</t>
        </is>
      </c>
      <c r="E17" s="109">
        <f>eta_V2</f>
        <v/>
      </c>
      <c r="F17" s="38" t="inlineStr">
        <is>
          <t>–</t>
        </is>
      </c>
      <c r="G17" s="31" t="inlineStr">
        <is>
          <t>Q-016</t>
        </is>
      </c>
      <c r="H17" s="31" t="inlineStr">
        <is>
          <t>S. 4, Kap. 2.3</t>
        </is>
      </c>
      <c r="I17" s="31" t="inlineStr">
        <is>
          <t>„… for subsequent stages, it is successively reduced by 2 %“ → 82 %</t>
        </is>
      </c>
      <c r="J17" s="31" t="inlineStr">
        <is>
          <t>eb.eta_V2</t>
        </is>
      </c>
      <c r="K17" s="108" t="inlineStr">
        <is>
          <t>✔ belegt</t>
        </is>
      </c>
    </row>
    <row r="18" ht="27.95" customHeight="1" s="72">
      <c r="B18" s="38" t="n">
        <v>10</v>
      </c>
      <c r="C18" s="31" t="inlineStr">
        <is>
          <t>Realgasfaktor am Stufeneintritt mindestens (Hersteller)</t>
        </is>
      </c>
      <c r="D18" s="38" t="inlineStr">
        <is>
          <t>Z_min</t>
        </is>
      </c>
      <c r="E18" s="109">
        <f>Z_min</f>
        <v/>
      </c>
      <c r="F18" s="38" t="inlineStr">
        <is>
          <t>–</t>
        </is>
      </c>
      <c r="G18" s="31" t="inlineStr">
        <is>
          <t>Siemens Energy</t>
        </is>
      </c>
      <c r="H18" s="31" t="inlineStr">
        <is>
          <t>E-Mail-Auskunft 08/2026</t>
        </is>
      </c>
      <c r="I18" s="31" t="inlineStr">
        <is>
          <t>„Damit die Berechnung der Laufräder in unseren Berechnungsprogrammen zuverlässig ausgeführt wird, bleiben wir bei einem Z-Wert von &gt; 0,65.“ Gilt nur für Verdichter, nicht für die Pumpe.</t>
        </is>
      </c>
      <c r="J18" s="31" t="inlineStr">
        <is>
          <t>eb.Z_MIN</t>
        </is>
      </c>
      <c r="K18" s="108" t="inlineStr">
        <is>
          <t>✔ persönliche Mitteilung</t>
        </is>
      </c>
    </row>
    <row r="19" ht="27.95" customHeight="1" s="72">
      <c r="B19" s="38" t="n">
        <v>11</v>
      </c>
      <c r="C19" s="31" t="inlineStr">
        <is>
          <t>Realgasfaktor Literaturrichtwert</t>
        </is>
      </c>
      <c r="D19" s="38" t="inlineStr">
        <is>
          <t>Z</t>
        </is>
      </c>
      <c r="E19" s="112" t="n">
        <v>0.7</v>
      </c>
      <c r="F19" s="38" t="inlineStr">
        <is>
          <t>–</t>
        </is>
      </c>
      <c r="G19" s="31" t="inlineStr">
        <is>
          <t>Q-017</t>
        </is>
      </c>
      <c r="H19" s="31" t="inlineStr">
        <is>
          <t>S. 37 (Tab. 3: Z_min 0,7); S. 44</t>
        </is>
      </c>
      <c r="I19" s="31" t="inlineStr">
        <is>
          <t>„Als Grenzwert des Z-Faktors wird durch verschiedenste Hersteller 0,7 angegeben.“ Bei kleinerem Z steigen die Grenzschichtverluste (S. 44). Grundlage für den Zwischendruck.</t>
        </is>
      </c>
      <c r="J19" s="31" t="inlineStr">
        <is>
          <t>eb.Z_Q017</t>
        </is>
      </c>
      <c r="K19" s="108" t="inlineStr">
        <is>
          <t>✔ belegt</t>
        </is>
      </c>
    </row>
    <row r="20" ht="18" customHeight="1" s="72">
      <c r="B20" s="85" t="inlineStr">
        <is>
          <t>C  Kühlung – zwei Kühler, zwei Zwecke</t>
        </is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9" t="n"/>
    </row>
    <row r="21" ht="54" customHeight="1" s="72">
      <c r="B21" s="38" t="n">
        <v>12</v>
      </c>
      <c r="C21" s="31" t="inlineStr">
        <is>
          <t>CO₂ nach dem Zwischenkühler</t>
        </is>
      </c>
      <c r="D21" s="38" t="inlineStr">
        <is>
          <t>T_ZK</t>
        </is>
      </c>
      <c r="E21" s="109">
        <f>T_ZK</f>
        <v/>
      </c>
      <c r="F21" s="38" t="inlineStr">
        <is>
          <t>°C</t>
        </is>
      </c>
      <c r="G21" s="31" t="inlineStr">
        <is>
          <t>Q-017; Q-063</t>
        </is>
      </c>
      <c r="H21" s="31" t="inlineStr">
        <is>
          <t>Q-017 S. 37 (Tab. 3), S. 61; Q-063 Kap. 5.1 (PDF-S. 22)</t>
        </is>
      </c>
      <c r="I21" s="31" t="inlineStr">
        <is>
          <t>Q-017: „Soll-Kühltemperatur CO₂ 40 °C“ (Auslegung Kingsnorth), S. 61 Siemens-Konzept „Eingangstemperatur 40 °C“. Q-063: CO₂ „no more than about 40 °C. Cooling is therefore required between and after compressor stages“. Zweck: Verdichterarbeit senken, Stufe 2 &lt; 95 °C. Kälter ist nicht besser: Z sinkt (Q-017 S. 44) – bei 26 °C wäre Z = 0,63 (rein) &lt; 0,65.</t>
        </is>
      </c>
      <c r="J21" s="31" t="inlineStr">
        <is>
          <t>eb.T_ZK</t>
        </is>
      </c>
      <c r="K21" s="108" t="inlineStr">
        <is>
          <t>✔ belegt</t>
        </is>
      </c>
    </row>
    <row r="22" ht="27.95" customHeight="1" s="72">
      <c r="B22" s="38" t="n">
        <v>13</v>
      </c>
      <c r="C22" s="31" t="inlineStr">
        <is>
          <t>nicht übernommen: Kühlung auf 20 °C</t>
        </is>
      </c>
      <c r="D22" s="38" t="inlineStr">
        <is>
          <t>–</t>
        </is>
      </c>
      <c r="E22" s="112" t="n">
        <v>20</v>
      </c>
      <c r="F22" s="38" t="inlineStr">
        <is>
          <t>°C</t>
        </is>
      </c>
      <c r="G22" s="31" t="inlineStr">
        <is>
          <t>Q-016</t>
        </is>
      </c>
      <c r="H22" s="31" t="inlineStr">
        <is>
          <t>S. 9 und S. 14</t>
        </is>
      </c>
      <c r="I22" s="31" t="inlineStr">
        <is>
          <t>Die 20 °C dienen in Q-016 der Wasserabscheidung vor der TEG-Trocknung (nasses CO₂ direkt aus der Abscheidung) – das CO₂ aus dem Netz ist bereits trocken. Deshalb nicht übertragbar.</t>
        </is>
      </c>
      <c r="J22" s="31" t="inlineStr">
        <is>
          <t>–</t>
        </is>
      </c>
      <c r="K22" s="31" t="inlineStr">
        <is>
          <t>– nicht übertragbar</t>
        </is>
      </c>
    </row>
    <row r="23" ht="27.95" customHeight="1" s="72">
      <c r="B23" s="38" t="n">
        <v>14</v>
      </c>
      <c r="C23" s="31" t="inlineStr">
        <is>
          <t>Kühlwasser (Auslegung)</t>
        </is>
      </c>
      <c r="D23" s="38" t="inlineStr">
        <is>
          <t>T_KW</t>
        </is>
      </c>
      <c r="E23" s="109">
        <f>T_KW</f>
        <v/>
      </c>
      <c r="F23" s="38" t="inlineStr">
        <is>
          <t>°C</t>
        </is>
      </c>
      <c r="G23" s="31" t="inlineStr">
        <is>
          <t>eigene Annahme</t>
        </is>
      </c>
      <c r="H23" s="31" t="inlineStr">
        <is>
          <t>–</t>
        </is>
      </c>
      <c r="I23" s="31" t="inlineStr">
        <is>
          <t>Standortwert, mit Hersteller/Standort zu bestätigen (Messe Hamburg 20.–22.10.2026). Wirkung von 15 und 25 °C: Blatt „Kühlung“, Tabelle 4.</t>
        </is>
      </c>
      <c r="J23" s="31" t="inlineStr">
        <is>
          <t>eb.T_KW</t>
        </is>
      </c>
      <c r="K23" s="111" t="inlineStr">
        <is>
          <t>? bestätigen</t>
        </is>
      </c>
    </row>
    <row r="24" ht="27.95" customHeight="1" s="72">
      <c r="B24" s="38" t="n">
        <v>15</v>
      </c>
      <c r="C24" s="31" t="inlineStr">
        <is>
          <t>Temperaturabstand Kühler (Grädigkeit)</t>
        </is>
      </c>
      <c r="D24" s="38" t="inlineStr">
        <is>
          <t>ΔT</t>
        </is>
      </c>
      <c r="E24" s="112" t="n">
        <v>6</v>
      </c>
      <c r="F24" s="38" t="inlineStr">
        <is>
          <t>K</t>
        </is>
      </c>
      <c r="G24" s="31" t="inlineStr">
        <is>
          <t>Q-120</t>
        </is>
      </c>
      <c r="H24" s="31" t="inlineStr">
        <is>
          <t>Folie 24</t>
        </is>
      </c>
      <c r="I24" s="31" t="inlineStr">
        <is>
          <t>„Final CO₂ temperature is seldom lower than 6 deg. C (11 deg F) warmer than the air or water.“</t>
        </is>
      </c>
      <c r="J24" s="31" t="inlineStr">
        <is>
          <t>eb.DT_KUEHLER</t>
        </is>
      </c>
      <c r="K24" s="108" t="inlineStr">
        <is>
          <t>✔ belegt</t>
        </is>
      </c>
    </row>
    <row r="25" ht="54" customHeight="1" s="72">
      <c r="B25" s="38" t="n">
        <v>16</v>
      </c>
      <c r="C25" s="31" t="inlineStr">
        <is>
          <t>CO₂ nach dem Kühler vor der Pumpe</t>
        </is>
      </c>
      <c r="D25" s="38" t="inlineStr">
        <is>
          <t>T_K</t>
        </is>
      </c>
      <c r="E25" s="109">
        <f>T_K</f>
        <v/>
      </c>
      <c r="F25" s="38" t="inlineStr">
        <is>
          <t>°C</t>
        </is>
      </c>
      <c r="G25" s="31" t="inlineStr">
        <is>
          <t>Q-120; Q-121</t>
        </is>
      </c>
      <c r="H25" s="31" t="inlineStr">
        <is>
          <t>Q-120 Folie 32; Q-121 S. 2–3</t>
        </is>
      </c>
      <c r="I25" s="31" t="inlineStr">
        <is>
          <t>T_K = T_KW + ΔT = 26 °C. Q-120: für Pumpen „cool to 80 to 90 °F (27 to 32 °C) if at all practical to maximize density“, über 38 °C deutlich mehr Förderhöhe. Q-121: Wirkungsgrad sinkt mit steigender Saugtemperatur. 26 °C liegt unter der pseudokritischen Linie bei 91 bar (Gemisch 32,8 °C, rein 40,5 °C).</t>
        </is>
      </c>
      <c r="J25" s="31" t="inlineStr">
        <is>
          <t>eb.T_K</t>
        </is>
      </c>
      <c r="K25" s="108" t="inlineStr">
        <is>
          <t>✔ belegt</t>
        </is>
      </c>
    </row>
    <row r="26" ht="18" customHeight="1" s="72">
      <c r="B26" s="85" t="inlineStr">
        <is>
          <t>D  Pumpe</t>
        </is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9" t="n"/>
    </row>
    <row r="27" ht="27.95" customHeight="1" s="72">
      <c r="B27" s="38" t="n">
        <v>17</v>
      </c>
      <c r="C27" s="31" t="inlineStr">
        <is>
          <t>Isentroper Wirkungsgrad Pumpe</t>
        </is>
      </c>
      <c r="D27" s="38" t="inlineStr">
        <is>
          <t>η_P</t>
        </is>
      </c>
      <c r="E27" s="109">
        <f>eta</f>
        <v/>
      </c>
      <c r="F27" s="38" t="inlineStr">
        <is>
          <t>–</t>
        </is>
      </c>
      <c r="G27" s="31" t="inlineStr">
        <is>
          <t>eigene Annahme</t>
        </is>
      </c>
      <c r="H27" s="31" t="inlineStr">
        <is>
          <t>Q-016 S. 4 (nur Glykolpumpe 70 %)</t>
        </is>
      </c>
      <c r="I27" s="31" t="inlineStr">
        <is>
          <t>keine Quelle für CO₂-Pumpen – Herstellerwert einholen (Messe Hamburg 20.–22.10.2026).</t>
        </is>
      </c>
      <c r="J27" s="31" t="inlineStr">
        <is>
          <t>eb.eta_P</t>
        </is>
      </c>
      <c r="K27" s="111" t="inlineStr">
        <is>
          <t>? Hersteller fragen</t>
        </is>
      </c>
    </row>
    <row r="28" ht="27.95" customHeight="1" s="72">
      <c r="B28" s="38" t="n">
        <v>18</v>
      </c>
      <c r="C28" s="31" t="inlineStr">
        <is>
          <t>Mindestdichte am Pumpeneintritt</t>
        </is>
      </c>
      <c r="D28" s="38" t="inlineStr">
        <is>
          <t>ρ_min</t>
        </is>
      </c>
      <c r="E28" s="107">
        <f>rho_min</f>
        <v/>
      </c>
      <c r="F28" s="38" t="inlineStr">
        <is>
          <t>kg/m³</t>
        </is>
      </c>
      <c r="G28" s="31" t="inlineStr">
        <is>
          <t>Q-121; Q-001</t>
        </is>
      </c>
      <c r="H28" s="31" t="inlineStr">
        <is>
          <t>Q-121 S. 2; Q-001 Kap. 5.2</t>
        </is>
      </c>
      <c r="I28" s="31" t="inlineStr">
        <is>
          <t>„The value of the minimum operating density, between 500 and 400 kg/m³, depends on rotor-dynamics of the pump“ → 500 kg/m³ (oberer, sicherer Wert).</t>
        </is>
      </c>
      <c r="J28" s="31" t="inlineStr">
        <is>
          <t>eb.RHO_MIN</t>
        </is>
      </c>
      <c r="K28" s="108" t="inlineStr">
        <is>
          <t>✔ belegt</t>
        </is>
      </c>
    </row>
    <row r="29" ht="18" customHeight="1" s="72">
      <c r="B29" s="85" t="inlineStr">
        <is>
          <t>E  Durchsatz</t>
        </is>
      </c>
      <c r="C29" s="97" t="n"/>
      <c r="D29" s="97" t="n"/>
      <c r="E29" s="97" t="n"/>
      <c r="F29" s="97" t="n"/>
      <c r="G29" s="97" t="n"/>
      <c r="H29" s="97" t="n"/>
      <c r="I29" s="97" t="n"/>
      <c r="J29" s="97" t="n"/>
      <c r="K29" s="99" t="n"/>
    </row>
    <row r="30" ht="27.95" customHeight="1" s="72">
      <c r="B30" s="38" t="n">
        <v>19</v>
      </c>
      <c r="C30" s="31" t="inlineStr">
        <is>
          <t>Normvolumenstrom unterer / oberer Fall</t>
        </is>
      </c>
      <c r="D30" s="38" t="inlineStr">
        <is>
          <t>V_n</t>
        </is>
      </c>
      <c r="E30" s="113" t="inlineStr">
        <is>
          <t>50.000 / 100.000</t>
        </is>
      </c>
      <c r="F30" s="38" t="inlineStr">
        <is>
          <t>Nm³/h</t>
        </is>
      </c>
      <c r="G30" s="31" t="inlineStr">
        <is>
          <t>Abstimmung M. Wall (Uniper)</t>
        </is>
      </c>
      <c r="H30" s="31" t="inlineStr">
        <is>
          <t>–</t>
        </is>
      </c>
      <c r="I30" s="31" t="inlineStr">
        <is>
          <t>Bandbreite der Anlage. Zieldruck der Pumpe wird bei 100.000 Nm³/h ausgelegt (höchste Reibung).</t>
        </is>
      </c>
      <c r="J30" s="31" t="inlineStr">
        <is>
          <t>eb.V_NORM_MIN / V_NORM_MAX</t>
        </is>
      </c>
      <c r="K30" s="108" t="inlineStr">
        <is>
          <t>✔ abgestimmt</t>
        </is>
      </c>
    </row>
    <row r="31" ht="27.95" customHeight="1" s="72">
      <c r="B31" s="38" t="n">
        <v>20</v>
      </c>
      <c r="C31" s="31" t="inlineStr">
        <is>
          <t>Normzustand</t>
        </is>
      </c>
      <c r="D31" s="38" t="inlineStr">
        <is>
          <t>p_n, T_n</t>
        </is>
      </c>
      <c r="E31" s="113" t="inlineStr">
        <is>
          <t>1,01325 bar / 0 °C</t>
        </is>
      </c>
      <c r="F31" s="38" t="inlineStr">
        <is>
          <t>–</t>
        </is>
      </c>
      <c r="G31" s="31" t="inlineStr">
        <is>
          <t>DIN 1343</t>
        </is>
      </c>
      <c r="H31" s="31" t="inlineStr">
        <is>
          <t>–</t>
        </is>
      </c>
      <c r="I31" s="31" t="inlineStr">
        <is>
          <t>Normdichte aus CoolProp: Gemisch 1,934 kg/m³, rein 1,977 kg/m³ → gleicher Normvolumenstrom ergibt beim Gemisch 2 % weniger Masse.</t>
        </is>
      </c>
      <c r="J31" s="31" t="inlineStr">
        <is>
          <t>stoff.rho_norm()</t>
        </is>
      </c>
      <c r="K31" s="108" t="inlineStr">
        <is>
          <t>✔ belegt</t>
        </is>
      </c>
    </row>
    <row r="32" ht="18" customHeight="1" s="72">
      <c r="B32" s="85" t="inlineStr">
        <is>
          <t>F  Kaverne und Bohrloch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9" t="n"/>
    </row>
    <row r="33" ht="27.95" customHeight="1" s="72">
      <c r="B33" s="38" t="n">
        <v>21</v>
      </c>
      <c r="C33" s="31" t="inlineStr">
        <is>
          <t>Teufe LCCS (Referenzkaverne)</t>
        </is>
      </c>
      <c r="D33" s="38" t="inlineStr">
        <is>
          <t>z</t>
        </is>
      </c>
      <c r="E33" s="107">
        <f>z_V1</f>
        <v/>
      </c>
      <c r="F33" s="38" t="inlineStr">
        <is>
          <t>m</t>
        </is>
      </c>
      <c r="G33" s="31" t="inlineStr">
        <is>
          <t>Q-030</t>
        </is>
      </c>
      <c r="H33" s="31" t="inlineStr">
        <is>
          <t>Tab. 1, Option 2</t>
        </is>
      </c>
      <c r="I33" s="31" t="inlineStr">
        <is>
          <t>Uniper-Bestandskaverne; mit M. Wall abgestimmt.</t>
        </is>
      </c>
      <c r="J33" s="31" t="inlineStr">
        <is>
          <t>eb.TEUFE</t>
        </is>
      </c>
      <c r="K33" s="108" t="inlineStr">
        <is>
          <t>✔ belegt</t>
        </is>
      </c>
    </row>
    <row r="34" ht="40.5" customHeight="1" s="72">
      <c r="B34" s="38" t="n">
        <v>22</v>
      </c>
      <c r="C34" s="31" t="inlineStr">
        <is>
          <t>Flache Kaverne</t>
        </is>
      </c>
      <c r="D34" s="38" t="inlineStr">
        <is>
          <t>–</t>
        </is>
      </c>
      <c r="E34" s="113" t="inlineStr">
        <is>
          <t>entfällt</t>
        </is>
      </c>
      <c r="F34" s="38" t="inlineStr">
        <is>
          <t>–</t>
        </is>
      </c>
      <c r="G34" s="31" t="inlineStr">
        <is>
          <t>Q-030</t>
        </is>
      </c>
      <c r="H34" s="31" t="inlineStr">
        <is>
          <t>S. 17 (Kap. 1.2.1.2)</t>
        </is>
      </c>
      <c r="I34" s="31" t="inlineStr">
        <is>
          <t>DBI verwirft die flache Option selbst: „almost immediate phase transition into liquid in the cavern, respectively, at the wellhead“. Festgelegt in der Besprechung mit K. Vosbeck (15.10.2026).</t>
        </is>
      </c>
      <c r="J34" s="31" t="inlineStr">
        <is>
          <t>kb.KAVERNEN = (TIEF,)</t>
        </is>
      </c>
      <c r="K34" s="108" t="inlineStr">
        <is>
          <t>✔ belegt</t>
        </is>
      </c>
    </row>
    <row r="35" ht="27.95" customHeight="1" s="72">
      <c r="B35" s="38" t="n">
        <v>23</v>
      </c>
      <c r="C35" s="31" t="inlineStr">
        <is>
          <t>Gebirgstemperatur Oberfläche / Gradient</t>
        </is>
      </c>
      <c r="D35" s="38" t="inlineStr">
        <is>
          <t>T₀ / grad T</t>
        </is>
      </c>
      <c r="E35" s="113" t="inlineStr">
        <is>
          <t>10 °C / 0,03 K/m</t>
        </is>
      </c>
      <c r="F35" s="38" t="inlineStr">
        <is>
          <t>–</t>
        </is>
      </c>
      <c r="G35" s="31" t="inlineStr">
        <is>
          <t>Q-028</t>
        </is>
      </c>
      <c r="H35" s="31" t="inlineStr">
        <is>
          <t>Kap. 3 (S. 5), Fig. 3</t>
        </is>
      </c>
      <c r="I35" s="31" t="inlineStr">
        <is>
          <t>„surface temperature of 10 °C (50 °F) and a temperature gradient of 0.03 K/m“</t>
        </is>
      </c>
      <c r="J35" s="31" t="inlineStr">
        <is>
          <t>eb.T_OBERFLAECHE, eb.GRADIENT</t>
        </is>
      </c>
      <c r="K35" s="108" t="inlineStr">
        <is>
          <t>✔ belegt</t>
        </is>
      </c>
    </row>
    <row r="36" ht="27.95" customHeight="1" s="72">
      <c r="B36" s="38" t="n">
        <v>24</v>
      </c>
      <c r="C36" s="31" t="inlineStr">
        <is>
          <t>Maximaldruck an der LCCS</t>
        </is>
      </c>
      <c r="D36" s="38" t="inlineStr">
        <is>
          <t>p_max</t>
        </is>
      </c>
      <c r="E36" s="107">
        <f>pmax_V1</f>
        <v/>
      </c>
      <c r="F36" s="38" t="inlineStr">
        <is>
          <t>bar</t>
        </is>
      </c>
      <c r="G36" s="31" t="inlineStr">
        <is>
          <t>M. Wall; Q-028; Q-030</t>
        </is>
      </c>
      <c r="H36" s="31" t="inlineStr">
        <is>
          <t>Q-028 Tab. 1 (200 bar); Q-030 Tab. 1 (240 bar)</t>
        </is>
      </c>
      <c r="I36" s="31" t="inlineStr">
        <is>
          <t>Zwischenwert der beiden Quellen, Vorgabe M. Wall (Uniper).</t>
        </is>
      </c>
      <c r="J36" s="31" t="inlineStr">
        <is>
          <t>eb.P_MAX_LCCS</t>
        </is>
      </c>
      <c r="K36" s="108" t="inlineStr">
        <is>
          <t>✔ abgestimmt</t>
        </is>
      </c>
    </row>
    <row r="37" ht="27.95" customHeight="1" s="72">
      <c r="B37" s="38" t="n">
        <v>25</v>
      </c>
      <c r="C37" s="31" t="inlineStr">
        <is>
          <t>Minimaldruck an der LCCS</t>
        </is>
      </c>
      <c r="D37" s="38" t="inlineStr">
        <is>
          <t>p_min</t>
        </is>
      </c>
      <c r="E37" s="107">
        <f>pmin_V1</f>
        <v/>
      </c>
      <c r="F37" s="38" t="inlineStr">
        <is>
          <t>bar</t>
        </is>
      </c>
      <c r="G37" s="31" t="inlineStr">
        <is>
          <t>Q-028</t>
        </is>
      </c>
      <c r="H37" s="31" t="inlineStr">
        <is>
          <t>Tab. 1</t>
        </is>
      </c>
      <c r="I37" s="31" t="inlineStr">
        <is>
          <t>geomechanisches Minimum.</t>
        </is>
      </c>
      <c r="J37" s="31" t="inlineStr">
        <is>
          <t>eb.P_MIN_LCCS</t>
        </is>
      </c>
      <c r="K37" s="108" t="inlineStr">
        <is>
          <t>✔ belegt</t>
        </is>
      </c>
    </row>
    <row r="38" ht="27.95" customHeight="1" s="72">
      <c r="B38" s="38" t="n">
        <v>26</v>
      </c>
      <c r="C38" s="31" t="inlineStr">
        <is>
          <t>Förderstrang (Innendurchmesser)</t>
        </is>
      </c>
      <c r="D38" s="38" t="inlineStr">
        <is>
          <t>D_i</t>
        </is>
      </c>
      <c r="E38" s="112" t="n">
        <v>198.8</v>
      </c>
      <c r="F38" s="38" t="inlineStr">
        <is>
          <t>mm</t>
        </is>
      </c>
      <c r="G38" s="31" t="inlineStr">
        <is>
          <t>Q-030</t>
        </is>
      </c>
      <c r="H38" s="31" t="inlineStr">
        <is>
          <t>Tab. 1; Kap. 1.2.1 (S. 12)</t>
        </is>
      </c>
      <c r="I38" s="31" t="inlineStr">
        <is>
          <t>8 5/8" 36# J55 im 11 ¾"-LCCS („possible tubing sizes 8 5/8” and 5 ½”“).</t>
        </is>
      </c>
      <c r="J38" s="31" t="inlineStr">
        <is>
          <t>kb.D_STRANG</t>
        </is>
      </c>
      <c r="K38" s="108" t="inlineStr">
        <is>
          <t>✔ belegt</t>
        </is>
      </c>
    </row>
    <row r="39" ht="27.95" customHeight="1" s="72">
      <c r="B39" s="38" t="n">
        <v>27</v>
      </c>
      <c r="C39" s="31" t="inlineStr">
        <is>
          <t>Rohrreibungszahl (Darcy)</t>
        </is>
      </c>
      <c r="D39" s="38" t="inlineStr">
        <is>
          <t>f</t>
        </is>
      </c>
      <c r="E39" s="112" t="n">
        <v>0.016</v>
      </c>
      <c r="F39" s="38" t="inlineStr">
        <is>
          <t>–</t>
        </is>
      </c>
      <c r="G39" s="31" t="inlineStr">
        <is>
          <t>Q-003</t>
        </is>
      </c>
      <c r="H39" s="31" t="inlineStr">
        <is>
          <t>Kap. 6.2</t>
        </is>
      </c>
      <c r="I39" s="31" t="inlineStr">
        <is>
          <t>0,015–0,017 für neues Stahlrohr – Mittelwert.</t>
        </is>
      </c>
      <c r="J39" s="31" t="inlineStr">
        <is>
          <t>kb.F_DARCY</t>
        </is>
      </c>
      <c r="K39" s="108" t="inlineStr">
        <is>
          <t>✔ belegt</t>
        </is>
      </c>
    </row>
    <row r="40" ht="40.5" customHeight="1" s="72">
      <c r="B40" s="38" t="n">
        <v>28</v>
      </c>
      <c r="C40" s="31" t="inlineStr">
        <is>
          <t>Strömung im Strang beim Einspeisen</t>
        </is>
      </c>
      <c r="D40" s="38" t="inlineStr">
        <is>
          <t>–</t>
        </is>
      </c>
      <c r="E40" s="113" t="inlineStr">
        <is>
          <t>adiabat</t>
        </is>
      </c>
      <c r="F40" s="38" t="inlineStr">
        <is>
          <t>–</t>
        </is>
      </c>
      <c r="G40" s="31" t="inlineStr">
        <is>
          <t>Besprechung K. Vosbeck 15.10.2026</t>
        </is>
      </c>
      <c r="H40" s="31" t="inlineStr">
        <is>
          <t>–</t>
        </is>
      </c>
      <c r="I40" s="31" t="inlineStr">
        <is>
          <t>schnelle Förderung, kein Wärmeaustausch mit dem Gebirge: h + g·z = konst., Kopftemperatur = Pumpenaustritt. Grenze: homogen, einphasig – genauer nur mit Mehrphasen-Bohrlochmodell (Q-028 S. 11).</t>
        </is>
      </c>
      <c r="J40" s="31" t="inlineStr">
        <is>
          <t>kb.strang()</t>
        </is>
      </c>
      <c r="K40" s="110" t="inlineStr">
        <is>
          <t>◐ Modellannahme</t>
        </is>
      </c>
    </row>
    <row r="41" ht="40.5" customHeight="1" s="72">
      <c r="B41" s="38" t="n">
        <v>29</v>
      </c>
      <c r="C41" s="31" t="inlineStr">
        <is>
          <t>Stillstandsdauer zwischen den Phasen</t>
        </is>
      </c>
      <c r="D41" s="38" t="inlineStr">
        <is>
          <t>t_still</t>
        </is>
      </c>
      <c r="E41" s="112" t="n">
        <v>21.67</v>
      </c>
      <c r="F41" s="38" t="inlineStr">
        <is>
          <t>d</t>
        </is>
      </c>
      <c r="G41" s="31" t="inlineStr">
        <is>
          <t>Q-028</t>
        </is>
      </c>
      <c r="H41" s="31" t="inlineStr">
        <is>
          <t>S. 10 (Kap. 4)</t>
        </is>
      </c>
      <c r="I41" s="31" t="inlineStr">
        <is>
          <t>Betriebsszenario der Simulation in Q-028: „Standstill phase (21.67 d)“ nach Aus- und nach Einspeisen. Gleiche Begründung wie in der Quelle; an dieser Simulation ist auch der Wärmeübergang UA kalibriert. Vergleich „kontinuierlich (0 d)“ in der Kaverne-Mappe.</t>
        </is>
      </c>
      <c r="J41" s="31" t="inlineStr">
        <is>
          <t>kb.T_STILLSTAND</t>
        </is>
      </c>
      <c r="K41" s="108" t="inlineStr">
        <is>
          <t>✔ belegt</t>
        </is>
      </c>
    </row>
    <row r="42" ht="18" customHeight="1" s="72">
      <c r="B42" s="85" t="inlineStr">
        <is>
          <t>G  Stoffdaten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9" t="n"/>
    </row>
    <row r="43" ht="27.95" customHeight="1" s="72">
      <c r="B43" s="38" t="n">
        <v>30</v>
      </c>
      <c r="C43" s="31" t="inlineStr">
        <is>
          <t>Unsicherheit der Phasengrenze</t>
        </is>
      </c>
      <c r="D43" s="38" t="inlineStr">
        <is>
          <t>U_PG</t>
        </is>
      </c>
      <c r="E43" s="112" t="n">
        <v>3</v>
      </c>
      <c r="F43" s="38" t="inlineStr">
        <is>
          <t>bar</t>
        </is>
      </c>
      <c r="G43" s="31" t="inlineStr">
        <is>
          <t>Dokumentation Stoffmodelle</t>
        </is>
      </c>
      <c r="H43" s="31" t="inlineStr">
        <is>
          <t>Kap. 9</t>
        </is>
      </c>
      <c r="I43" s="31" t="inlineStr">
        <is>
          <t>Modellstreuung 1 bar + Modellfehler 1–3 % (Vergleich GERG-2008, Peng-Robinson, SRK in thermopack).</t>
        </is>
      </c>
      <c r="J43" s="31" t="inlineStr">
        <is>
          <t>eb.U_PG</t>
        </is>
      </c>
      <c r="K43" s="110" t="inlineStr">
        <is>
          <t>◐ abgeleitet</t>
        </is>
      </c>
    </row>
    <row r="44" ht="40.5" customHeight="1" s="72">
      <c r="B44" s="38" t="n">
        <v>31</v>
      </c>
      <c r="C44" s="31" t="inlineStr">
        <is>
          <t>Zustandsgleichungen</t>
        </is>
      </c>
      <c r="D44" s="38" t="inlineStr">
        <is>
          <t>–</t>
        </is>
      </c>
      <c r="E44" s="113" t="inlineStr">
        <is>
          <t>Span &amp; Wagner / GERG-2008</t>
        </is>
      </c>
      <c r="F44" s="38" t="inlineStr">
        <is>
          <t>–</t>
        </is>
      </c>
      <c r="G44" s="31" t="inlineStr">
        <is>
          <t>Span &amp; Wagner 1996; Kunz &amp; Wagner 2012; Gernert &amp; Span 2016</t>
        </is>
      </c>
      <c r="H44" s="31" t="inlineStr">
        <is>
          <t>–</t>
        </is>
      </c>
      <c r="I44" s="31" t="inlineStr">
        <is>
          <t>über CoolProp 8.0.0 (Bell et al. 2014); Gemisch mit Mehrfluid-Helmholtz-Modell.</t>
        </is>
      </c>
      <c r="J44" s="31" t="inlineStr">
        <is>
          <t>gemisch_worstcase.py</t>
        </is>
      </c>
      <c r="K44" s="108" t="inlineStr">
        <is>
          <t>✔ belegt</t>
        </is>
      </c>
    </row>
    <row r="45"/>
    <row r="46">
      <c r="B46" s="25" t="inlineStr">
        <is>
          <t>Seitenzahlen = gedruckte Seitenzahl der Quelle (bei Q-063 PDF-Seite). Wörtliche Zitate in „…“; ohne Anführungszeichen sinngemäß. Herleitungen mit Zahlen: Blätter „Kühlung“ und „Massenströme“.</t>
        </is>
      </c>
    </row>
  </sheetData>
  <mergeCells count="8">
    <mergeCell ref="B32:K32"/>
    <mergeCell ref="B4:K4"/>
    <mergeCell ref="B26:K26"/>
    <mergeCell ref="B12:K12"/>
    <mergeCell ref="B7:K7"/>
    <mergeCell ref="B29:K29"/>
    <mergeCell ref="B20:K20"/>
    <mergeCell ref="B42:K42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FFA6A6A6"/>
    <outlinePr summaryBelow="1" summaryRight="1"/>
    <pageSetUpPr fitToPage="1"/>
  </sheetPr>
  <dimension ref="A1:D27"/>
  <sheetViews>
    <sheetView showGridLines="0" tabSelected="0" topLeftCell="A3" workbookViewId="0">
      <selection activeCell="A23" sqref="A23:XFD23"/>
    </sheetView>
  </sheetViews>
  <sheetFormatPr baseColWidth="10" defaultColWidth="9.140625" defaultRowHeight="15"/>
  <cols>
    <col width="2.7109375" customWidth="1" style="72" min="1" max="1"/>
    <col width="16.7109375" customWidth="1" style="72" min="2" max="2"/>
    <col width="70.7109375" customWidth="1" style="72" min="3" max="3"/>
    <col width="60.7109375" customWidth="1" style="72" min="4" max="4"/>
  </cols>
  <sheetData>
    <row r="1" ht="30" customHeight="1" s="72">
      <c r="B1" s="1" t="inlineStr">
        <is>
          <t>Quellen</t>
        </is>
      </c>
    </row>
    <row r="2">
      <c r="B2" s="2" t="inlineStr">
        <is>
          <t>Herkunft der Annahmen und Stoffdaten dieser Mappe (IDs wie in der Quellen- und Wissensmatrix). Fundstellen je Annahme: Blatt „Annahmen &amp; Begründung“.</t>
        </is>
      </c>
    </row>
    <row r="3">
      <c r="B3" s="71" t="inlineStr">
        <is>
          <t>← zur Übersicht</t>
        </is>
      </c>
    </row>
    <row r="4">
      <c r="B4" s="75" t="inlineStr">
        <is>
          <t>ID</t>
        </is>
      </c>
      <c r="C4" s="75" t="inlineStr">
        <is>
          <t>Quelle</t>
        </is>
      </c>
      <c r="D4" s="75" t="inlineStr">
        <is>
          <t>Verwendet für</t>
        </is>
      </c>
    </row>
    <row r="5" ht="45" customHeight="1" s="72">
      <c r="B5" s="76" t="inlineStr">
        <is>
          <t>Q-001</t>
        </is>
      </c>
      <c r="C5" s="78" t="inlineStr">
        <is>
          <t>DVGW (2024): C 260 (A) – Properties of Carbon Dioxide and Carbon Dioxide Streams. Entwurf.</t>
        </is>
      </c>
      <c r="D5" s="78" t="inlineStr">
        <is>
          <t>Kritischer Punkt, Stoffeigenschaften CO₂</t>
        </is>
      </c>
    </row>
    <row r="6" ht="45" customHeight="1" s="72">
      <c r="B6" s="76" t="inlineStr">
        <is>
          <t>Q-016</t>
        </is>
      </c>
      <c r="C6" s="78" t="inlineStr">
        <is>
          <t>Bielka, P.; Kuczyński, S.; Nagy, S.: CO₂ Compression and Dehydration for Transport and Geological Storage.</t>
        </is>
      </c>
      <c r="D6" s="78" t="inlineStr">
        <is>
          <t>Wirkungsgrade Verdichter 84 % (Stufe 1) / 82 % (Stufe 2) und höchstens 95 °C je Stufe (S. 4, Kap. 2.3). Nicht übernommen: Kühlung auf 20 °C (S. 9, S. 14) – dient dort der Wasserabscheidung vor der TEG-Trocknung; Glykolpumpe 70 % (S. 4) nicht auf die CO₂-Pumpe übertragbar.</t>
        </is>
      </c>
    </row>
    <row r="7" ht="45" customHeight="1" s="72">
      <c r="B7" s="76" t="inlineStr">
        <is>
          <t>Q-028</t>
        </is>
      </c>
      <c r="C7" s="78" t="inlineStr">
        <is>
          <t>Buzogany, R.; Kruck, O. (2022): CO₂ – Storage in Salt Caverns: Thermodynamic Analysis and Challenges. SMRI Fall 2022.</t>
        </is>
      </c>
      <c r="D7" s="78" t="inlineStr">
        <is>
          <t>Oberflächentemperatur 10 °C, Gradient 0,03 K/m (Kap. 3, S. 5), Minimaldruck 70 bar (Tab. 1), Darstellung Gassäule (Fig. 3), Stillstand 21,67 d (S. 10), Grenze des homogenen Bohrlochmodells (S. 11)</t>
        </is>
      </c>
    </row>
    <row r="8" ht="45" customHeight="1" s="72">
      <c r="B8" s="76" t="inlineStr">
        <is>
          <t>Q-029</t>
        </is>
      </c>
      <c r="C8" s="78" t="inlineStr">
        <is>
          <t>DBI für Uniper: CCUS-P2 – CO₂-Storage for CCU/S, Phase 2 – Detailing Study, Final Report V08.</t>
        </is>
      </c>
      <c r="D8" s="78" t="inlineStr">
        <is>
          <t>Offener Punkt: gewählte Option 1 ist die tiefe Kaverne (1400 m, 260 bar)</t>
        </is>
      </c>
    </row>
    <row r="9" ht="45" customHeight="1" s="72">
      <c r="B9" s="76" t="inlineStr">
        <is>
          <t>Q-030</t>
        </is>
      </c>
      <c r="C9" s="78" t="inlineStr">
        <is>
          <t>DBI für Uniper: CCUS-P1 – CO₂-Storage for CCU/S, Phase 1 – Initial Concept Study, Final Report.</t>
        </is>
      </c>
      <c r="D9" s="78" t="inlineStr">
        <is>
          <t>Tab. 1: Teufe 1200 m (Option 2), Anhalt für p_max (240 bar), Förderstrang 8 5/8" (Kap. 1.2.1); S. 17: flache Option verworfen (fast sofort Flüssigphase) → keine Kaverne V2</t>
        </is>
      </c>
    </row>
    <row r="10" ht="45" customHeight="1" s="72">
      <c r="B10" s="76" t="inlineStr">
        <is>
          <t>Q-038</t>
        </is>
      </c>
      <c r="C10" s="78" t="inlineStr">
        <is>
          <t>Baumgärtel, L.; Körner, F.; Leuger, B.; Zapf, D. (2023): Energiespeicherung in Salzkavernen. Poster, Tag der Energieforschung, LU Hannover.</t>
        </is>
      </c>
      <c r="D10" s="78" t="inlineStr">
        <is>
          <t>Zu prüfen: alte Annahmentabelle leitet daraus p_max ≈ 85 % des lithostatischen Drucks ab – in der Matrix nur Geometriedaten erfasst</t>
        </is>
      </c>
    </row>
    <row r="11" ht="45" customHeight="1" s="72">
      <c r="B11" s="76" t="inlineStr">
        <is>
          <t>Q-040</t>
        </is>
      </c>
      <c r="C11" s="78" t="inlineStr">
        <is>
          <t>DIN EN ISO 27913: Abscheidung, Transport und geologische Speicherung von CO₂ – Rohrleitungstransportsysteme (dt. Fassung 2025).</t>
        </is>
      </c>
      <c r="D11" s="78" t="inlineStr">
        <is>
          <t>Zu prüfen: alte Annahmentabelle nennt Q-040 für die gasförmige Anlieferung mit 30 bar – Norm in der Matrix noch nicht ausgewertet</t>
        </is>
      </c>
    </row>
    <row r="12" ht="45" customHeight="1" s="72">
      <c r="B12" s="76" t="inlineStr">
        <is>
          <t>OGE</t>
        </is>
      </c>
      <c r="C12" s="78" t="inlineStr">
        <is>
          <t>Gesprächsnotiz Austausch OGE / Uniper, 16.09.2026 (Notizen S. Maxara).</t>
        </is>
      </c>
      <c r="D12" s="78" t="inlineStr">
        <is>
          <t>Übergabedruck S1 mind. 91 bar; Durchsatz-Bandbreite (mit M. Wall)</t>
        </is>
      </c>
    </row>
    <row r="13" ht="45" customHeight="1" s="72">
      <c r="B13" s="76" t="inlineStr">
        <is>
          <t>—</t>
        </is>
      </c>
      <c r="C13" s="78" t="inlineStr">
        <is>
          <t>Span, R.; Wagner, W. (1996): A New Equation of State for Carbon Dioxide Covering the Fluid Region from the Triple-Point Temperature to 1100 K at Pressures up to 800 MPa. J. Phys. Chem. Ref. Data 25(6), 1509–1596.</t>
        </is>
      </c>
      <c r="D13" s="78" t="inlineStr">
        <is>
          <t>Zustandsgleichung CO₂ (über CoolProp); Sublimations- und Schmelzdruck</t>
        </is>
      </c>
    </row>
    <row r="14" ht="45" customHeight="1" s="72">
      <c r="B14" s="76" t="inlineStr">
        <is>
          <t>—</t>
        </is>
      </c>
      <c r="C14" s="78" t="inlineStr">
        <is>
          <t>Bell, I. H.; Wronski, J.; Quoilin, S.; Lemort, V. (2014): Pure and Pseudo-pure Fluid Thermophysical Property Evaluation and the Open-Source Thermophysical Property Library CoolProp. Ind. Eng. Chem. Res. 53(6), 2498–2508.</t>
        </is>
      </c>
      <c r="D14" s="78" t="inlineStr">
        <is>
          <t>Stoffdatenbibliothek CoolProp, Version 8.0.0</t>
        </is>
      </c>
    </row>
    <row r="15" ht="45" customHeight="1" s="72">
      <c r="B15" s="76" t="inlineStr">
        <is>
          <t>Vorarbeit</t>
        </is>
      </c>
      <c r="C15" s="78" t="inlineStr">
        <is>
          <t>Python-Skripte der eigenen Vorarbeit (ObertageAnlageRechner: gaspfad_vergleich.py, pfadentscheidung.py).</t>
        </is>
      </c>
      <c r="D15" s="78" t="inlineStr">
        <is>
          <t>Nur noch der Übergabedruck S2 (30 bar) stammt aus der Vorarbeit – Quelle zu prüfen. Frühere Annahmen (Verflüssigung, Kühlung auf 20 °C) sind ersetzt.</t>
        </is>
      </c>
    </row>
    <row r="16" ht="45" customHeight="1" s="72">
      <c r="B16" s="76" t="inlineStr">
        <is>
          <t>—</t>
        </is>
      </c>
      <c r="C16" s="78" t="inlineStr">
        <is>
          <t>Kunz, O.; Wagner, W. (2012): The GERG-2008 Wide-Range Equation of State for Natural Gases and Other Mixtures: An Expansion of GERG-2004. J. Chem. Eng. Data 57, 3032–3091.</t>
        </is>
      </c>
      <c r="D16" s="78" t="inlineStr">
        <is>
          <t>Mischungsregel (Mehrfluid-Helmholtz-Modell) für das Worst-Case-Gemisch; Paarparameter CO₂–CH₄, CO₂–H₂</t>
        </is>
      </c>
    </row>
    <row r="17" ht="45" customHeight="1" s="72">
      <c r="B17" s="76" t="inlineStr">
        <is>
          <t>—</t>
        </is>
      </c>
      <c r="C17" s="78" t="inlineStr">
        <is>
          <t>Gernert, J.; Span, R. (2016): EOS–CG: A Helmholtz energy mixture model for humid gases and CCS mixtures. J. Chem. Thermodyn. 93, 274–293 (Parameter aus Gernert 2013, Diss. RUB).</t>
        </is>
      </c>
      <c r="D17" s="78" t="inlineStr">
        <is>
          <t>Paarparameter CO₂–N₂, CO₂–Ar, CO₂–CO in CoolProp</t>
        </is>
      </c>
    </row>
    <row r="18" ht="45" customHeight="1" s="72">
      <c r="B18" s="76" t="inlineStr">
        <is>
          <t>Gemisch</t>
        </is>
      </c>
      <c r="C18" s="78" t="inlineStr">
        <is>
          <t>Vorschlag Worst-Case-Gemisch Anlieferung: 95 % CO₂, 2,4 % N₂, 1 % Ar, 1 % CH₄, 0,5 % H₂, 0,1 % CO (mol-%); Belege DIN EN 18397, ISO 27913, Porthos-Grenzwerte, DVGW C 260.</t>
        </is>
      </c>
      <c r="D18" s="78" t="inlineStr">
        <is>
          <t>Zusammensetzung des Gemischs (Blatt „Gemisch &amp; Grenzen“)</t>
        </is>
      </c>
    </row>
    <row r="19" ht="45" customHeight="1" s="72">
      <c r="B19" s="76" t="inlineStr">
        <is>
          <t>Doku</t>
        </is>
      </c>
      <c r="C19" s="78" t="inlineStr">
        <is>
          <t>Dokumentation_Stoffmodelle_Validierung.docx (eigene Arbeit): Gleichungen, Modellvergleich mit thermopack (GERG-2008, Peng-Robinson, SRK), Unsicherheit der Phasengrenze.</t>
        </is>
      </c>
      <c r="D19" s="78" t="inlineStr">
        <is>
          <t>Unsicherheit der Phasengrenze ±3 bar; Validierung der Stoffwerte</t>
        </is>
      </c>
    </row>
    <row r="20" ht="45" customHeight="1" s="72">
      <c r="B20" s="76" t="inlineStr">
        <is>
          <t>Q-017</t>
        </is>
      </c>
      <c r="C20" s="78" t="inlineStr">
        <is>
          <t>Wloka, M. (2010): Untersuchung der notwendigen Anlagentechnik zur Verdichtung und Speicherung von CO₂. Diplomarbeit, TFH Georg Agricola Bochum (Beispiel Kingsnorth).</t>
        </is>
      </c>
      <c r="D20" s="78" t="inlineStr">
        <is>
          <t>S. 37 (Tab. 3): Soll-Kühltemperatur CO₂ 40 °C und Z_min 0,7 → Zwischenkühler 40 °C; S. 44: „Als Grenzwert des Z-Faktors wird durch verschiedenste Hersteller 0,7 angegeben“ → Zwischendruck 55 bar; S. 61: Siemens-Konzept Eingangstemperatur 40 °C</t>
        </is>
      </c>
    </row>
    <row r="21" ht="45" customHeight="1" s="72">
      <c r="B21" s="76" t="inlineStr">
        <is>
          <t>Q-120</t>
        </is>
      </c>
      <c r="C21" s="78" t="inlineStr">
        <is>
          <t>Adams, R. (Sulzer Pumps); Miller, H. (Dresser-Rand) (2011): Pumping &amp; Compression of CO₂ – A Tutorial. Turbomachinery &amp; Pump Symposia, Texas A&amp;M University (OAKTrust). Jahr prüfen.</t>
        </is>
      </c>
      <c r="D21" s="78" t="inlineStr">
        <is>
          <t>Folie 24: CO₂ nach dem Kühler selten kälter als Kühlmittel + 6 K → Kühlwasser 20 °C ergibt 26 °C; Folie 32: für Pumpen auf 27–32 °C oder kälter kühlen</t>
        </is>
      </c>
    </row>
    <row r="22" ht="45" customHeight="1" s="72">
      <c r="B22" s="76" t="inlineStr">
        <is>
          <t>Q-121</t>
        </is>
      </c>
      <c r="C22" s="78" t="inlineStr">
        <is>
          <t>Bergamini, L.; del Vescovo, C.; Milone, F. (GE Oil &amp; Gas) (2011): Centrifugal Pumps for CO₂ Applications. Proc. 27th International Pump Users Symposium, Houston, 12.–15.09.2011, S. 1–5.</t>
        </is>
      </c>
      <c r="D22" s="78" t="inlineStr">
        <is>
          <t>S. 2: Mindestdichte am Pumpeneintritt 400–500 kg/m³ → ρ_min = 500 kg/m³; S. 3: Wirkungsgrad sinkt mit steigender Saugtemperatur</t>
        </is>
      </c>
    </row>
    <row r="23" ht="45" customHeight="1" s="72">
      <c r="B23" s="76" t="inlineStr">
        <is>
          <t>Doku S2</t>
        </is>
      </c>
      <c r="C23" s="78" t="inlineStr">
        <is>
          <t>Dokumentation_S2_Gemisch.docx (eigene Arbeit): Vergleich der Wege A–E durchs Phasendiagramm, Anforderungen an Pumpe und Verdichter.</t>
        </is>
      </c>
      <c r="D23" s="78" t="inlineStr">
        <is>
          <t>Wahl des S2-Wegs (Blatt „Einspeicherung S2“)</t>
        </is>
      </c>
    </row>
    <row r="24" ht="45" customHeight="1" s="72">
      <c r="B24" s="76" t="inlineStr">
        <is>
          <t>Siemens</t>
        </is>
      </c>
      <c r="C24" s="78" t="inlineStr">
        <is>
          <t>Siemens Energy (Duisburg): E-Mail-Auskunft zur Auslegung von CO₂-Verdichtern, 08/2026 (persönliche Mitteilung).</t>
        </is>
      </c>
      <c r="D24" s="78" t="inlineStr">
        <is>
          <t>Z_min = 0,65 (Blatt „Übersicht“): „Damit die Berechnung der Laufräder in unseren Berechnungsprogrammen zuverlässig ausgeführt wird, bleiben wir bei einem Z-Wert von &gt; 0,65.“ Gilt nur für Verdichter, nicht für die Pumpe.</t>
        </is>
      </c>
    </row>
    <row r="25" ht="45" customHeight="1" s="72">
      <c r="B25" s="76" t="inlineStr">
        <is>
          <t>Q-003</t>
        </is>
      </c>
      <c r="C25" s="78" t="inlineStr">
        <is>
          <t>IfG Institut für Gebirgsmechanik; UGS GmbH; CTU Prag (2022): Energiespeicherung in Salzkavernen mit superkritischem CO₂ – ESsCO₂. Abschlussbericht, FKZ 03ET6154.</t>
        </is>
      </c>
      <c r="D25" s="78" t="inlineStr">
        <is>
          <t>Kap. 6.2: Rohrreibungszahl (Darcy) 0,015–0,017 für neues Stahlrohr → f = 0,016 im Förderstrang (Zieldruck im Betrieb)</t>
        </is>
      </c>
    </row>
    <row r="26" ht="45" customHeight="1" s="72">
      <c r="B26" s="76" t="inlineStr">
        <is>
          <t>Q-063</t>
        </is>
      </c>
      <c r="C26" s="78" t="inlineStr">
        <is>
          <t>E.ON UK / DECC (ca. 2011): Kingsnorth Carbon Dioxide Capture and Storage Demonstration Project – Key Knowledge Reference Book.</t>
        </is>
      </c>
      <c r="D26" s="78" t="inlineStr">
        <is>
          <t>Kap. 5.1 (PDF-S. 22): CO₂ „no more than about 40 °C“, Kühlung zwischen und nach den Verdichterstufen → T_ZK = 40 °C; Kap. 6 (PDF-S. 33): dichte Phase über 40 °C möglicherweise instabil</t>
        </is>
      </c>
    </row>
    <row r="27" ht="45" customHeight="1" s="72">
      <c r="B27" s="76" t="inlineStr">
        <is>
          <t>Vosbeck</t>
        </is>
      </c>
      <c r="C27" s="78" t="inlineStr">
        <is>
          <t>Besprechung mit Katrin Vosbeck (Uniper, Kavernen), 15.10.2026 (Notizen S. Maxara, Journal).</t>
        </is>
      </c>
      <c r="D27" s="78" t="inlineStr">
        <is>
          <t>nur tiefe Kaverne; Förderstrang adiabat; Zieldruck im Betrieb (Regelung über den Kopfdruck); zwei Kühler mit verschiedenem Zweck; Volumenströme über einen Massenstrom verknüpfen</t>
        </is>
      </c>
    </row>
  </sheetData>
  <hyperlinks>
    <hyperlink ref="B3" location="'Übersicht'!A1" display="← zur Übersicht"/>
  </hyperlinks>
  <pageMargins left="0.4" right="0.4" top="0.5" bottom="0.5" header="0.3" footer="0.3"/>
  <pageSetup orientation="landscape" paperSize="9" fitToHeight="0"/>
</worksheet>
</file>

<file path=xl/worksheets/sheet12.xml><?xml version="1.0" encoding="utf-8"?>
<worksheet xmlns="http://schemas.openxmlformats.org/spreadsheetml/2006/main">
  <sheetPr>
    <tabColor rgb="FFD9D9D9"/>
    <outlinePr summaryBelow="1" summaryRight="1"/>
    <pageSetUpPr fitToPage="1"/>
  </sheetPr>
  <dimension ref="A1:R402"/>
  <sheetViews>
    <sheetView showGridLines="0" tabSelected="0" workbookViewId="0">
      <selection activeCell="N8" sqref="N8:N402"/>
    </sheetView>
  </sheetViews>
  <sheetFormatPr baseColWidth="10" defaultColWidth="9.140625" defaultRowHeight="15"/>
  <cols>
    <col width="2.7109375" customWidth="1" style="72" min="1" max="1"/>
    <col width="12.7109375" customWidth="1" style="72" min="2" max="8"/>
    <col width="34.7109375" customWidth="1" style="72" min="9" max="9"/>
    <col width="12.7109375" customWidth="1" style="72" min="10" max="12"/>
  </cols>
  <sheetData>
    <row r="1" ht="30" customHeight="1" s="72">
      <c r="B1" s="1" t="inlineStr">
        <is>
          <t>Diagrammdaten – Hilfstabellen (nicht ändern)</t>
        </is>
      </c>
    </row>
    <row r="2">
      <c r="B2" s="2" t="inlineStr">
        <is>
          <t>Grundlage für das Phasendiagramm. Farbflächen: gestapelte Druckbereiche je Temperatur (Gemisch: gasförmig bis Taulinie, zweiphasig bis Blasenlinie, darüber flüssig; oberhalb des kritischen Punkts des Gemischs überkritisch; fest als Näherung reines CO₂). Linien: Punkte mit T, p und Position im Diagramm.</t>
        </is>
      </c>
    </row>
    <row r="3">
      <c r="B3" s="71" t="inlineStr">
        <is>
          <t>← zur Übersicht</t>
        </is>
      </c>
    </row>
    <row r="4">
      <c r="B4" s="78" t="inlineStr">
        <is>
          <t>T_min [°C]</t>
        </is>
      </c>
      <c r="C4" s="6" t="n">
        <v>-80</v>
      </c>
      <c r="D4" s="74" t="inlineStr">
        <is>
          <t>Position im Diagramm = (T − T_min) / Schritt + 1  (die Farbflächen haben eine Kategorie je 0,5 K)</t>
        </is>
      </c>
    </row>
    <row r="5">
      <c r="B5" s="78" t="inlineStr">
        <is>
          <t>Schritt [K]</t>
        </is>
      </c>
      <c r="C5" s="6" t="n">
        <v>0.5</v>
      </c>
    </row>
    <row r="6">
      <c r="B6" t="inlineStr">
        <is>
          <t>T_min Zoom S1/S2 [°C]</t>
        </is>
      </c>
      <c r="C6" t="n">
        <v>-20</v>
      </c>
      <c r="E6" t="inlineStr">
        <is>
          <t>T_min Zoom Alternativen [°C]</t>
        </is>
      </c>
      <c r="F6" t="n">
        <v>-60</v>
      </c>
      <c r="M6" s="54" t="inlineStr">
        <is>
          <t>#NV in M/N = Punkt liegt links vom Zoom-Ausschnitt (gewollt: Excel lässt ihn im Diagramm aus)</t>
        </is>
      </c>
      <c r="P6" t="inlineStr">
        <is>
          <t>reines CO₂ (Blatt „Gemisch &amp; Grenzen“):</t>
        </is>
      </c>
    </row>
    <row r="7" ht="51" customHeight="1" s="72">
      <c r="B7" s="75" t="inlineStr">
        <is>
          <t>T [°C]</t>
        </is>
      </c>
      <c r="C7" s="75" t="inlineStr">
        <is>
          <t>Achsenbeschriftung</t>
        </is>
      </c>
      <c r="D7" s="75" t="inlineStr">
        <is>
          <t>gasförmig [bar]</t>
        </is>
      </c>
      <c r="E7" s="75" t="inlineStr">
        <is>
          <t>flüssig [bar]</t>
        </is>
      </c>
      <c r="F7" s="75" t="inlineStr">
        <is>
          <t>überkritisch [bar]</t>
        </is>
      </c>
      <c r="G7" s="75" t="inlineStr">
        <is>
          <t>fest [bar]</t>
        </is>
      </c>
      <c r="H7" s="75" t="inlineStr">
        <is>
          <t>zweiphasig [bar]</t>
        </is>
      </c>
      <c r="I7" s="75" t="inlineStr">
        <is>
          <t>Linie / Punkt</t>
        </is>
      </c>
      <c r="J7" s="75" t="inlineStr">
        <is>
          <t>T [°C]</t>
        </is>
      </c>
      <c r="K7" s="75" t="inlineStr">
        <is>
          <t>p [bar]</t>
        </is>
      </c>
      <c r="L7" s="75" t="inlineStr">
        <is>
          <t>Position</t>
        </is>
      </c>
      <c r="M7" s="75" t="inlineStr">
        <is>
          <t>Position Zoom S1/S2</t>
        </is>
      </c>
      <c r="N7" s="75" t="inlineStr">
        <is>
          <t>Position Zoom Alternativen</t>
        </is>
      </c>
      <c r="P7" s="75" t="inlineStr">
        <is>
          <t>gasförmig [bar]</t>
        </is>
      </c>
      <c r="Q7" s="75" t="inlineStr">
        <is>
          <t>flüssig [bar]</t>
        </is>
      </c>
      <c r="R7" s="75" t="inlineStr">
        <is>
          <t>überkritisch [bar]</t>
        </is>
      </c>
    </row>
    <row r="8">
      <c r="B8" t="n">
        <v>-80</v>
      </c>
      <c r="C8">
        <f>IF(MOD(B8,20)=0,TEXT(B8,"0"),"")</f>
        <v/>
      </c>
      <c r="D8" t="n">
        <v>0.8924156797180202</v>
      </c>
      <c r="E8" t="n">
        <v>0</v>
      </c>
      <c r="F8" t="n">
        <v>0</v>
      </c>
      <c r="G8" t="n">
        <v>249.107584320282</v>
      </c>
      <c r="H8" t="n">
        <v>0</v>
      </c>
      <c r="I8" s="76" t="inlineStr">
        <is>
          <t>Phasengrenze Gemisch (Tau-/Blasenlinie)</t>
        </is>
      </c>
      <c r="J8" t="n">
        <v>-56.55799999999996</v>
      </c>
      <c r="K8" t="n">
        <v>5.478005125992963</v>
      </c>
      <c r="L8">
        <f>(J8-Diagramm_Tmin)/Diagramm_dT+1</f>
        <v/>
      </c>
      <c r="M8">
        <f>IF(J8="","",IF(J8&lt;Zoom_Tmin,NA(),(J8-Zoom_Tmin)/Diagramm_dT+1))</f>
        <v/>
      </c>
      <c r="N8">
        <f>IF(J8="","",IF(J8&lt;Zoom2_Tmin,NA(),(J8-Zoom2_Tmin)/Diagramm_dT+1))</f>
        <v/>
      </c>
      <c r="P8" t="n">
        <v>0.8924156797180203</v>
      </c>
      <c r="Q8" t="n">
        <v>0</v>
      </c>
      <c r="R8" t="n">
        <v>0</v>
      </c>
    </row>
    <row r="9">
      <c r="B9" t="n">
        <v>-79.5</v>
      </c>
      <c r="C9">
        <f>IF(MOD(B9,20)=0,TEXT(B9,"0"),"")</f>
        <v/>
      </c>
      <c r="D9" t="n">
        <v>0.930297974030403</v>
      </c>
      <c r="E9" t="n">
        <v>0</v>
      </c>
      <c r="F9" t="n">
        <v>0</v>
      </c>
      <c r="G9" t="n">
        <v>249.0697020259696</v>
      </c>
      <c r="H9" t="n">
        <v>0</v>
      </c>
      <c r="J9" t="n">
        <v>-53.50197328612838</v>
      </c>
      <c r="K9" t="n">
        <v>6.246528366430996</v>
      </c>
      <c r="L9">
        <f>(J9-Diagramm_Tmin)/Diagramm_dT+1</f>
        <v/>
      </c>
      <c r="M9">
        <f>IF(J9="","",IF(J9&lt;Zoom_Tmin,NA(),(J9-Zoom_Tmin)/Diagramm_dT+1))</f>
        <v/>
      </c>
      <c r="N9">
        <f>IF(J9="","",IF(J9&lt;Zoom2_Tmin,NA(),(J9-Zoom2_Tmin)/Diagramm_dT+1))</f>
        <v/>
      </c>
      <c r="P9" t="n">
        <v>0.930297974030403</v>
      </c>
      <c r="Q9" t="n">
        <v>0</v>
      </c>
      <c r="R9" t="n">
        <v>0</v>
      </c>
    </row>
    <row r="10">
      <c r="B10" t="n">
        <v>-79</v>
      </c>
      <c r="C10">
        <f>IF(MOD(B10,20)=0,TEXT(B10,"0"),"")</f>
        <v/>
      </c>
      <c r="D10" t="n">
        <v>0.9695883738102294</v>
      </c>
      <c r="E10" t="n">
        <v>0</v>
      </c>
      <c r="F10" t="n">
        <v>0</v>
      </c>
      <c r="G10" t="n">
        <v>249.0304116261898</v>
      </c>
      <c r="H10" t="n">
        <v>0</v>
      </c>
      <c r="J10" t="n">
        <v>-50.4459465722568</v>
      </c>
      <c r="K10" t="n">
        <v>7.094026716138905</v>
      </c>
      <c r="L10">
        <f>(J10-Diagramm_Tmin)/Diagramm_dT+1</f>
        <v/>
      </c>
      <c r="M10">
        <f>IF(J10="","",IF(J10&lt;Zoom_Tmin,NA(),(J10-Zoom_Tmin)/Diagramm_dT+1))</f>
        <v/>
      </c>
      <c r="N10">
        <f>IF(J10="","",IF(J10&lt;Zoom2_Tmin,NA(),(J10-Zoom2_Tmin)/Diagramm_dT+1))</f>
        <v/>
      </c>
      <c r="P10" t="n">
        <v>0.9695883738102294</v>
      </c>
      <c r="Q10" t="n">
        <v>0</v>
      </c>
      <c r="R10" t="n">
        <v>0</v>
      </c>
    </row>
    <row r="11">
      <c r="B11" t="n">
        <v>-78.5</v>
      </c>
      <c r="C11">
        <f>IF(MOD(B11,20)=0,TEXT(B11,"0"),"")</f>
        <v/>
      </c>
      <c r="D11" t="n">
        <v>1.010331934508877</v>
      </c>
      <c r="E11" t="n">
        <v>0</v>
      </c>
      <c r="F11" t="n">
        <v>0</v>
      </c>
      <c r="G11" t="n">
        <v>248.9896680654911</v>
      </c>
      <c r="H11" t="n">
        <v>0</v>
      </c>
      <c r="J11" t="n">
        <v>-47.38991985838522</v>
      </c>
      <c r="K11" t="n">
        <v>8.025557941262479</v>
      </c>
      <c r="L11">
        <f>(J11-Diagramm_Tmin)/Diagramm_dT+1</f>
        <v/>
      </c>
      <c r="M11">
        <f>IF(J11="","",IF(J11&lt;Zoom_Tmin,NA(),(J11-Zoom_Tmin)/Diagramm_dT+1))</f>
        <v/>
      </c>
      <c r="N11">
        <f>IF(J11="","",IF(J11&lt;Zoom2_Tmin,NA(),(J11-Zoom2_Tmin)/Diagramm_dT+1))</f>
        <v/>
      </c>
      <c r="P11" t="n">
        <v>1.010331934508877</v>
      </c>
      <c r="Q11" t="n">
        <v>0</v>
      </c>
      <c r="R11" t="n">
        <v>0</v>
      </c>
    </row>
    <row r="12">
      <c r="B12" t="n">
        <v>-78</v>
      </c>
      <c r="C12">
        <f>IF(MOD(B12,20)=0,TEXT(B12,"0"),"")</f>
        <v/>
      </c>
      <c r="D12" t="n">
        <v>1.052574939782621</v>
      </c>
      <c r="E12" t="n">
        <v>0</v>
      </c>
      <c r="F12" t="n">
        <v>0</v>
      </c>
      <c r="G12" t="n">
        <v>248.9474250602174</v>
      </c>
      <c r="H12" t="n">
        <v>0</v>
      </c>
      <c r="J12" t="n">
        <v>-44.33389314451364</v>
      </c>
      <c r="K12" t="n">
        <v>9.046304980626127</v>
      </c>
      <c r="L12">
        <f>(J12-Diagramm_Tmin)/Diagramm_dT+1</f>
        <v/>
      </c>
      <c r="M12">
        <f>IF(J12="","",IF(J12&lt;Zoom_Tmin,NA(),(J12-Zoom_Tmin)/Diagramm_dT+1))</f>
        <v/>
      </c>
      <c r="N12">
        <f>IF(J12="","",IF(J12&lt;Zoom2_Tmin,NA(),(J12-Zoom2_Tmin)/Diagramm_dT+1))</f>
        <v/>
      </c>
      <c r="P12" t="n">
        <v>1.052574939782621</v>
      </c>
      <c r="Q12" t="n">
        <v>0</v>
      </c>
      <c r="R12" t="n">
        <v>0</v>
      </c>
    </row>
    <row r="13">
      <c r="B13" t="n">
        <v>-77.5</v>
      </c>
      <c r="C13">
        <f>IF(MOD(B13,20)=0,TEXT(B13,"0"),"")</f>
        <v/>
      </c>
      <c r="D13" t="n">
        <v>1.09636493085534</v>
      </c>
      <c r="E13" t="n">
        <v>0</v>
      </c>
      <c r="F13" t="n">
        <v>0</v>
      </c>
      <c r="G13" t="n">
        <v>248.9036350691447</v>
      </c>
      <c r="H13" t="n">
        <v>0</v>
      </c>
      <c r="J13" t="n">
        <v>-41.27786643064206</v>
      </c>
      <c r="K13" t="n">
        <v>10.1615802602279</v>
      </c>
      <c r="L13">
        <f>(J13-Diagramm_Tmin)/Diagramm_dT+1</f>
        <v/>
      </c>
      <c r="M13">
        <f>IF(J13="","",IF(J13&lt;Zoom_Tmin,NA(),(J13-Zoom_Tmin)/Diagramm_dT+1))</f>
        <v/>
      </c>
      <c r="N13">
        <f>IF(J13="","",IF(J13&lt;Zoom2_Tmin,NA(),(J13-Zoom2_Tmin)/Diagramm_dT+1))</f>
        <v/>
      </c>
      <c r="P13" t="n">
        <v>1.09636493085534</v>
      </c>
      <c r="Q13" t="n">
        <v>0</v>
      </c>
      <c r="R13" t="n">
        <v>0</v>
      </c>
    </row>
    <row r="14">
      <c r="B14" t="n">
        <v>-77</v>
      </c>
      <c r="C14">
        <f>IF(MOD(B14,20)=0,TEXT(B14,"0"),"")</f>
        <v/>
      </c>
      <c r="D14" t="n">
        <v>1.141750736603187</v>
      </c>
      <c r="E14" t="n">
        <v>0</v>
      </c>
      <c r="F14" t="n">
        <v>0</v>
      </c>
      <c r="G14" t="n">
        <v>248.8582492633968</v>
      </c>
      <c r="H14" t="n">
        <v>0</v>
      </c>
      <c r="J14" t="n">
        <v>-38.22183971677048</v>
      </c>
      <c r="K14" t="n">
        <v>11.37683249455418</v>
      </c>
      <c r="L14">
        <f>(J14-Diagramm_Tmin)/Diagramm_dT+1</f>
        <v/>
      </c>
      <c r="M14">
        <f>IF(J14="","",IF(J14&lt;Zoom_Tmin,NA(),(J14-Zoom_Tmin)/Diagramm_dT+1))</f>
        <v/>
      </c>
      <c r="N14">
        <f>IF(J14="","",IF(J14&lt;Zoom2_Tmin,NA(),(J14-Zoom2_Tmin)/Diagramm_dT+1))</f>
        <v/>
      </c>
      <c r="P14" t="n">
        <v>1.141750736603187</v>
      </c>
      <c r="Q14" t="n">
        <v>0</v>
      </c>
      <c r="R14" t="n">
        <v>0</v>
      </c>
    </row>
    <row r="15">
      <c r="B15" t="n">
        <v>-76.5</v>
      </c>
      <c r="C15">
        <f>IF(MOD(B15,20)=0,TEXT(B15,"0"),"")</f>
        <v/>
      </c>
      <c r="D15" t="n">
        <v>1.188782504386319</v>
      </c>
      <c r="E15" t="n">
        <v>0</v>
      </c>
      <c r="F15" t="n">
        <v>0</v>
      </c>
      <c r="G15" t="n">
        <v>248.8112174956137</v>
      </c>
      <c r="H15" t="n">
        <v>0</v>
      </c>
      <c r="J15" t="n">
        <v>-35.16581300289889</v>
      </c>
      <c r="K15" t="n">
        <v>12.6976562361431</v>
      </c>
      <c r="L15">
        <f>(J15-Diagramm_Tmin)/Diagramm_dT+1</f>
        <v/>
      </c>
      <c r="M15">
        <f>IF(J15="","",IF(J15&lt;Zoom_Tmin,NA(),(J15-Zoom_Tmin)/Diagramm_dT+1))</f>
        <v/>
      </c>
      <c r="N15">
        <f>IF(J15="","",IF(J15&lt;Zoom2_Tmin,NA(),(J15-Zoom2_Tmin)/Diagramm_dT+1))</f>
        <v/>
      </c>
      <c r="P15" t="n">
        <v>1.188782504386319</v>
      </c>
      <c r="Q15" t="n">
        <v>0</v>
      </c>
      <c r="R15" t="n">
        <v>0</v>
      </c>
    </row>
    <row r="16">
      <c r="B16" t="n">
        <v>-76</v>
      </c>
      <c r="C16">
        <f>IF(MOD(B16,20)=0,TEXT(B16,"0"),"")</f>
        <v/>
      </c>
      <c r="D16" t="n">
        <v>1.237511731654243</v>
      </c>
      <c r="E16" t="n">
        <v>0</v>
      </c>
      <c r="F16" t="n">
        <v>0</v>
      </c>
      <c r="G16" t="n">
        <v>248.7624882683457</v>
      </c>
      <c r="H16" t="n">
        <v>0</v>
      </c>
      <c r="J16" t="n">
        <v>-32.10978628902731</v>
      </c>
      <c r="K16" t="n">
        <v>14.12980465607959</v>
      </c>
      <c r="L16">
        <f>(J16-Diagramm_Tmin)/Diagramm_dT+1</f>
        <v/>
      </c>
      <c r="M16">
        <f>IF(J16="","",IF(J16&lt;Zoom_Tmin,NA(),(J16-Zoom_Tmin)/Diagramm_dT+1))</f>
        <v/>
      </c>
      <c r="N16">
        <f>IF(J16="","",IF(J16&lt;Zoom2_Tmin,NA(),(J16-Zoom2_Tmin)/Diagramm_dT+1))</f>
        <v/>
      </c>
      <c r="P16" t="n">
        <v>1.237511731654243</v>
      </c>
      <c r="Q16" t="n">
        <v>0</v>
      </c>
      <c r="R16" t="n">
        <v>0</v>
      </c>
    </row>
    <row r="17">
      <c r="B17" t="n">
        <v>-75.5</v>
      </c>
      <c r="C17">
        <f>IF(MOD(B17,20)=0,TEXT(B17,"0"),"")</f>
        <v/>
      </c>
      <c r="D17" t="n">
        <v>1.287991298352875</v>
      </c>
      <c r="E17" t="n">
        <v>0</v>
      </c>
      <c r="F17" t="n">
        <v>0</v>
      </c>
      <c r="G17" t="n">
        <v>248.7120087016471</v>
      </c>
      <c r="H17" t="n">
        <v>0</v>
      </c>
      <c r="J17" t="n">
        <v>-29.05375957515573</v>
      </c>
      <c r="K17" t="n">
        <v>15.67923451447156</v>
      </c>
      <c r="L17">
        <f>(J17-Diagramm_Tmin)/Diagramm_dT+1</f>
        <v/>
      </c>
      <c r="M17">
        <f>IF(J17="","",IF(J17&lt;Zoom_Tmin,NA(),(J17-Zoom_Tmin)/Diagramm_dT+1))</f>
        <v/>
      </c>
      <c r="N17">
        <f>IF(J17="","",IF(J17&lt;Zoom2_Tmin,NA(),(J17-Zoom2_Tmin)/Diagramm_dT+1))</f>
        <v/>
      </c>
      <c r="P17" t="n">
        <v>1.287991298352875</v>
      </c>
      <c r="Q17" t="n">
        <v>0</v>
      </c>
      <c r="R17" t="n">
        <v>0</v>
      </c>
    </row>
    <row r="18">
      <c r="B18" t="n">
        <v>-75</v>
      </c>
      <c r="C18">
        <f>IF(MOD(B18,20)=0,TEXT(B18,"0"),"")</f>
        <v/>
      </c>
      <c r="D18" t="n">
        <v>1.340275500163288</v>
      </c>
      <c r="E18" t="n">
        <v>0</v>
      </c>
      <c r="F18" t="n">
        <v>0</v>
      </c>
      <c r="G18" t="n">
        <v>248.6597244998367</v>
      </c>
      <c r="H18" t="n">
        <v>0</v>
      </c>
      <c r="J18" t="n">
        <v>-25.99773286128415</v>
      </c>
      <c r="K18" t="n">
        <v>17.35240696832737</v>
      </c>
      <c r="L18">
        <f>(J18-Diagramm_Tmin)/Diagramm_dT+1</f>
        <v/>
      </c>
      <c r="M18">
        <f>IF(J18="","",IF(J18&lt;Zoom_Tmin,NA(),(J18-Zoom_Tmin)/Diagramm_dT+1))</f>
        <v/>
      </c>
      <c r="N18">
        <f>IF(J18="","",IF(J18&lt;Zoom2_Tmin,NA(),(J18-Zoom2_Tmin)/Diagramm_dT+1))</f>
        <v/>
      </c>
      <c r="P18" t="n">
        <v>1.340275500163288</v>
      </c>
      <c r="Q18" t="n">
        <v>0</v>
      </c>
      <c r="R18" t="n">
        <v>0</v>
      </c>
    </row>
    <row r="19">
      <c r="B19" t="n">
        <v>-74.5</v>
      </c>
      <c r="C19">
        <f>IF(MOD(B19,20)=0,TEXT(B19,"0"),"")</f>
        <v/>
      </c>
      <c r="D19" t="n">
        <v>1.394420082603974</v>
      </c>
      <c r="E19" t="n">
        <v>0</v>
      </c>
      <c r="F19" t="n">
        <v>0</v>
      </c>
      <c r="G19" t="n">
        <v>248.605579917396</v>
      </c>
      <c r="H19" t="n">
        <v>0</v>
      </c>
      <c r="J19" t="n">
        <v>-22.94170614741256</v>
      </c>
      <c r="K19" t="n">
        <v>19.15535370852786</v>
      </c>
      <c r="L19">
        <f>(J19-Diagramm_Tmin)/Diagramm_dT+1</f>
        <v/>
      </c>
      <c r="M19">
        <f>IF(J19="","",IF(J19&lt;Zoom_Tmin,NA(),(J19-Zoom_Tmin)/Diagramm_dT+1))</f>
        <v/>
      </c>
      <c r="N19">
        <f>IF(J19="","",IF(J19&lt;Zoom2_Tmin,NA(),(J19-Zoom2_Tmin)/Diagramm_dT+1))</f>
        <v/>
      </c>
      <c r="P19" t="n">
        <v>1.394420082603974</v>
      </c>
      <c r="Q19" t="n">
        <v>0</v>
      </c>
      <c r="R19" t="n">
        <v>0</v>
      </c>
    </row>
    <row r="20">
      <c r="B20" t="n">
        <v>-74</v>
      </c>
      <c r="C20">
        <f>IF(MOD(B20,20)=0,TEXT(B20,"0"),"")</f>
        <v/>
      </c>
      <c r="D20" t="n">
        <v>1.450482276030703</v>
      </c>
      <c r="E20" t="n">
        <v>0</v>
      </c>
      <c r="F20" t="n">
        <v>0</v>
      </c>
      <c r="G20" t="n">
        <v>248.5495177239693</v>
      </c>
      <c r="H20" t="n">
        <v>0</v>
      </c>
      <c r="J20" t="n">
        <v>-19.88567943354098</v>
      </c>
      <c r="K20" t="n">
        <v>21.09469987572158</v>
      </c>
      <c r="L20">
        <f>(J20-Diagramm_Tmin)/Diagramm_dT+1</f>
        <v/>
      </c>
      <c r="M20">
        <f>IF(J20="","",IF(J20&lt;Zoom_Tmin,NA(),(J20-Zoom_Tmin)/Diagramm_dT+1))</f>
        <v/>
      </c>
      <c r="N20">
        <f>IF(J20="","",IF(J20&lt;Zoom2_Tmin,NA(),(J20-Zoom2_Tmin)/Diagramm_dT+1))</f>
        <v/>
      </c>
      <c r="P20" t="n">
        <v>1.450482276030703</v>
      </c>
      <c r="Q20" t="n">
        <v>0</v>
      </c>
      <c r="R20" t="n">
        <v>0</v>
      </c>
    </row>
    <row r="21">
      <c r="B21" t="n">
        <v>-73.5</v>
      </c>
      <c r="C21">
        <f>IF(MOD(B21,20)=0,TEXT(B21,"0"),"")</f>
        <v/>
      </c>
      <c r="D21" t="n">
        <v>1.508520831570455</v>
      </c>
      <c r="E21" t="n">
        <v>0</v>
      </c>
      <c r="F21" t="n">
        <v>0</v>
      </c>
      <c r="G21" t="n">
        <v>248.4914791684295</v>
      </c>
      <c r="H21" t="n">
        <v>0</v>
      </c>
      <c r="J21" t="n">
        <v>-16.8296527196694</v>
      </c>
      <c r="K21" t="n">
        <v>23.1773901306104</v>
      </c>
      <c r="L21">
        <f>(J21-Diagramm_Tmin)/Diagramm_dT+1</f>
        <v/>
      </c>
      <c r="M21">
        <f>IF(J21="","",IF(J21&lt;Zoom_Tmin,NA(),(J21-Zoom_Tmin)/Diagramm_dT+1))</f>
        <v/>
      </c>
      <c r="N21">
        <f>IF(J21="","",IF(J21&lt;Zoom2_Tmin,NA(),(J21-Zoom2_Tmin)/Diagramm_dT+1))</f>
        <v/>
      </c>
      <c r="P21" t="n">
        <v>1.508520831570455</v>
      </c>
      <c r="Q21" t="n">
        <v>0</v>
      </c>
      <c r="R21" t="n">
        <v>0</v>
      </c>
    </row>
    <row r="22">
      <c r="B22" t="n">
        <v>-73</v>
      </c>
      <c r="C22">
        <f>IF(MOD(B22,20)=0,TEXT(B22,"0"),"")</f>
        <v/>
      </c>
      <c r="D22" t="n">
        <v>1.568596058028639</v>
      </c>
      <c r="E22" t="n">
        <v>0</v>
      </c>
      <c r="F22" t="n">
        <v>0</v>
      </c>
      <c r="G22" t="n">
        <v>248.4314039419714</v>
      </c>
      <c r="H22" t="n">
        <v>0</v>
      </c>
      <c r="J22" t="n">
        <v>-13.77362600579782</v>
      </c>
      <c r="K22" t="n">
        <v>25.41075592285367</v>
      </c>
      <c r="L22">
        <f>(J22-Diagramm_Tmin)/Diagramm_dT+1</f>
        <v/>
      </c>
      <c r="M22">
        <f>IF(J22="","",IF(J22&lt;Zoom_Tmin,NA(),(J22-Zoom_Tmin)/Diagramm_dT+1))</f>
        <v/>
      </c>
      <c r="N22">
        <f>IF(J22="","",IF(J22&lt;Zoom2_Tmin,NA(),(J22-Zoom2_Tmin)/Diagramm_dT+1))</f>
        <v/>
      </c>
      <c r="P22" t="n">
        <v>1.568596058028639</v>
      </c>
      <c r="Q22" t="n">
        <v>0</v>
      </c>
      <c r="R22" t="n">
        <v>0</v>
      </c>
    </row>
    <row r="23">
      <c r="B23" t="n">
        <v>-72.5</v>
      </c>
      <c r="C23">
        <f>IF(MOD(B23,20)=0,TEXT(B23,"0"),"")</f>
        <v/>
      </c>
      <c r="D23" t="n">
        <v>1.630769859811924</v>
      </c>
      <c r="E23" t="n">
        <v>0</v>
      </c>
      <c r="F23" t="n">
        <v>0</v>
      </c>
      <c r="G23" t="n">
        <v>248.3692301401881</v>
      </c>
      <c r="H23" t="n">
        <v>0</v>
      </c>
      <c r="J23" t="n">
        <v>-10.71759929192623</v>
      </c>
      <c r="K23" t="n">
        <v>27.80260400330453</v>
      </c>
      <c r="L23">
        <f>(J23-Diagramm_Tmin)/Diagramm_dT+1</f>
        <v/>
      </c>
      <c r="M23">
        <f>IF(J23="","",IF(J23&lt;Zoom_Tmin,NA(),(J23-Zoom_Tmin)/Diagramm_dT+1))</f>
        <v/>
      </c>
      <c r="N23">
        <f>IF(J23="","",IF(J23&lt;Zoom2_Tmin,NA(),(J23-Zoom2_Tmin)/Diagramm_dT+1))</f>
        <v/>
      </c>
      <c r="P23" t="n">
        <v>1.630769859811924</v>
      </c>
      <c r="Q23" t="n">
        <v>0</v>
      </c>
      <c r="R23" t="n">
        <v>0</v>
      </c>
    </row>
    <row r="24">
      <c r="B24" t="n">
        <v>-72</v>
      </c>
      <c r="C24">
        <f>IF(MOD(B24,20)=0,TEXT(B24,"0"),"")</f>
        <v/>
      </c>
      <c r="D24" t="n">
        <v>1.695105775912498</v>
      </c>
      <c r="E24" t="n">
        <v>0</v>
      </c>
      <c r="F24" t="n">
        <v>0</v>
      </c>
      <c r="G24" t="n">
        <v>248.3048942240875</v>
      </c>
      <c r="H24" t="n">
        <v>0</v>
      </c>
      <c r="J24" t="n">
        <v>-7.661572578054653</v>
      </c>
      <c r="K24" t="n">
        <v>30.36320599989303</v>
      </c>
      <c r="L24">
        <f>(J24-Diagramm_Tmin)/Diagramm_dT+1</f>
        <v/>
      </c>
      <c r="M24">
        <f>IF(J24="","",IF(J24&lt;Zoom_Tmin,NA(),(J24-Zoom_Tmin)/Diagramm_dT+1))</f>
        <v/>
      </c>
      <c r="N24">
        <f>IF(J24="","",IF(J24&lt;Zoom2_Tmin,NA(),(J24-Zoom2_Tmin)/Diagramm_dT+1))</f>
        <v/>
      </c>
      <c r="P24" t="n">
        <v>1.695105775912498</v>
      </c>
      <c r="Q24" t="n">
        <v>0</v>
      </c>
      <c r="R24" t="n">
        <v>0</v>
      </c>
    </row>
    <row r="25">
      <c r="B25" t="n">
        <v>-71.5</v>
      </c>
      <c r="C25">
        <f>IF(MOD(B25,20)=0,TEXT(B25,"0"),"")</f>
        <v/>
      </c>
      <c r="D25" t="n">
        <v>1.761669020003573</v>
      </c>
      <c r="E25" t="n">
        <v>0</v>
      </c>
      <c r="F25" t="n">
        <v>0</v>
      </c>
      <c r="G25" t="n">
        <v>248.2383309799964</v>
      </c>
      <c r="H25" t="n">
        <v>0</v>
      </c>
      <c r="J25" t="n">
        <v>-4.605545864183071</v>
      </c>
      <c r="K25" t="n">
        <v>33.09610182622754</v>
      </c>
      <c r="L25">
        <f>(J25-Diagramm_Tmin)/Diagramm_dT+1</f>
        <v/>
      </c>
      <c r="M25">
        <f>IF(J25="","",IF(J25&lt;Zoom_Tmin,NA(),(J25-Zoom_Tmin)/Diagramm_dT+1))</f>
        <v/>
      </c>
      <c r="N25">
        <f>IF(J25="","",IF(J25&lt;Zoom2_Tmin,NA(),(J25-Zoom2_Tmin)/Diagramm_dT+1))</f>
        <v/>
      </c>
      <c r="P25" t="n">
        <v>1.761669020003573</v>
      </c>
      <c r="Q25" t="n">
        <v>0</v>
      </c>
      <c r="R25" t="n">
        <v>0</v>
      </c>
    </row>
    <row r="26">
      <c r="B26" t="n">
        <v>-71</v>
      </c>
      <c r="C26">
        <f>IF(MOD(B26,20)=0,TEXT(B26,"0"),"")</f>
        <v/>
      </c>
      <c r="D26" t="n">
        <v>1.830526521700586</v>
      </c>
      <c r="E26" t="n">
        <v>0</v>
      </c>
      <c r="F26" t="n">
        <v>0</v>
      </c>
      <c r="G26" t="n">
        <v>248.1694734782994</v>
      </c>
      <c r="H26" t="n">
        <v>0</v>
      </c>
      <c r="J26" t="n">
        <v>-1.54951915031149</v>
      </c>
      <c r="K26" t="n">
        <v>36.01712911020712</v>
      </c>
      <c r="L26">
        <f>(J26-Diagramm_Tmin)/Diagramm_dT+1</f>
        <v/>
      </c>
      <c r="M26">
        <f>IF(J26="","",IF(J26&lt;Zoom_Tmin,NA(),(J26-Zoom_Tmin)/Diagramm_dT+1))</f>
        <v/>
      </c>
      <c r="N26">
        <f>IF(J26="","",IF(J26&lt;Zoom2_Tmin,NA(),(J26-Zoom2_Tmin)/Diagramm_dT+1))</f>
        <v/>
      </c>
      <c r="P26" t="n">
        <v>1.830526521700586</v>
      </c>
      <c r="Q26" t="n">
        <v>0</v>
      </c>
      <c r="R26" t="n">
        <v>0</v>
      </c>
    </row>
    <row r="27">
      <c r="B27" t="n">
        <v>-70.5</v>
      </c>
      <c r="C27">
        <f>IF(MOD(B27,20)=0,TEXT(B27,"0"),"")</f>
        <v/>
      </c>
      <c r="D27" t="n">
        <v>1.901746969047835</v>
      </c>
      <c r="E27" t="n">
        <v>0</v>
      </c>
      <c r="F27" t="n">
        <v>0</v>
      </c>
      <c r="G27" t="n">
        <v>248.0982530309522</v>
      </c>
      <c r="H27" t="n">
        <v>0</v>
      </c>
      <c r="J27" t="n">
        <v>1.506507563560092</v>
      </c>
      <c r="K27" t="n">
        <v>39.13631333983712</v>
      </c>
      <c r="L27">
        <f>(J27-Diagramm_Tmin)/Diagramm_dT+1</f>
        <v/>
      </c>
      <c r="M27">
        <f>IF(J27="","",IF(J27&lt;Zoom_Tmin,NA(),(J27-Zoom_Tmin)/Diagramm_dT+1))</f>
        <v/>
      </c>
      <c r="N27">
        <f>IF(J27="","",IF(J27&lt;Zoom2_Tmin,NA(),(J27-Zoom2_Tmin)/Diagramm_dT+1))</f>
        <v/>
      </c>
      <c r="P27" t="n">
        <v>1.901746969047835</v>
      </c>
      <c r="Q27" t="n">
        <v>0</v>
      </c>
      <c r="R27" t="n">
        <v>0</v>
      </c>
    </row>
    <row r="28">
      <c r="B28" t="n">
        <v>-70</v>
      </c>
      <c r="C28">
        <f>IF(MOD(B28,20)=0,TEXT(B28,"0"),"")</f>
        <v/>
      </c>
      <c r="D28" t="n">
        <v>1.975400852296597</v>
      </c>
      <c r="E28" t="n">
        <v>0</v>
      </c>
      <c r="F28" t="n">
        <v>0</v>
      </c>
      <c r="G28" t="n">
        <v>248.0245991477034</v>
      </c>
      <c r="H28" t="n">
        <v>0</v>
      </c>
      <c r="J28" t="n">
        <v>4.562534277431674</v>
      </c>
      <c r="K28" t="n">
        <v>42.46643915922298</v>
      </c>
      <c r="L28">
        <f>(J28-Diagramm_Tmin)/Diagramm_dT+1</f>
        <v/>
      </c>
      <c r="M28">
        <f>IF(J28="","",IF(J28&lt;Zoom_Tmin,NA(),(J28-Zoom_Tmin)/Diagramm_dT+1))</f>
        <v/>
      </c>
      <c r="N28">
        <f>IF(J28="","",IF(J28&lt;Zoom2_Tmin,NA(),(J28-Zoom2_Tmin)/Diagramm_dT+1))</f>
        <v/>
      </c>
      <c r="P28" t="n">
        <v>1.975400852296597</v>
      </c>
      <c r="Q28" t="n">
        <v>0</v>
      </c>
      <c r="R28" t="n">
        <v>0</v>
      </c>
    </row>
    <row r="29">
      <c r="B29" t="n">
        <v>-69.5</v>
      </c>
      <c r="C29">
        <f>IF(MOD(B29,20)=0,TEXT(B29,"0"),"")</f>
        <v/>
      </c>
      <c r="D29" t="n">
        <v>2.051560509047974</v>
      </c>
      <c r="E29" t="n">
        <v>0</v>
      </c>
      <c r="F29" t="n">
        <v>0</v>
      </c>
      <c r="G29" t="n">
        <v>247.948439490952</v>
      </c>
      <c r="H29" t="n">
        <v>0</v>
      </c>
      <c r="J29" t="n">
        <v>7.618560991303255</v>
      </c>
      <c r="K29" t="n">
        <v>46.02336053062399</v>
      </c>
      <c r="L29">
        <f>(J29-Diagramm_Tmin)/Diagramm_dT+1</f>
        <v/>
      </c>
      <c r="M29">
        <f>IF(J29="","",IF(J29&lt;Zoom_Tmin,NA(),(J29-Zoom_Tmin)/Diagramm_dT+1))</f>
        <v/>
      </c>
      <c r="N29">
        <f>IF(J29="","",IF(J29&lt;Zoom2_Tmin,NA(),(J29-Zoom2_Tmin)/Diagramm_dT+1))</f>
        <v/>
      </c>
      <c r="P29" t="n">
        <v>2.051560509047974</v>
      </c>
      <c r="Q29" t="n">
        <v>0</v>
      </c>
      <c r="R29" t="n">
        <v>0</v>
      </c>
    </row>
    <row r="30">
      <c r="B30" t="n">
        <v>-69</v>
      </c>
      <c r="C30">
        <f>IF(MOD(B30,20)=0,TEXT(B30,"0"),"")</f>
        <v/>
      </c>
      <c r="D30" t="n">
        <v>2.130300170842473</v>
      </c>
      <c r="E30" t="n">
        <v>0</v>
      </c>
      <c r="F30" t="n">
        <v>0</v>
      </c>
      <c r="G30" t="n">
        <v>247.8696998291575</v>
      </c>
      <c r="H30" t="n">
        <v>0</v>
      </c>
      <c r="J30" t="n">
        <v>10.67458770517484</v>
      </c>
      <c r="K30" t="n">
        <v>49.8265932984247</v>
      </c>
      <c r="L30">
        <f>(J30-Diagramm_Tmin)/Diagramm_dT+1</f>
        <v/>
      </c>
      <c r="M30">
        <f>IF(J30="","",IF(J30&lt;Zoom_Tmin,NA(),(J30-Zoom_Tmin)/Diagramm_dT+1))</f>
        <v/>
      </c>
      <c r="N30">
        <f>IF(J30="","",IF(J30&lt;Zoom2_Tmin,NA(),(J30-Zoom2_Tmin)/Diagramm_dT+1))</f>
        <v/>
      </c>
      <c r="P30" t="n">
        <v>2.130300170842473</v>
      </c>
      <c r="Q30" t="n">
        <v>0</v>
      </c>
      <c r="R30" t="n">
        <v>0</v>
      </c>
    </row>
    <row r="31">
      <c r="B31" t="n">
        <v>-68.5</v>
      </c>
      <c r="C31">
        <f>IF(MOD(B31,20)=0,TEXT(B31,"0"),"")</f>
        <v/>
      </c>
      <c r="D31" t="n">
        <v>2.211696011288603</v>
      </c>
      <c r="E31" t="n">
        <v>0</v>
      </c>
      <c r="F31" t="n">
        <v>0</v>
      </c>
      <c r="G31" t="n">
        <v>247.7883039887114</v>
      </c>
      <c r="H31" t="n">
        <v>0</v>
      </c>
      <c r="J31" t="n">
        <v>13.73061441904642</v>
      </c>
      <c r="K31" t="n">
        <v>53.9029170386769</v>
      </c>
      <c r="L31">
        <f>(J31-Diagramm_Tmin)/Diagramm_dT+1</f>
        <v/>
      </c>
      <c r="M31">
        <f>IF(J31="","",IF(J31&lt;Zoom_Tmin,NA(),(J31-Zoom_Tmin)/Diagramm_dT+1))</f>
        <v/>
      </c>
      <c r="N31">
        <f>IF(J31="","",IF(J31&lt;Zoom2_Tmin,NA(),(J31-Zoom2_Tmin)/Diagramm_dT+1))</f>
        <v/>
      </c>
      <c r="P31" t="n">
        <v>2.211696011288603</v>
      </c>
      <c r="Q31" t="n">
        <v>0</v>
      </c>
      <c r="R31" t="n">
        <v>0</v>
      </c>
    </row>
    <row r="32">
      <c r="B32" t="n">
        <v>-68</v>
      </c>
      <c r="C32">
        <f>IF(MOD(B32,20)=0,TEXT(B32,"0"),"")</f>
        <v/>
      </c>
      <c r="D32" t="n">
        <v>2.295826195835248</v>
      </c>
      <c r="E32" t="n">
        <v>0</v>
      </c>
      <c r="F32" t="n">
        <v>0</v>
      </c>
      <c r="G32" t="n">
        <v>247.7041738041648</v>
      </c>
      <c r="H32" t="n">
        <v>0</v>
      </c>
      <c r="J32" t="n">
        <v>16.78664113291801</v>
      </c>
      <c r="K32" t="n">
        <v>58.28858850085284</v>
      </c>
      <c r="L32">
        <f>(J32-Diagramm_Tmin)/Diagramm_dT+1</f>
        <v/>
      </c>
      <c r="M32">
        <f>IF(J32="","",IF(J32&lt;Zoom_Tmin,NA(),(J32-Zoom_Tmin)/Diagramm_dT+1))</f>
        <v/>
      </c>
      <c r="N32">
        <f>IF(J32="","",IF(J32&lt;Zoom2_Tmin,NA(),(J32-Zoom2_Tmin)/Diagramm_dT+1))</f>
        <v/>
      </c>
      <c r="P32" t="n">
        <v>2.295826195835248</v>
      </c>
      <c r="Q32" t="n">
        <v>0</v>
      </c>
      <c r="R32" t="n">
        <v>0</v>
      </c>
    </row>
    <row r="33">
      <c r="B33" t="n">
        <v>-67.5</v>
      </c>
      <c r="C33">
        <f>IF(MOD(B33,20)=0,TEXT(B33,"0"),"")</f>
        <v/>
      </c>
      <c r="D33" t="n">
        <v>2.382770933307797</v>
      </c>
      <c r="E33" t="n">
        <v>0</v>
      </c>
      <c r="F33" t="n">
        <v>0</v>
      </c>
      <c r="G33" t="n">
        <v>247.6172290666922</v>
      </c>
      <c r="H33" t="n">
        <v>0</v>
      </c>
      <c r="J33" t="n">
        <v>19.84266784678958</v>
      </c>
      <c r="K33" t="n">
        <v>63.11529693297607</v>
      </c>
      <c r="L33">
        <f>(J33-Diagramm_Tmin)/Diagramm_dT+1</f>
        <v/>
      </c>
      <c r="M33">
        <f>IF(J33="","",IF(J33&lt;Zoom_Tmin,NA(),(J33-Zoom_Tmin)/Diagramm_dT+1))</f>
        <v/>
      </c>
      <c r="N33">
        <f>IF(J33="","",IF(J33&lt;Zoom2_Tmin,NA(),(J33-Zoom2_Tmin)/Diagramm_dT+1))</f>
        <v/>
      </c>
      <c r="P33" t="n">
        <v>2.382770933307797</v>
      </c>
      <c r="Q33" t="n">
        <v>0</v>
      </c>
      <c r="R33" t="n">
        <v>0</v>
      </c>
    </row>
    <row r="34">
      <c r="B34" t="n">
        <v>-67</v>
      </c>
      <c r="C34">
        <f>IF(MOD(B34,20)=0,TEXT(B34,"0"),"")</f>
        <v/>
      </c>
      <c r="D34" t="n">
        <v>2.472612529346613</v>
      </c>
      <c r="E34" t="n">
        <v>0</v>
      </c>
      <c r="F34" t="n">
        <v>0</v>
      </c>
      <c r="G34" t="n">
        <v>247.5273874706534</v>
      </c>
      <c r="H34" t="n">
        <v>0</v>
      </c>
      <c r="J34" t="n">
        <v>22.89869456066117</v>
      </c>
      <c r="K34" t="n">
        <v>68.29643981056283</v>
      </c>
      <c r="L34">
        <f>(J34-Diagramm_Tmin)/Diagramm_dT+1</f>
        <v/>
      </c>
      <c r="M34">
        <f>IF(J34="","",IF(J34&lt;Zoom_Tmin,NA(),(J34-Zoom_Tmin)/Diagramm_dT+1))</f>
        <v/>
      </c>
      <c r="N34">
        <f>IF(J34="","",IF(J34&lt;Zoom2_Tmin,NA(),(J34-Zoom2_Tmin)/Diagramm_dT+1))</f>
        <v/>
      </c>
      <c r="P34" t="n">
        <v>2.472612529346613</v>
      </c>
      <c r="Q34" t="n">
        <v>0</v>
      </c>
      <c r="R34" t="n">
        <v>0</v>
      </c>
    </row>
    <row r="35">
      <c r="B35" t="n">
        <v>-66.5</v>
      </c>
      <c r="C35">
        <f>IF(MOD(B35,20)=0,TEXT(B35,"0"),"")</f>
        <v/>
      </c>
      <c r="D35" t="n">
        <v>2.56543544190969</v>
      </c>
      <c r="E35" t="n">
        <v>0</v>
      </c>
      <c r="F35" t="n">
        <v>0</v>
      </c>
      <c r="G35" t="n">
        <v>247.4345645580903</v>
      </c>
      <c r="H35" t="n">
        <v>0</v>
      </c>
      <c r="J35" t="n">
        <v>25.95472127453274</v>
      </c>
      <c r="K35" t="n">
        <v>74.33955546051001</v>
      </c>
      <c r="L35">
        <f>(J35-Diagramm_Tmin)/Diagramm_dT+1</f>
        <v/>
      </c>
      <c r="M35">
        <f>IF(J35="","",IF(J35&lt;Zoom_Tmin,NA(),(J35-Zoom_Tmin)/Diagramm_dT+1))</f>
        <v/>
      </c>
      <c r="N35">
        <f>IF(J35="","",IF(J35&lt;Zoom2_Tmin,NA(),(J35-Zoom2_Tmin)/Diagramm_dT+1))</f>
        <v/>
      </c>
      <c r="P35" t="n">
        <v>2.56543544190969</v>
      </c>
      <c r="Q35" t="n">
        <v>0</v>
      </c>
      <c r="R35" t="n">
        <v>0</v>
      </c>
    </row>
    <row r="36">
      <c r="B36" t="n">
        <v>-66</v>
      </c>
      <c r="C36">
        <f>IF(MOD(B36,20)=0,TEXT(B36,"0"),"")</f>
        <v/>
      </c>
      <c r="D36" t="n">
        <v>2.661326339030498</v>
      </c>
      <c r="E36" t="n">
        <v>0</v>
      </c>
      <c r="F36" t="n">
        <v>0</v>
      </c>
      <c r="G36" t="n">
        <v>247.3386736609695</v>
      </c>
      <c r="H36" t="n">
        <v>0</v>
      </c>
      <c r="J36" t="n">
        <v>26.05765167267202</v>
      </c>
      <c r="K36" t="n">
        <v>74.55672393046727</v>
      </c>
      <c r="L36">
        <f>(J36-Diagramm_Tmin)/Diagramm_dT+1</f>
        <v/>
      </c>
      <c r="M36">
        <f>IF(J36="","",IF(J36&lt;Zoom_Tmin,NA(),(J36-Zoom_Tmin)/Diagramm_dT+1))</f>
        <v/>
      </c>
      <c r="N36">
        <f>IF(J36="","",IF(J36&lt;Zoom2_Tmin,NA(),(J36-Zoom2_Tmin)/Diagramm_dT+1))</f>
        <v/>
      </c>
      <c r="P36" t="n">
        <v>2.661326339030498</v>
      </c>
      <c r="Q36" t="n">
        <v>0</v>
      </c>
      <c r="R36" t="n">
        <v>0</v>
      </c>
    </row>
    <row r="37">
      <c r="B37" t="n">
        <v>-65.5</v>
      </c>
      <c r="C37">
        <f>IF(MOD(B37,20)=0,TEXT(B37,"0"),"")</f>
        <v/>
      </c>
      <c r="D37" t="n">
        <v>2.7603741590594</v>
      </c>
      <c r="E37" t="n">
        <v>0</v>
      </c>
      <c r="F37" t="n">
        <v>0</v>
      </c>
      <c r="G37" t="n">
        <v>247.2396258409406</v>
      </c>
      <c r="H37" t="n">
        <v>0</v>
      </c>
      <c r="J37" t="n">
        <v>27.04835543659158</v>
      </c>
      <c r="K37" t="n">
        <v>76.93395350215729</v>
      </c>
      <c r="L37">
        <f>(J37-Diagramm_Tmin)/Diagramm_dT+1</f>
        <v/>
      </c>
      <c r="M37">
        <f>IF(J37="","",IF(J37&lt;Zoom_Tmin,NA(),(J37-Zoom_Tmin)/Diagramm_dT+1))</f>
        <v/>
      </c>
      <c r="N37">
        <f>IF(J37="","",IF(J37&lt;Zoom2_Tmin,NA(),(J37-Zoom2_Tmin)/Diagramm_dT+1))</f>
        <v/>
      </c>
      <c r="P37" t="n">
        <v>2.7603741590594</v>
      </c>
      <c r="Q37" t="n">
        <v>0</v>
      </c>
      <c r="R37" t="n">
        <v>0</v>
      </c>
    </row>
    <row r="38">
      <c r="B38" t="n">
        <v>-65</v>
      </c>
      <c r="C38">
        <f>IF(MOD(B38,20)=0,TEXT(B38,"0"),"")</f>
        <v/>
      </c>
      <c r="D38" t="n">
        <v>2.862670173664994</v>
      </c>
      <c r="E38" t="n">
        <v>0</v>
      </c>
      <c r="F38" t="n">
        <v>0</v>
      </c>
      <c r="G38" t="n">
        <v>247.137329826335</v>
      </c>
      <c r="H38" t="n">
        <v>0</v>
      </c>
      <c r="J38" t="n">
        <v>27.73488998412535</v>
      </c>
      <c r="K38" t="n">
        <v>78.94115650279056</v>
      </c>
      <c r="L38">
        <f>(J38-Diagramm_Tmin)/Diagramm_dT+1</f>
        <v/>
      </c>
      <c r="M38">
        <f>IF(J38="","",IF(J38&lt;Zoom_Tmin,NA(),(J38-Zoom_Tmin)/Diagramm_dT+1))</f>
        <v/>
      </c>
      <c r="N38">
        <f>IF(J38="","",IF(J38&lt;Zoom2_Tmin,NA(),(J38-Zoom2_Tmin)/Diagramm_dT+1))</f>
        <v/>
      </c>
      <c r="P38" t="n">
        <v>2.862670173664994</v>
      </c>
      <c r="Q38" t="n">
        <v>0</v>
      </c>
      <c r="R38" t="n">
        <v>0</v>
      </c>
    </row>
    <row r="39">
      <c r="B39" t="n">
        <v>-64.5</v>
      </c>
      <c r="C39">
        <f>IF(MOD(B39,20)=0,TEXT(B39,"0"),"")</f>
        <v/>
      </c>
      <c r="D39" t="n">
        <v>2.968308053935253</v>
      </c>
      <c r="E39" t="n">
        <v>0</v>
      </c>
      <c r="F39" t="n">
        <v>0</v>
      </c>
      <c r="G39" t="n">
        <v>247.0316919460647</v>
      </c>
      <c r="H39" t="n">
        <v>0</v>
      </c>
      <c r="J39" t="n">
        <v>28.07354186474362</v>
      </c>
      <c r="K39" t="n">
        <v>80.494760566134</v>
      </c>
      <c r="L39">
        <f>(J39-Diagramm_Tmin)/Diagramm_dT+1</f>
        <v/>
      </c>
      <c r="M39">
        <f>IF(J39="","",IF(J39&lt;Zoom_Tmin,NA(),(J39-Zoom_Tmin)/Diagramm_dT+1))</f>
        <v/>
      </c>
      <c r="N39">
        <f>IF(J39="","",IF(J39&lt;Zoom2_Tmin,NA(),(J39-Zoom2_Tmin)/Diagramm_dT+1))</f>
        <v/>
      </c>
      <c r="P39" t="n">
        <v>2.968308053935253</v>
      </c>
      <c r="Q39" t="n">
        <v>0</v>
      </c>
      <c r="R39" t="n">
        <v>0</v>
      </c>
    </row>
    <row r="40">
      <c r="B40" t="n">
        <v>-64</v>
      </c>
      <c r="C40">
        <f>IF(MOD(B40,20)=0,TEXT(B40,"0"),"")</f>
        <v/>
      </c>
      <c r="D40" t="n">
        <v>3.077383940002624</v>
      </c>
      <c r="E40" t="n">
        <v>0</v>
      </c>
      <c r="F40" t="n">
        <v>0</v>
      </c>
      <c r="G40" t="n">
        <v>246.9226160599974</v>
      </c>
      <c r="H40" t="n">
        <v>0</v>
      </c>
      <c r="J40" t="n">
        <v>28.09332435011652</v>
      </c>
      <c r="K40" t="n">
        <v>80.89647376266871</v>
      </c>
      <c r="L40">
        <f>(J40-Diagramm_Tmin)/Diagramm_dT+1</f>
        <v/>
      </c>
      <c r="M40">
        <f>IF(J40="","",IF(J40&lt;Zoom_Tmin,NA(),(J40-Zoom_Tmin)/Diagramm_dT+1))</f>
        <v/>
      </c>
      <c r="N40">
        <f>IF(J40="","",IF(J40&lt;Zoom2_Tmin,NA(),(J40-Zoom2_Tmin)/Diagramm_dT+1))</f>
        <v/>
      </c>
      <c r="P40" t="n">
        <v>3.077383940002624</v>
      </c>
      <c r="Q40" t="n">
        <v>0</v>
      </c>
      <c r="R40" t="n">
        <v>0</v>
      </c>
    </row>
    <row r="41">
      <c r="B41" t="n">
        <v>-63.5</v>
      </c>
      <c r="C41">
        <f>IF(MOD(B41,20)=0,TEXT(B41,"0"),"")</f>
        <v/>
      </c>
      <c r="D41" t="n">
        <v>3.189996514732313</v>
      </c>
      <c r="E41" t="n">
        <v>0</v>
      </c>
      <c r="F41" t="n">
        <v>0</v>
      </c>
      <c r="G41" t="n">
        <v>246.8100034852677</v>
      </c>
      <c r="H41" t="n">
        <v>0</v>
      </c>
      <c r="J41" t="n">
        <v>28.05988229179121</v>
      </c>
      <c r="K41" t="n">
        <v>81.22476703705271</v>
      </c>
      <c r="L41">
        <f>(J41-Diagramm_Tmin)/Diagramm_dT+1</f>
        <v/>
      </c>
      <c r="M41">
        <f>IF(J41="","",IF(J41&lt;Zoom_Tmin,NA(),(J41-Zoom_Tmin)/Diagramm_dT+1))</f>
        <v/>
      </c>
      <c r="N41">
        <f>IF(J41="","",IF(J41&lt;Zoom2_Tmin,NA(),(J41-Zoom2_Tmin)/Diagramm_dT+1))</f>
        <v/>
      </c>
      <c r="P41" t="n">
        <v>3.189996514732313</v>
      </c>
      <c r="Q41" t="n">
        <v>0</v>
      </c>
      <c r="R41" t="n">
        <v>0</v>
      </c>
    </row>
    <row r="42">
      <c r="B42" t="n">
        <v>-63</v>
      </c>
      <c r="C42">
        <f>IF(MOD(B42,20)=0,TEXT(B42,"0"),"")</f>
        <v/>
      </c>
      <c r="D42" t="n">
        <v>3.306247082172693</v>
      </c>
      <c r="E42" t="n">
        <v>0</v>
      </c>
      <c r="F42" t="n">
        <v>0</v>
      </c>
      <c r="G42" t="n">
        <v>246.6937529178273</v>
      </c>
      <c r="H42" t="n">
        <v>0</v>
      </c>
      <c r="J42" t="n">
        <v>27.84956025727422</v>
      </c>
      <c r="K42" t="n">
        <v>81.68534440677382</v>
      </c>
      <c r="L42">
        <f>(J42-Diagramm_Tmin)/Diagramm_dT+1</f>
        <v/>
      </c>
      <c r="M42">
        <f>IF(J42="","",IF(J42&lt;Zoom_Tmin,NA(),(J42-Zoom_Tmin)/Diagramm_dT+1))</f>
        <v/>
      </c>
      <c r="N42">
        <f>IF(J42="","",IF(J42&lt;Zoom2_Tmin,NA(),(J42-Zoom2_Tmin)/Diagramm_dT+1))</f>
        <v/>
      </c>
      <c r="P42" t="n">
        <v>3.306247082172693</v>
      </c>
      <c r="Q42" t="n">
        <v>0</v>
      </c>
      <c r="R42" t="n">
        <v>0</v>
      </c>
    </row>
    <row r="43">
      <c r="B43" t="n">
        <v>-62.5</v>
      </c>
      <c r="C43">
        <f>IF(MOD(B43,20)=0,TEXT(B43,"0"),"")</f>
        <v/>
      </c>
      <c r="D43" t="n">
        <v>3.426239651693705</v>
      </c>
      <c r="E43" t="n">
        <v>0</v>
      </c>
      <c r="F43" t="n">
        <v>0</v>
      </c>
      <c r="G43" t="n">
        <v>246.5737603483063</v>
      </c>
      <c r="H43" t="n">
        <v>0</v>
      </c>
      <c r="J43" t="n">
        <v>27.76666564421936</v>
      </c>
      <c r="K43" t="n">
        <v>81.83831957803791</v>
      </c>
      <c r="L43">
        <f>(J43-Diagramm_Tmin)/Diagramm_dT+1</f>
        <v/>
      </c>
      <c r="M43">
        <f>IF(J43="","",IF(J43&lt;Zoom_Tmin,NA(),(J43-Zoom_Tmin)/Diagramm_dT+1))</f>
        <v/>
      </c>
      <c r="N43">
        <f>IF(J43="","",IF(J43&lt;Zoom2_Tmin,NA(),(J43-Zoom2_Tmin)/Diagramm_dT+1))</f>
        <v/>
      </c>
      <c r="P43" t="n">
        <v>3.426239651693706</v>
      </c>
      <c r="Q43" t="n">
        <v>0</v>
      </c>
      <c r="R43" t="n">
        <v>0</v>
      </c>
    </row>
    <row r="44">
      <c r="B44" t="n">
        <v>-62</v>
      </c>
      <c r="C44">
        <f>IF(MOD(B44,20)=0,TEXT(B44,"0"),"")</f>
        <v/>
      </c>
      <c r="D44" t="n">
        <v>3.550081029070713</v>
      </c>
      <c r="E44" t="n">
        <v>0</v>
      </c>
      <c r="F44" t="n">
        <v>0</v>
      </c>
      <c r="G44" t="n">
        <v>246.4499189709293</v>
      </c>
      <c r="H44" t="n">
        <v>0</v>
      </c>
      <c r="J44" t="n">
        <v>27.54550628587981</v>
      </c>
      <c r="K44" t="n">
        <v>82.0753015969954</v>
      </c>
      <c r="L44">
        <f>(J44-Diagramm_Tmin)/Diagramm_dT+1</f>
        <v/>
      </c>
      <c r="M44">
        <f>IF(J44="","",IF(J44&lt;Zoom_Tmin,NA(),(J44-Zoom_Tmin)/Diagramm_dT+1))</f>
        <v/>
      </c>
      <c r="N44">
        <f>IF(J44="","",IF(J44&lt;Zoom2_Tmin,NA(),(J44-Zoom2_Tmin)/Diagramm_dT+1))</f>
        <v/>
      </c>
      <c r="P44" t="n">
        <v>3.550081029070713</v>
      </c>
      <c r="Q44" t="n">
        <v>0</v>
      </c>
      <c r="R44" t="n">
        <v>0</v>
      </c>
    </row>
    <row r="45">
      <c r="B45" t="n">
        <v>-61.5</v>
      </c>
      <c r="C45">
        <f>IF(MOD(B45,20)=0,TEXT(B45,"0"),"")</f>
        <v/>
      </c>
      <c r="D45" t="n">
        <v>3.67788091626954</v>
      </c>
      <c r="E45" t="n">
        <v>0</v>
      </c>
      <c r="F45" t="n">
        <v>0</v>
      </c>
      <c r="G45" t="n">
        <v>246.3221190837305</v>
      </c>
      <c r="H45" t="n">
        <v>0</v>
      </c>
      <c r="J45" t="n">
        <v>27.44783356695052</v>
      </c>
      <c r="K45" t="n">
        <v>82.1274401291867</v>
      </c>
      <c r="L45">
        <f>(J45-Diagramm_Tmin)/Diagramm_dT+1</f>
        <v/>
      </c>
      <c r="M45">
        <f>IF(J45="","",IF(J45&lt;Zoom_Tmin,NA(),(J45-Zoom_Tmin)/Diagramm_dT+1))</f>
        <v/>
      </c>
      <c r="N45">
        <f>IF(J45="","",IF(J45&lt;Zoom2_Tmin,NA(),(J45-Zoom2_Tmin)/Diagramm_dT+1))</f>
        <v/>
      </c>
      <c r="P45" t="n">
        <v>3.67788091626954</v>
      </c>
      <c r="Q45" t="n">
        <v>0</v>
      </c>
      <c r="R45" t="n">
        <v>0</v>
      </c>
    </row>
    <row r="46">
      <c r="B46" t="n">
        <v>-61</v>
      </c>
      <c r="C46">
        <f>IF(MOD(B46,20)=0,TEXT(B46,"0"),"")</f>
        <v/>
      </c>
      <c r="D46" t="n">
        <v>3.809752022464798</v>
      </c>
      <c r="E46" t="n">
        <v>0</v>
      </c>
      <c r="F46" t="n">
        <v>0</v>
      </c>
      <c r="G46" t="n">
        <v>246.1902479775352</v>
      </c>
      <c r="H46" t="n">
        <v>0</v>
      </c>
      <c r="J46" t="n">
        <v>27.21311799338457</v>
      </c>
      <c r="K46" t="n">
        <v>82.17759431791859</v>
      </c>
      <c r="L46">
        <f>(J46-Diagramm_Tmin)/Diagramm_dT+1</f>
        <v/>
      </c>
      <c r="M46">
        <f>IF(J46="","",IF(J46&lt;Zoom_Tmin,NA(),(J46-Zoom_Tmin)/Diagramm_dT+1))</f>
        <v/>
      </c>
      <c r="N46">
        <f>IF(J46="","",IF(J46&lt;Zoom2_Tmin,NA(),(J46-Zoom2_Tmin)/Diagramm_dT+1))</f>
        <v/>
      </c>
      <c r="P46" t="n">
        <v>3.809752022464798</v>
      </c>
      <c r="Q46" t="n">
        <v>0</v>
      </c>
      <c r="R46" t="n">
        <v>0</v>
      </c>
    </row>
    <row r="47">
      <c r="B47" t="n">
        <v>-60.5</v>
      </c>
      <c r="C47">
        <f>IF(MOD(B47,20)=0,TEXT(B47,"0"),"")</f>
        <v/>
      </c>
      <c r="D47" t="n">
        <v>3.945810190082769</v>
      </c>
      <c r="E47" t="n">
        <v>0</v>
      </c>
      <c r="F47" t="n">
        <v>0</v>
      </c>
      <c r="G47" t="n">
        <v>246.0541898099172</v>
      </c>
      <c r="H47" t="n">
        <v>0</v>
      </c>
      <c r="J47" t="n">
        <v>26.9146823522409</v>
      </c>
      <c r="K47" t="n">
        <v>82.14256867307149</v>
      </c>
      <c r="L47">
        <f>(J47-Diagramm_Tmin)/Diagramm_dT+1</f>
        <v/>
      </c>
      <c r="M47">
        <f>IF(J47="","",IF(J47&lt;Zoom_Tmin,NA(),(J47-Zoom_Tmin)/Diagramm_dT+1))</f>
        <v/>
      </c>
      <c r="N47">
        <f>IF(J47="","",IF(J47&lt;Zoom2_Tmin,NA(),(J47-Zoom2_Tmin)/Diagramm_dT+1))</f>
        <v/>
      </c>
      <c r="P47" t="n">
        <v>3.945810190082769</v>
      </c>
      <c r="Q47" t="n">
        <v>0</v>
      </c>
      <c r="R47" t="n">
        <v>0</v>
      </c>
    </row>
    <row r="48">
      <c r="B48" t="n">
        <v>-60</v>
      </c>
      <c r="C48">
        <f>IF(MOD(B48,20)=0,TEXT(B48,"0"),"")</f>
        <v/>
      </c>
      <c r="D48" t="n">
        <v>4.086174541804222</v>
      </c>
      <c r="E48" t="n">
        <v>0</v>
      </c>
      <c r="F48" t="n">
        <v>0</v>
      </c>
      <c r="G48" t="n">
        <v>245.9138254581958</v>
      </c>
      <c r="H48" t="n">
        <v>0</v>
      </c>
      <c r="J48" t="n">
        <v>26.11217095487547</v>
      </c>
      <c r="K48" t="n">
        <v>81.79028637846925</v>
      </c>
      <c r="L48">
        <f>(J48-Diagramm_Tmin)/Diagramm_dT+1</f>
        <v/>
      </c>
      <c r="M48">
        <f>IF(J48="","",IF(J48&lt;Zoom_Tmin,NA(),(J48-Zoom_Tmin)/Diagramm_dT+1))</f>
        <v/>
      </c>
      <c r="N48">
        <f>IF(J48="","",IF(J48&lt;Zoom2_Tmin,NA(),(J48-Zoom2_Tmin)/Diagramm_dT+1))</f>
        <v/>
      </c>
      <c r="P48" t="n">
        <v>4.086174541804222</v>
      </c>
      <c r="Q48" t="n">
        <v>0</v>
      </c>
      <c r="R48" t="n">
        <v>0</v>
      </c>
    </row>
    <row r="49">
      <c r="B49" t="n">
        <v>-59.5</v>
      </c>
      <c r="C49">
        <f>IF(MOD(B49,20)=0,TEXT(B49,"0"),"")</f>
        <v/>
      </c>
      <c r="D49" t="n">
        <v>4.230967658336528</v>
      </c>
      <c r="E49" t="n">
        <v>0</v>
      </c>
      <c r="F49" t="n">
        <v>0</v>
      </c>
      <c r="G49" t="n">
        <v>245.7690323416635</v>
      </c>
      <c r="H49" t="n">
        <v>0</v>
      </c>
      <c r="J49" t="n">
        <v>25.95472127453274</v>
      </c>
      <c r="K49" t="n">
        <v>81.6863260498552</v>
      </c>
      <c r="L49">
        <f>(J49-Diagramm_Tmin)/Diagramm_dT+1</f>
        <v/>
      </c>
      <c r="M49">
        <f>IF(J49="","",IF(J49&lt;Zoom_Tmin,NA(),(J49-Zoom_Tmin)/Diagramm_dT+1))</f>
        <v/>
      </c>
      <c r="N49">
        <f>IF(J49="","",IF(J49&lt;Zoom2_Tmin,NA(),(J49-Zoom2_Tmin)/Diagramm_dT+1))</f>
        <v/>
      </c>
      <c r="P49" t="n">
        <v>4.230967658336528</v>
      </c>
      <c r="Q49" t="n">
        <v>0</v>
      </c>
      <c r="R49" t="n">
        <v>0</v>
      </c>
    </row>
    <row r="50">
      <c r="B50" t="n">
        <v>-59</v>
      </c>
      <c r="C50">
        <f>IF(MOD(B50,20)=0,TEXT(B50,"0"),"")</f>
        <v/>
      </c>
      <c r="D50" t="n">
        <v>4.380315804299316</v>
      </c>
      <c r="E50" t="n">
        <v>0</v>
      </c>
      <c r="F50" t="n">
        <v>0</v>
      </c>
      <c r="G50" t="n">
        <v>245.6196841957007</v>
      </c>
      <c r="H50" t="n">
        <v>0</v>
      </c>
      <c r="J50" t="n">
        <v>23.00783837187086</v>
      </c>
      <c r="K50" t="n">
        <v>79.40389630617204</v>
      </c>
      <c r="L50">
        <f>(J50-Diagramm_Tmin)/Diagramm_dT+1</f>
        <v/>
      </c>
      <c r="M50">
        <f>IF(J50="","",IF(J50&lt;Zoom_Tmin,NA(),(J50-Zoom_Tmin)/Diagramm_dT+1))</f>
        <v/>
      </c>
      <c r="N50">
        <f>IF(J50="","",IF(J50&lt;Zoom2_Tmin,NA(),(J50-Zoom2_Tmin)/Diagramm_dT+1))</f>
        <v/>
      </c>
      <c r="P50" t="n">
        <v>4.380315804299316</v>
      </c>
      <c r="Q50" t="n">
        <v>0</v>
      </c>
      <c r="R50" t="n">
        <v>0</v>
      </c>
    </row>
    <row r="51">
      <c r="B51" t="n">
        <v>-58.5</v>
      </c>
      <c r="C51">
        <f>IF(MOD(B51,20)=0,TEXT(B51,"0"),"")</f>
        <v/>
      </c>
      <c r="D51" t="n">
        <v>4.534349235691668</v>
      </c>
      <c r="E51" t="n">
        <v>0</v>
      </c>
      <c r="F51" t="n">
        <v>0</v>
      </c>
      <c r="G51" t="n">
        <v>245.4656507643083</v>
      </c>
      <c r="H51" t="n">
        <v>0</v>
      </c>
      <c r="J51" t="n">
        <v>20.06095546920898</v>
      </c>
      <c r="K51" t="n">
        <v>76.7066430471089</v>
      </c>
      <c r="L51">
        <f>(J51-Diagramm_Tmin)/Diagramm_dT+1</f>
        <v/>
      </c>
      <c r="M51">
        <f>IF(J51="","",IF(J51&lt;Zoom_Tmin,NA(),(J51-Zoom_Tmin)/Diagramm_dT+1))</f>
        <v/>
      </c>
      <c r="N51">
        <f>IF(J51="","",IF(J51&lt;Zoom2_Tmin,NA(),(J51-Zoom2_Tmin)/Diagramm_dT+1))</f>
        <v/>
      </c>
      <c r="P51" t="n">
        <v>4.534349235691668</v>
      </c>
      <c r="Q51" t="n">
        <v>0</v>
      </c>
      <c r="R51" t="n">
        <v>0</v>
      </c>
    </row>
    <row r="52">
      <c r="B52" t="n">
        <v>-58</v>
      </c>
      <c r="C52">
        <f>IF(MOD(B52,20)=0,TEXT(B52,"0"),"")</f>
        <v/>
      </c>
      <c r="D52" t="n">
        <v>4.693202661676246</v>
      </c>
      <c r="E52" t="n">
        <v>0</v>
      </c>
      <c r="F52" t="n">
        <v>0</v>
      </c>
      <c r="G52" t="n">
        <v>245.3067973383237</v>
      </c>
      <c r="H52" t="n">
        <v>0</v>
      </c>
      <c r="J52" t="n">
        <v>17.1140725665471</v>
      </c>
      <c r="K52" t="n">
        <v>73.91727316067251</v>
      </c>
      <c r="L52">
        <f>(J52-Diagramm_Tmin)/Diagramm_dT+1</f>
        <v/>
      </c>
      <c r="M52">
        <f>IF(J52="","",IF(J52&lt;Zoom_Tmin,NA(),(J52-Zoom_Tmin)/Diagramm_dT+1))</f>
        <v/>
      </c>
      <c r="N52">
        <f>IF(J52="","",IF(J52&lt;Zoom2_Tmin,NA(),(J52-Zoom2_Tmin)/Diagramm_dT+1))</f>
        <v/>
      </c>
      <c r="P52" t="n">
        <v>4.693202661676246</v>
      </c>
      <c r="Q52" t="n">
        <v>0</v>
      </c>
      <c r="R52" t="n">
        <v>0</v>
      </c>
    </row>
    <row r="53">
      <c r="B53" t="n">
        <v>-57.5</v>
      </c>
      <c r="C53">
        <f>IF(MOD(B53,20)=0,TEXT(B53,"0"),"")</f>
        <v/>
      </c>
      <c r="D53" t="n">
        <v>4.85701604896072</v>
      </c>
      <c r="E53" t="n">
        <v>0</v>
      </c>
      <c r="F53" t="n">
        <v>0</v>
      </c>
      <c r="G53" t="n">
        <v>245.1429839510393</v>
      </c>
      <c r="H53" t="n">
        <v>0</v>
      </c>
      <c r="J53" t="n">
        <v>14.16718966388521</v>
      </c>
      <c r="K53" t="n">
        <v>71.16224132812172</v>
      </c>
      <c r="L53">
        <f>(J53-Diagramm_Tmin)/Diagramm_dT+1</f>
        <v/>
      </c>
      <c r="M53">
        <f>IF(J53="","",IF(J53&lt;Zoom_Tmin,NA(),(J53-Zoom_Tmin)/Diagramm_dT+1))</f>
        <v/>
      </c>
      <c r="N53">
        <f>IF(J53="","",IF(J53&lt;Zoom2_Tmin,NA(),(J53-Zoom2_Tmin)/Diagramm_dT+1))</f>
        <v/>
      </c>
      <c r="P53" t="n">
        <v>4.85701604896072</v>
      </c>
      <c r="Q53" t="n">
        <v>0</v>
      </c>
      <c r="R53" t="n">
        <v>0</v>
      </c>
    </row>
    <row r="54">
      <c r="B54" t="n">
        <v>-57</v>
      </c>
      <c r="C54">
        <f>IF(MOD(B54,20)=0,TEXT(B54,"0"),"")</f>
        <v/>
      </c>
      <c r="D54" t="n">
        <v>5.025936424969898</v>
      </c>
      <c r="E54" t="n">
        <v>0</v>
      </c>
      <c r="F54" t="n">
        <v>0</v>
      </c>
      <c r="G54" t="n">
        <v>244.9740635750301</v>
      </c>
      <c r="H54" t="n">
        <v>0</v>
      </c>
      <c r="J54" t="n">
        <v>11.22030676122333</v>
      </c>
      <c r="K54" t="n">
        <v>68.4991054496131</v>
      </c>
      <c r="L54">
        <f>(J54-Diagramm_Tmin)/Diagramm_dT+1</f>
        <v/>
      </c>
      <c r="M54">
        <f>IF(J54="","",IF(J54&lt;Zoom_Tmin,NA(),(J54-Zoom_Tmin)/Diagramm_dT+1))</f>
        <v/>
      </c>
      <c r="N54">
        <f>IF(J54="","",IF(J54&lt;Zoom2_Tmin,NA(),(J54-Zoom2_Tmin)/Diagramm_dT+1))</f>
        <v/>
      </c>
      <c r="P54" t="n">
        <v>5.025936424969898</v>
      </c>
      <c r="Q54" t="n">
        <v>0</v>
      </c>
      <c r="R54" t="n">
        <v>0</v>
      </c>
    </row>
    <row r="55">
      <c r="B55" t="n">
        <v>-56.5</v>
      </c>
      <c r="C55">
        <f>IF(MOD(B55,20)=0,TEXT(B55,"0"),"")</f>
        <v/>
      </c>
      <c r="D55" t="n">
        <v>5.491986079944975</v>
      </c>
      <c r="E55" t="n">
        <v>-43.32193877539994</v>
      </c>
      <c r="F55" t="n">
        <v>0</v>
      </c>
      <c r="G55" t="n">
        <v>242.1072044087119</v>
      </c>
      <c r="H55" t="n">
        <v>45.72274828674306</v>
      </c>
      <c r="J55" t="n">
        <v>8.273423858561451</v>
      </c>
      <c r="K55" t="n">
        <v>65.9508686829668</v>
      </c>
      <c r="L55">
        <f>(J55-Diagramm_Tmin)/Diagramm_dT+1</f>
        <v/>
      </c>
      <c r="M55">
        <f>IF(J55="","",IF(J55&lt;Zoom_Tmin,NA(),(J55-Zoom_Tmin)/Diagramm_dT+1))</f>
        <v/>
      </c>
      <c r="N55">
        <f>IF(J55="","",IF(J55&lt;Zoom2_Tmin,NA(),(J55-Zoom2_Tmin)/Diagramm_dT+1))</f>
        <v/>
      </c>
      <c r="P55" t="n">
        <v>5.192719805765956</v>
      </c>
      <c r="Q55" t="n">
        <v>2.700075785522131</v>
      </c>
      <c r="R55" t="n">
        <v>0</v>
      </c>
    </row>
    <row r="56">
      <c r="B56" t="n">
        <v>-56</v>
      </c>
      <c r="C56">
        <f>IF(MOD(B56,20)=0,TEXT(B56,"0"),"")</f>
        <v/>
      </c>
      <c r="D56" t="n">
        <v>5.612743937180197</v>
      </c>
      <c r="E56" t="n">
        <v>-19.57365776923474</v>
      </c>
      <c r="F56" t="n">
        <v>0</v>
      </c>
      <c r="G56" t="n">
        <v>218.6546435409031</v>
      </c>
      <c r="H56" t="n">
        <v>45.30627029115145</v>
      </c>
      <c r="J56" t="n">
        <v>5.326540955899567</v>
      </c>
      <c r="K56" t="n">
        <v>63.53202764496523</v>
      </c>
      <c r="L56">
        <f>(J56-Diagramm_Tmin)/Diagramm_dT+1</f>
        <v/>
      </c>
      <c r="M56">
        <f>IF(J56="","",IF(J56&lt;Zoom_Tmin,NA(),(J56-Zoom_Tmin)/Diagramm_dT+1))</f>
        <v/>
      </c>
      <c r="N56">
        <f>IF(J56="","",IF(J56&lt;Zoom2_Tmin,NA(),(J56-Zoom2_Tmin)/Diagramm_dT+1))</f>
        <v/>
      </c>
      <c r="P56" t="n">
        <v>5.30648488025064</v>
      </c>
      <c r="Q56" t="n">
        <v>26.03887157884625</v>
      </c>
      <c r="R56" t="n">
        <v>0</v>
      </c>
    </row>
    <row r="57">
      <c r="B57" t="n">
        <v>-55.5</v>
      </c>
      <c r="C57">
        <f>IF(MOD(B57,20)=0,TEXT(B57,"0"),"")</f>
        <v/>
      </c>
      <c r="D57" t="n">
        <v>5.735507668238733</v>
      </c>
      <c r="E57" t="n">
        <v>4.277647848094631</v>
      </c>
      <c r="F57" t="n">
        <v>0</v>
      </c>
      <c r="G57" t="n">
        <v>195.0886093098823</v>
      </c>
      <c r="H57" t="n">
        <v>44.89823517378429</v>
      </c>
      <c r="J57" t="n">
        <v>2.379658053237684</v>
      </c>
      <c r="K57" t="n">
        <v>61.25271085790791</v>
      </c>
      <c r="L57">
        <f>(J57-Diagramm_Tmin)/Diagramm_dT+1</f>
        <v/>
      </c>
      <c r="M57">
        <f>IF(J57="","",IF(J57&lt;Zoom_Tmin,NA(),(J57-Zoom_Tmin)/Diagramm_dT+1))</f>
        <v/>
      </c>
      <c r="N57">
        <f>IF(J57="","",IF(J57&lt;Zoom2_Tmin,NA(),(J57-Zoom2_Tmin)/Diagramm_dT+1))</f>
        <v/>
      </c>
      <c r="P57" t="n">
        <v>5.422123403028181</v>
      </c>
      <c r="Q57" t="n">
        <v>49.48926728708946</v>
      </c>
      <c r="R57" t="n">
        <v>0</v>
      </c>
    </row>
    <row r="58">
      <c r="B58" t="n">
        <v>-55</v>
      </c>
      <c r="C58">
        <f>IF(MOD(B58,20)=0,TEXT(B58,"0"),"")</f>
        <v/>
      </c>
      <c r="D58" t="n">
        <v>5.860298777967014</v>
      </c>
      <c r="E58" t="n">
        <v>28.23220624635825</v>
      </c>
      <c r="F58" t="n">
        <v>0</v>
      </c>
      <c r="G58" t="n">
        <v>171.4091017156542</v>
      </c>
      <c r="H58" t="n">
        <v>44.49839326002055</v>
      </c>
      <c r="J58" t="n">
        <v>-0.5672248494241998</v>
      </c>
      <c r="K58" t="n">
        <v>59.11911153019464</v>
      </c>
      <c r="L58">
        <f>(J58-Diagramm_Tmin)/Diagramm_dT+1</f>
        <v/>
      </c>
      <c r="M58">
        <f>IF(J58="","",IF(J58&lt;Zoom_Tmin,NA(),(J58-Zoom_Tmin)/Diagramm_dT+1))</f>
        <v/>
      </c>
      <c r="N58">
        <f>IF(J58="","",IF(J58&lt;Zoom2_Tmin,NA(),(J58-Zoom2_Tmin)/Diagramm_dT+1))</f>
        <v/>
      </c>
      <c r="P58" t="n">
        <v>5.539654879524182</v>
      </c>
      <c r="Q58" t="n">
        <v>73.05124340482163</v>
      </c>
      <c r="R58" t="n">
        <v>0</v>
      </c>
    </row>
    <row r="59">
      <c r="B59" t="n">
        <v>-54.5</v>
      </c>
      <c r="C59">
        <f>IF(MOD(B59,20)=0,TEXT(B59,"0"),"")</f>
        <v/>
      </c>
      <c r="D59" t="n">
        <v>5.987138859180044</v>
      </c>
      <c r="E59" t="n">
        <v>52.29023670672844</v>
      </c>
      <c r="F59" t="n">
        <v>0</v>
      </c>
      <c r="G59" t="n">
        <v>147.6161207582163</v>
      </c>
      <c r="H59" t="n">
        <v>44.10650367587518</v>
      </c>
      <c r="J59" t="n">
        <v>-3.514107752086083</v>
      </c>
      <c r="K59" t="n">
        <v>57.13569820573583</v>
      </c>
      <c r="L59">
        <f>(J59-Diagramm_Tmin)/Diagramm_dT+1</f>
        <v/>
      </c>
      <c r="M59">
        <f>IF(J59="","",IF(J59&lt;Zoom_Tmin,NA(),(J59-Zoom_Tmin)/Diagramm_dT+1))</f>
        <v/>
      </c>
      <c r="N59">
        <f>IF(J59="","",IF(J59&lt;Zoom2_Tmin,NA(),(J59-Zoom2_Tmin)/Diagramm_dT+1))</f>
        <v/>
      </c>
      <c r="P59" t="n">
        <v>5.659098875995419</v>
      </c>
      <c r="Q59" t="n">
        <v>96.72478036578823</v>
      </c>
      <c r="R59" t="n">
        <v>0</v>
      </c>
    </row>
    <row r="60">
      <c r="B60" t="n">
        <v>-54</v>
      </c>
      <c r="C60">
        <f>IF(MOD(B60,20)=0,TEXT(B60,"0"),"")</f>
        <v/>
      </c>
      <c r="D60" t="n">
        <v>6.116049592664322</v>
      </c>
      <c r="E60" t="n">
        <v>76.45195000624881</v>
      </c>
      <c r="F60" t="n">
        <v>0</v>
      </c>
      <c r="G60" t="n">
        <v>123.7096664375666</v>
      </c>
      <c r="H60" t="n">
        <v>43.72233396352031</v>
      </c>
      <c r="J60" t="n">
        <v>-6.460990654747967</v>
      </c>
      <c r="K60" t="n">
        <v>55.30483487403389</v>
      </c>
      <c r="L60">
        <f>(J60-Diagramm_Tmin)/Diagramm_dT+1</f>
        <v/>
      </c>
      <c r="M60">
        <f>IF(J60="","",IF(J60&lt;Zoom_Tmin,NA(),(J60-Zoom_Tmin)/Diagramm_dT+1))</f>
        <v/>
      </c>
      <c r="N60">
        <f>IF(J60="","",IF(J60&lt;Zoom2_Tmin,NA(),(J60-Zoom2_Tmin)/Diagramm_dT+1))</f>
        <v/>
      </c>
      <c r="P60" t="n">
        <v>5.780475019007402</v>
      </c>
      <c r="Q60" t="n">
        <v>120.509858543426</v>
      </c>
      <c r="R60" t="n">
        <v>0</v>
      </c>
    </row>
    <row r="61">
      <c r="B61" t="n">
        <v>-53.5</v>
      </c>
      <c r="C61">
        <f>IF(MOD(B61,20)=0,TEXT(B61,"0"),"")</f>
        <v/>
      </c>
      <c r="D61" t="n">
        <v>6.247052747198143</v>
      </c>
      <c r="E61" t="n">
        <v>100.7175490204223</v>
      </c>
      <c r="F61" t="n">
        <v>0</v>
      </c>
      <c r="G61" t="n">
        <v>99.68973875370938</v>
      </c>
      <c r="H61" t="n">
        <v>43.34565947867021</v>
      </c>
      <c r="J61" t="n">
        <v>-9.407873557409843</v>
      </c>
      <c r="K61" t="n">
        <v>53.62849446525079</v>
      </c>
      <c r="L61">
        <f>(J61-Diagramm_Tmin)/Diagramm_dT+1</f>
        <v/>
      </c>
      <c r="M61">
        <f>IF(J61="","",IF(J61&lt;Zoom_Tmin,NA(),(J61-Zoom_Tmin)/Diagramm_dT+1))</f>
        <v/>
      </c>
      <c r="N61">
        <f>IF(J61="","",IF(J61&lt;Zoom2_Tmin,NA(),(J61-Zoom2_Tmin)/Diagramm_dT+1))</f>
        <v/>
      </c>
      <c r="P61" t="n">
        <v>5.903802994930841</v>
      </c>
      <c r="Q61" t="n">
        <v>144.4064582513598</v>
      </c>
      <c r="R61" t="n">
        <v>0</v>
      </c>
    </row>
    <row r="62">
      <c r="B62" t="n">
        <v>-53</v>
      </c>
      <c r="C62">
        <f>IF(MOD(B62,20)=0,TEXT(B62,"0"),"")</f>
        <v/>
      </c>
      <c r="D62" t="n">
        <v>6.380170179576498</v>
      </c>
      <c r="E62" t="n">
        <v>125.0872298914318</v>
      </c>
      <c r="F62" t="n">
        <v>0</v>
      </c>
      <c r="G62" t="n">
        <v>75.55633770664022</v>
      </c>
      <c r="H62" t="n">
        <v>42.9762622223515</v>
      </c>
      <c r="J62" t="n">
        <v>-12.35475646007173</v>
      </c>
      <c r="K62" t="n">
        <v>52.10856685825704</v>
      </c>
      <c r="L62">
        <f>(J62-Diagramm_Tmin)/Diagramm_dT+1</f>
        <v/>
      </c>
      <c r="M62">
        <f>IF(J62="","",IF(J62&lt;Zoom_Tmin,NA(),(J62-Zoom_Tmin)/Diagramm_dT+1))</f>
        <v/>
      </c>
      <c r="N62">
        <f>IF(J62="","",IF(J62&lt;Zoom2_Tmin,NA(),(J62-Zoom2_Tmin)/Diagramm_dT+1))</f>
        <v/>
      </c>
      <c r="P62" t="n">
        <v>6.029102549457334</v>
      </c>
      <c r="Q62" t="n">
        <v>168.4145597439025</v>
      </c>
      <c r="R62" t="n">
        <v>0</v>
      </c>
    </row>
    <row r="63">
      <c r="B63" t="n">
        <v>-52.5</v>
      </c>
      <c r="C63">
        <f>IF(MOD(B63,20)=0,TEXT(B63,"0"),"")</f>
        <v/>
      </c>
      <c r="D63" t="n">
        <v>6.515423834789724</v>
      </c>
      <c r="E63" t="n">
        <v>149.5611763625493</v>
      </c>
      <c r="F63" t="n">
        <v>0</v>
      </c>
      <c r="G63" t="n">
        <v>51.3094632963637</v>
      </c>
      <c r="H63" t="n">
        <v>42.6139365062973</v>
      </c>
      <c r="J63" t="n">
        <v>-15.30163936273361</v>
      </c>
      <c r="K63" t="n">
        <v>50.74701781693424</v>
      </c>
      <c r="L63">
        <f>(J63-Diagramm_Tmin)/Diagramm_dT+1</f>
        <v/>
      </c>
      <c r="M63">
        <f>IF(J63="","",IF(J63&lt;Zoom_Tmin,NA(),(J63-Zoom_Tmin)/Diagramm_dT+1))</f>
        <v/>
      </c>
      <c r="N63">
        <f>IF(J63="","",IF(J63&lt;Zoom2_Tmin,NA(),(J63-Zoom2_Tmin)/Diagramm_dT+1))</f>
        <v/>
      </c>
      <c r="P63" t="n">
        <v>6.156393487134656</v>
      </c>
      <c r="Q63" t="n">
        <v>192.5341432165016</v>
      </c>
      <c r="R63" t="n">
        <v>0</v>
      </c>
    </row>
    <row r="64">
      <c r="B64" t="n">
        <v>-52</v>
      </c>
      <c r="C64">
        <f>IF(MOD(B64,20)=0,TEXT(B64,"0"),"")</f>
        <v/>
      </c>
      <c r="D64" t="n">
        <v>6.652835746076767</v>
      </c>
      <c r="E64" t="n">
        <v>174.1395708202001</v>
      </c>
      <c r="F64" t="n">
        <v>0</v>
      </c>
      <c r="G64" t="n">
        <v>26.94911552287752</v>
      </c>
      <c r="H64" t="n">
        <v>42.25847791084562</v>
      </c>
      <c r="J64" t="n">
        <v>-18.24852226539549</v>
      </c>
      <c r="K64" t="n">
        <v>49.54604618081325</v>
      </c>
      <c r="L64">
        <f>(J64-Diagramm_Tmin)/Diagramm_dT+1</f>
        <v/>
      </c>
      <c r="M64">
        <f>IF(J64="","",IF(J64&lt;Zoom_Tmin,NA(),(J64-Zoom_Tmin)/Diagramm_dT+1))</f>
        <v/>
      </c>
      <c r="N64">
        <f>IF(J64="","",IF(J64&lt;Zoom2_Tmin,NA(),(J64-Zoom2_Tmin)/Diagramm_dT+1))</f>
        <v/>
      </c>
      <c r="P64" t="n">
        <v>6.285695670922022</v>
      </c>
      <c r="Q64" t="n">
        <v>216.7651888062005</v>
      </c>
      <c r="R64" t="n">
        <v>0</v>
      </c>
    </row>
    <row r="65">
      <c r="B65" t="n">
        <v>-51.5</v>
      </c>
      <c r="C65">
        <f>IF(MOD(B65,20)=0,TEXT(B65,"0"),"")</f>
        <v/>
      </c>
      <c r="D65" t="n">
        <v>6.792428035143282</v>
      </c>
      <c r="E65" t="n">
        <v>198.8225866314224</v>
      </c>
      <c r="F65" t="n">
        <v>0</v>
      </c>
      <c r="G65" t="n">
        <v>2.475294386179314</v>
      </c>
      <c r="H65" t="n">
        <v>41.90969094725499</v>
      </c>
      <c r="J65" t="n">
        <v>-21.19540516805738</v>
      </c>
      <c r="K65" t="n">
        <v>48.5082279609618</v>
      </c>
      <c r="L65">
        <f>(J65-Diagramm_Tmin)/Diagramm_dT+1</f>
        <v/>
      </c>
      <c r="M65">
        <f>IF(J65="","",IF(J65&lt;Zoom_Tmin,NA(),(J65-Zoom_Tmin)/Diagramm_dT+1))</f>
        <v/>
      </c>
      <c r="N65">
        <f>IF(J65="","",IF(J65&lt;Zoom2_Tmin,NA(),(J65-Zoom2_Tmin)/Diagramm_dT+1))</f>
        <v/>
      </c>
      <c r="P65" t="n">
        <v>6.417029021765652</v>
      </c>
      <c r="Q65" t="n">
        <v>241.107676592055</v>
      </c>
      <c r="R65" t="n">
        <v>0</v>
      </c>
    </row>
    <row r="66">
      <c r="B66" t="n">
        <v>-51</v>
      </c>
      <c r="C66">
        <f>IF(MOD(B66,20)=0,TEXT(B66,"0"),"")</f>
        <v/>
      </c>
      <c r="D66" t="n">
        <v>6.934222912389705</v>
      </c>
      <c r="E66" t="n">
        <v>201.4983904800289</v>
      </c>
      <c r="F66" t="n">
        <v>0</v>
      </c>
      <c r="G66" t="n">
        <v>0</v>
      </c>
      <c r="H66" t="n">
        <v>41.56738660758133</v>
      </c>
      <c r="J66" t="n">
        <v>-24.14228807071926</v>
      </c>
      <c r="K66" t="n">
        <v>47.63667813891892</v>
      </c>
      <c r="L66">
        <f>(J66-Diagramm_Tmin)/Diagramm_dT+1</f>
        <v/>
      </c>
      <c r="M66">
        <f>IF(J66="","",IF(J66&lt;Zoom_Tmin,NA(),(J66-Zoom_Tmin)/Diagramm_dT+1))</f>
        <v/>
      </c>
      <c r="N66">
        <f>IF(J66="","",IF(J66&lt;Zoom2_Tmin,NA(),(J66-Zoom2_Tmin)/Diagramm_dT+1))</f>
        <v/>
      </c>
      <c r="P66" t="n">
        <v>6.550413518195086</v>
      </c>
      <c r="Q66" t="n">
        <v>243.4495864818049</v>
      </c>
      <c r="R66" t="n">
        <v>0</v>
      </c>
    </row>
    <row r="67">
      <c r="B67" t="n">
        <v>-50.5</v>
      </c>
      <c r="C67">
        <f>IF(MOD(B67,20)=0,TEXT(B67,"0"),"")</f>
        <v/>
      </c>
      <c r="D67" t="n">
        <v>7.078242677101972</v>
      </c>
      <c r="E67" t="n">
        <v>201.6906162676187</v>
      </c>
      <c r="F67" t="n">
        <v>0</v>
      </c>
      <c r="G67" t="n">
        <v>0</v>
      </c>
      <c r="H67" t="n">
        <v>41.23114105527928</v>
      </c>
      <c r="J67" t="n">
        <v>-27.08917097338114</v>
      </c>
      <c r="K67" t="n">
        <v>46.93523819145766</v>
      </c>
      <c r="L67">
        <f>(J67-Diagramm_Tmin)/Diagramm_dT+1</f>
        <v/>
      </c>
      <c r="M67">
        <f>IF(J67="","",IF(J67&lt;Zoom_Tmin,NA(),(J67-Zoom_Tmin)/Diagramm_dT+1))</f>
        <v/>
      </c>
      <c r="N67">
        <f>IF(J67="","",IF(J67&lt;Zoom2_Tmin,NA(),(J67-Zoom2_Tmin)/Diagramm_dT+1))</f>
        <v/>
      </c>
      <c r="P67" t="n">
        <v>6.685869195940573</v>
      </c>
      <c r="Q67" t="n">
        <v>243.3141308040594</v>
      </c>
      <c r="R67" t="n">
        <v>0</v>
      </c>
    </row>
    <row r="68">
      <c r="B68" t="n">
        <v>-50</v>
      </c>
      <c r="C68">
        <f>IF(MOD(B68,20)=0,TEXT(B68,"0"),"")</f>
        <v/>
      </c>
      <c r="D68" t="n">
        <v>7.224509717848902</v>
      </c>
      <c r="E68" t="n">
        <v>201.8739897125752</v>
      </c>
      <c r="F68" t="n">
        <v>0</v>
      </c>
      <c r="G68" t="n">
        <v>0</v>
      </c>
      <c r="H68" t="n">
        <v>40.90150056957587</v>
      </c>
      <c r="J68" t="n">
        <v>-30.03605387604303</v>
      </c>
      <c r="K68" t="n">
        <v>46.40892779619076</v>
      </c>
      <c r="L68">
        <f>(J68-Diagramm_Tmin)/Diagramm_dT+1</f>
        <v/>
      </c>
      <c r="M68">
        <f>IF(J68="","",IF(J68&lt;Zoom_Tmin,NA(),(J68-Zoom_Tmin)/Diagramm_dT+1))</f>
        <v/>
      </c>
      <c r="N68">
        <f>IF(J68="","",IF(J68&lt;Zoom2_Tmin,NA(),(J68-Zoom2_Tmin)/Diagramm_dT+1))</f>
        <v/>
      </c>
      <c r="P68" t="n">
        <v>6.823416147571979</v>
      </c>
      <c r="Q68" t="n">
        <v>243.176583852428</v>
      </c>
      <c r="R68" t="n">
        <v>0</v>
      </c>
    </row>
    <row r="69">
      <c r="B69" t="n">
        <v>-49.5</v>
      </c>
      <c r="C69">
        <f>IF(MOD(B69,20)=0,TEXT(B69,"0"),"")</f>
        <v/>
      </c>
      <c r="D69" t="n">
        <v>7.37304651271035</v>
      </c>
      <c r="E69" t="n">
        <v>202.0493825881581</v>
      </c>
      <c r="F69" t="n">
        <v>0</v>
      </c>
      <c r="G69" t="n">
        <v>0</v>
      </c>
      <c r="H69" t="n">
        <v>40.57757089913159</v>
      </c>
      <c r="J69" t="n">
        <v>-32.98293677870491</v>
      </c>
      <c r="K69" t="n">
        <v>46.06386332932112</v>
      </c>
      <c r="L69">
        <f>(J69-Diagramm_Tmin)/Diagramm_dT+1</f>
        <v/>
      </c>
      <c r="M69">
        <f>IF(J69="","",IF(J69&lt;Zoom_Tmin,NA(),(J69-Zoom_Tmin)/Diagramm_dT+1))</f>
        <v/>
      </c>
      <c r="N69">
        <f>IF(J69="","",IF(J69&lt;Zoom2_Tmin,NA(),(J69-Zoom2_Tmin)/Diagramm_dT+1))</f>
        <v/>
      </c>
      <c r="P69" t="n">
        <v>6.963074522159564</v>
      </c>
      <c r="Q69" t="n">
        <v>243.0369254778404</v>
      </c>
      <c r="R69" t="n">
        <v>0</v>
      </c>
    </row>
    <row r="70">
      <c r="B70" t="n">
        <v>-49</v>
      </c>
      <c r="C70">
        <f>IF(MOD(B70,20)=0,TEXT(B70,"0"),"")</f>
        <v/>
      </c>
      <c r="D70" t="n">
        <v>7.523875629724679</v>
      </c>
      <c r="E70" t="n">
        <v>202.2166969394642</v>
      </c>
      <c r="F70" t="n">
        <v>0</v>
      </c>
      <c r="G70" t="n">
        <v>0</v>
      </c>
      <c r="H70" t="n">
        <v>40.25942743081113</v>
      </c>
      <c r="J70" t="n">
        <v>-35.92981968136679</v>
      </c>
      <c r="K70" t="n">
        <v>45.90723594075885</v>
      </c>
      <c r="L70">
        <f>(J70-Diagramm_Tmin)/Diagramm_dT+1</f>
        <v/>
      </c>
      <c r="M70">
        <f>IF(J70="","",IF(J70&lt;Zoom_Tmin,NA(),(J70-Zoom_Tmin)/Diagramm_dT+1))</f>
        <v/>
      </c>
      <c r="N70">
        <f>IF(J70="","",IF(J70&lt;Zoom2_Tmin,NA(),(J70-Zoom2_Tmin)/Diagramm_dT+1))</f>
        <v/>
      </c>
      <c r="P70" t="n">
        <v>7.104864524957067</v>
      </c>
      <c r="Q70" t="n">
        <v>242.8951354750429</v>
      </c>
      <c r="R70" t="n">
        <v>0</v>
      </c>
    </row>
    <row r="71">
      <c r="B71" t="n">
        <v>-48.5</v>
      </c>
      <c r="C71">
        <f>IF(MOD(B71,20)=0,TEXT(B71,"0"),"")</f>
        <v/>
      </c>
      <c r="D71" t="n">
        <v>7.677019727294373</v>
      </c>
      <c r="E71" t="n">
        <v>202.3760705063717</v>
      </c>
      <c r="F71" t="n">
        <v>0</v>
      </c>
      <c r="G71" t="n">
        <v>0</v>
      </c>
      <c r="H71" t="n">
        <v>39.94690976633397</v>
      </c>
      <c r="J71" t="n">
        <v>-38.87670258402868</v>
      </c>
      <c r="K71" t="n">
        <v>45.94841211929595</v>
      </c>
      <c r="L71">
        <f>(J71-Diagramm_Tmin)/Diagramm_dT+1</f>
        <v/>
      </c>
      <c r="M71">
        <f>IF(J71="","",IF(J71&lt;Zoom_Tmin,NA(),(J71-Zoom_Tmin)/Diagramm_dT+1))</f>
        <v/>
      </c>
      <c r="N71">
        <f>IF(J71="","",IF(J71&lt;Zoom2_Tmin,NA(),(J71-Zoom2_Tmin)/Diagramm_dT+1))</f>
        <v/>
      </c>
      <c r="P71" t="n">
        <v>7.248806417107489</v>
      </c>
      <c r="Q71" t="n">
        <v>242.7511935828925</v>
      </c>
      <c r="R71" t="n">
        <v>0</v>
      </c>
    </row>
    <row r="72">
      <c r="B72" t="n">
        <v>-48</v>
      </c>
      <c r="C72">
        <f>IF(MOD(B72,20)=0,TEXT(B72,"0"),"")</f>
        <v/>
      </c>
      <c r="D72" t="n">
        <v>7.832421860423638</v>
      </c>
      <c r="E72" t="n">
        <v>202.5276358951582</v>
      </c>
      <c r="F72" t="n">
        <v>0</v>
      </c>
      <c r="G72" t="n">
        <v>0</v>
      </c>
      <c r="H72" t="n">
        <v>39.63994224441814</v>
      </c>
      <c r="J72" t="n">
        <v>-41.82358548669056</v>
      </c>
      <c r="K72" t="n">
        <v>46.19906548188036</v>
      </c>
      <c r="L72">
        <f>(J72-Diagramm_Tmin)/Diagramm_dT+1</f>
        <v/>
      </c>
      <c r="M72">
        <f>IF(J72="","",IF(J72&lt;Zoom_Tmin,NA(),(J72-Zoom_Tmin)/Diagramm_dT+1))</f>
        <v/>
      </c>
      <c r="N72">
        <f>IF(J72="","",IF(J72&lt;Zoom2_Tmin,NA(),(J72-Zoom2_Tmin)/Diagramm_dT+1))</f>
        <v/>
      </c>
      <c r="P72" t="n">
        <v>7.394920515371941</v>
      </c>
      <c r="Q72" t="n">
        <v>242.605079484628</v>
      </c>
      <c r="R72" t="n">
        <v>0</v>
      </c>
    </row>
    <row r="73">
      <c r="B73" t="n">
        <v>-47.5</v>
      </c>
      <c r="C73">
        <f>IF(MOD(B73,20)=0,TEXT(B73,"0"),"")</f>
        <v/>
      </c>
      <c r="D73" t="n">
        <v>7.990343952466392</v>
      </c>
      <c r="E73" t="n">
        <v>202.6715207806986</v>
      </c>
      <c r="F73" t="n">
        <v>0</v>
      </c>
      <c r="G73" t="n">
        <v>0</v>
      </c>
      <c r="H73" t="n">
        <v>39.33813526683506</v>
      </c>
      <c r="J73" t="n">
        <v>-44.77046838935243</v>
      </c>
      <c r="K73" t="n">
        <v>46.67373477512266</v>
      </c>
      <c r="L73">
        <f>(J73-Diagramm_Tmin)/Diagramm_dT+1</f>
        <v/>
      </c>
      <c r="M73">
        <f>IF(J73="","",IF(J73&lt;Zoom_Tmin,NA(),(J73-Zoom_Tmin)/Diagramm_dT+1))</f>
        <v/>
      </c>
      <c r="N73">
        <f>IF(J73="","",IF(J73&lt;Zoom2_Tmin,NA(),(J73-Zoom2_Tmin)/Diagramm_dT+1))</f>
        <v/>
      </c>
      <c r="P73" t="n">
        <v>7.54322719188198</v>
      </c>
      <c r="Q73" t="n">
        <v>242.456772808118</v>
      </c>
      <c r="R73" t="n">
        <v>0</v>
      </c>
    </row>
    <row r="74">
      <c r="B74" t="n">
        <v>-47</v>
      </c>
      <c r="C74">
        <f>IF(MOD(B74,20)=0,TEXT(B74,"0"),"")</f>
        <v/>
      </c>
      <c r="D74" t="n">
        <v>8.150569853168372</v>
      </c>
      <c r="E74" t="n">
        <v>202.8078480995598</v>
      </c>
      <c r="F74" t="n">
        <v>0</v>
      </c>
      <c r="G74" t="n">
        <v>0</v>
      </c>
      <c r="H74" t="n">
        <v>39.04158204727181</v>
      </c>
      <c r="J74" t="n">
        <v>-47.71735129201431</v>
      </c>
      <c r="K74" t="n">
        <v>47.39052986281504</v>
      </c>
      <c r="L74">
        <f>(J74-Diagramm_Tmin)/Diagramm_dT+1</f>
        <v/>
      </c>
      <c r="M74">
        <f>IF(J74="","",IF(J74&lt;Zoom_Tmin,NA(),(J74-Zoom_Tmin)/Diagramm_dT+1))</f>
        <v/>
      </c>
      <c r="N74">
        <f>IF(J74="","",IF(J74&lt;Zoom2_Tmin,NA(),(J74-Zoom2_Tmin)/Diagramm_dT+1))</f>
        <v/>
      </c>
      <c r="P74" t="n">
        <v>7.693746873915794</v>
      </c>
      <c r="Q74" t="n">
        <v>242.3062531260842</v>
      </c>
      <c r="R74" t="n">
        <v>0</v>
      </c>
    </row>
    <row r="75">
      <c r="B75" t="n">
        <v>-46.5</v>
      </c>
      <c r="C75">
        <f>IF(MOD(B75,20)=0,TEXT(B75,"0"),"")</f>
        <v/>
      </c>
      <c r="D75" t="n">
        <v>8.313202281845648</v>
      </c>
      <c r="E75" t="n">
        <v>202.9367362345279</v>
      </c>
      <c r="F75" t="n">
        <v>0</v>
      </c>
      <c r="G75" t="n">
        <v>0</v>
      </c>
      <c r="H75" t="n">
        <v>38.75006148362642</v>
      </c>
      <c r="J75" t="n">
        <v>-50.6642341946762</v>
      </c>
      <c r="K75" t="n">
        <v>48.37203232032768</v>
      </c>
      <c r="L75">
        <f>(J75-Diagramm_Tmin)/Diagramm_dT+1</f>
        <v/>
      </c>
      <c r="M75">
        <f>IF(J75="","",IF(J75&lt;Zoom_Tmin,NA(),(J75-Zoom_Tmin)/Diagramm_dT+1))</f>
        <v/>
      </c>
      <c r="N75">
        <f>IF(J75="","",IF(J75&lt;Zoom2_Tmin,NA(),(J75-Zoom2_Tmin)/Diagramm_dT+1))</f>
        <v/>
      </c>
      <c r="P75" t="n">
        <v>7.846500043698572</v>
      </c>
      <c r="Q75" t="n">
        <v>242.1534999563014</v>
      </c>
      <c r="R75" t="n">
        <v>0</v>
      </c>
    </row>
    <row r="76">
      <c r="B76" t="n">
        <v>-46</v>
      </c>
      <c r="C76">
        <f>IF(MOD(B76,20)=0,TEXT(B76,"0"),"")</f>
        <v/>
      </c>
      <c r="D76" t="n">
        <v>8.478264356724139</v>
      </c>
      <c r="E76" t="n">
        <v>203.0582991909556</v>
      </c>
      <c r="F76" t="n">
        <v>0</v>
      </c>
      <c r="G76" t="n">
        <v>0</v>
      </c>
      <c r="H76" t="n">
        <v>38.46343645232032</v>
      </c>
      <c r="J76" t="n">
        <v>-53.61111709733808</v>
      </c>
      <c r="K76" t="n">
        <v>49.64645956322123</v>
      </c>
      <c r="L76">
        <f>(J76-Diagramm_Tmin)/Diagramm_dT+1</f>
        <v/>
      </c>
      <c r="M76">
        <f>IF(J76="","",IF(J76&lt;Zoom_Tmin,NA(),(J76-Zoom_Tmin)/Diagramm_dT+1))</f>
        <v/>
      </c>
      <c r="N76">
        <f>IF(J76="","",IF(J76&lt;Zoom2_Tmin,NA(),(J76-Zoom2_Tmin)/Diagramm_dT+1))</f>
        <v/>
      </c>
      <c r="P76" t="n">
        <v>8.001507238227434</v>
      </c>
      <c r="Q76" t="n">
        <v>241.9984927617726</v>
      </c>
      <c r="R76" t="n">
        <v>0</v>
      </c>
    </row>
    <row r="77">
      <c r="B77" t="n">
        <v>-45.5</v>
      </c>
      <c r="C77">
        <f>IF(MOD(B77,20)=0,TEXT(B77,"0"),"")</f>
        <v/>
      </c>
      <c r="D77" t="n">
        <v>8.645779289903516</v>
      </c>
      <c r="E77" t="n">
        <v>203.1726467654389</v>
      </c>
      <c r="F77" t="n">
        <v>0</v>
      </c>
      <c r="G77" t="n">
        <v>0</v>
      </c>
      <c r="H77" t="n">
        <v>38.18157394465755</v>
      </c>
      <c r="J77" t="n">
        <v>-56.55799999999996</v>
      </c>
      <c r="K77" t="n">
        <v>51.24917885891172</v>
      </c>
      <c r="L77">
        <f>(J77-Diagramm_Tmin)/Diagramm_dT+1</f>
        <v/>
      </c>
      <c r="M77">
        <f>IF(J77="","",IF(J77&lt;Zoom_Tmin,NA(),(J77-Zoom_Tmin)/Diagramm_dT+1))</f>
        <v/>
      </c>
      <c r="N77">
        <f>IF(J77="","",IF(J77&lt;Zoom2_Tmin,NA(),(J77-Zoom2_Tmin)/Diagramm_dT+1))</f>
        <v/>
      </c>
      <c r="P77" t="n">
        <v>8.158789049121184</v>
      </c>
      <c r="Q77" t="n">
        <v>241.8412109508788</v>
      </c>
      <c r="R77" t="n">
        <v>0</v>
      </c>
    </row>
    <row r="78">
      <c r="B78" t="n">
        <v>-45</v>
      </c>
      <c r="C78">
        <f>IF(MOD(B78,20)=0,TEXT(B78,"0"),"")</f>
        <v/>
      </c>
      <c r="D78" t="n">
        <v>8.81577038817785</v>
      </c>
      <c r="E78" t="n">
        <v>203.2798847071784</v>
      </c>
      <c r="F78" t="n">
        <v>0</v>
      </c>
      <c r="G78" t="n">
        <v>0</v>
      </c>
      <c r="H78" t="n">
        <v>37.90434490464379</v>
      </c>
      <c r="M78">
        <f>IF(J78="","",IF(J78&lt;Zoom_Tmin,NA(),(J78-Zoom_Tmin)/Diagramm_dT+1))</f>
        <v/>
      </c>
      <c r="N78">
        <f>IF(J78="","",IF(J78&lt;Zoom2_Tmin,NA(),(J78-Zoom2_Tmin)/Diagramm_dT+1))</f>
        <v/>
      </c>
      <c r="P78" t="n">
        <v>8.318366122495185</v>
      </c>
      <c r="Q78" t="n">
        <v>241.6816338775048</v>
      </c>
      <c r="R78" t="n">
        <v>0</v>
      </c>
    </row>
    <row r="79">
      <c r="B79" t="n">
        <v>-44.5</v>
      </c>
      <c r="C79">
        <f>IF(MOD(B79,20)=0,TEXT(B79,"0"),"")</f>
        <v/>
      </c>
      <c r="D79" t="n">
        <v>8.988261053747809</v>
      </c>
      <c r="E79" t="n">
        <v>203.3801148724</v>
      </c>
      <c r="F79" t="n">
        <v>0</v>
      </c>
      <c r="G79" t="n">
        <v>0</v>
      </c>
      <c r="H79" t="n">
        <v>37.63162407385224</v>
      </c>
      <c r="I79" s="76" t="inlineStr">
        <is>
          <t>Sublimationslinie</t>
        </is>
      </c>
      <c r="J79" t="n">
        <v>-80</v>
      </c>
      <c r="K79" t="n">
        <v>0.8924</v>
      </c>
      <c r="L79">
        <f>(J79-Diagramm_Tmin)/Diagramm_dT+1</f>
        <v/>
      </c>
      <c r="M79">
        <f>IF(J79="","",IF(J79&lt;Zoom_Tmin,NA(),(J79-Zoom_Tmin)/Diagramm_dT+1))</f>
        <v/>
      </c>
      <c r="N79">
        <f>IF(J79="","",IF(J79&lt;Zoom2_Tmin,NA(),(J79-Zoom2_Tmin)/Diagramm_dT+1))</f>
        <v/>
      </c>
      <c r="P79" t="n">
        <v>8.480259158861601</v>
      </c>
      <c r="Q79" t="n">
        <v>241.5197408411384</v>
      </c>
      <c r="R79" t="n">
        <v>0</v>
      </c>
    </row>
    <row r="80">
      <c r="B80" t="n">
        <v>-44</v>
      </c>
      <c r="C80">
        <f>IF(MOD(B80,20)=0,TEXT(B80,"0"),"")</f>
        <v/>
      </c>
      <c r="D80" t="n">
        <v>9.163274785136231</v>
      </c>
      <c r="E80" t="n">
        <v>203.4734353722308</v>
      </c>
      <c r="F80" t="n">
        <v>0</v>
      </c>
      <c r="G80" t="n">
        <v>0</v>
      </c>
      <c r="H80" t="n">
        <v>37.36328984263298</v>
      </c>
      <c r="J80" t="n">
        <v>-79.0232</v>
      </c>
      <c r="K80" t="n">
        <v>0.9677</v>
      </c>
      <c r="L80">
        <f>(J80-Diagramm_Tmin)/Diagramm_dT+1</f>
        <v/>
      </c>
      <c r="M80">
        <f>IF(J80="","",IF(J80&lt;Zoom_Tmin,NA(),(J80-Zoom_Tmin)/Diagramm_dT+1))</f>
        <v/>
      </c>
      <c r="N80">
        <f>IF(J80="","",IF(J80&lt;Zoom2_Tmin,NA(),(J80-Zoom2_Tmin)/Diagramm_dT+1))</f>
        <v/>
      </c>
      <c r="P80" t="n">
        <v>8.644488913055172</v>
      </c>
      <c r="Q80" t="n">
        <v>241.3555110869448</v>
      </c>
      <c r="R80" t="n">
        <v>0</v>
      </c>
    </row>
    <row r="81">
      <c r="B81" t="n">
        <v>-43.5</v>
      </c>
      <c r="C81">
        <f>IF(MOD(B81,20)=0,TEXT(B81,"0"),"")</f>
        <v/>
      </c>
      <c r="D81" t="n">
        <v>9.340835178114794</v>
      </c>
      <c r="E81" t="n">
        <v>203.5599407143332</v>
      </c>
      <c r="F81" t="n">
        <v>0</v>
      </c>
      <c r="G81" t="n">
        <v>0</v>
      </c>
      <c r="H81" t="n">
        <v>37.09922410755198</v>
      </c>
      <c r="J81" t="n">
        <v>-78.04649999999999</v>
      </c>
      <c r="K81" t="n">
        <v>1.0486</v>
      </c>
      <c r="L81">
        <f>(J81-Diagramm_Tmin)/Diagramm_dT+1</f>
        <v/>
      </c>
      <c r="M81">
        <f>IF(J81="","",IF(J81&lt;Zoom_Tmin,NA(),(J81-Zoom_Tmin)/Diagramm_dT+1))</f>
        <v/>
      </c>
      <c r="N81">
        <f>IF(J81="","",IF(J81&lt;Zoom2_Tmin,NA(),(J81-Zoom2_Tmin)/Diagramm_dT+1))</f>
        <v/>
      </c>
      <c r="P81" t="n">
        <v>8.811076194184681</v>
      </c>
      <c r="Q81" t="n">
        <v>241.1889238058153</v>
      </c>
      <c r="R81" t="n">
        <v>0</v>
      </c>
    </row>
    <row r="82">
      <c r="B82" t="n">
        <v>-43</v>
      </c>
      <c r="C82">
        <f>IF(MOD(B82,20)=0,TEXT(B82,"0"),"")</f>
        <v/>
      </c>
      <c r="D82" t="n">
        <v>9.520965926582747</v>
      </c>
      <c r="E82" t="n">
        <v>203.6397219386076</v>
      </c>
      <c r="F82" t="n">
        <v>0</v>
      </c>
      <c r="G82" t="n">
        <v>0</v>
      </c>
      <c r="H82" t="n">
        <v>36.8393121348096</v>
      </c>
      <c r="J82" t="n">
        <v>-77.0697</v>
      </c>
      <c r="K82" t="n">
        <v>1.1353</v>
      </c>
      <c r="L82">
        <f>(J82-Diagramm_Tmin)/Diagramm_dT+1</f>
        <v/>
      </c>
      <c r="M82">
        <f>IF(J82="","",IF(J82&lt;Zoom_Tmin,NA(),(J82-Zoom_Tmin)/Diagramm_dT+1))</f>
        <v/>
      </c>
      <c r="N82">
        <f>IF(J82="","",IF(J82&lt;Zoom2_Tmin,NA(),(J82-Zoom2_Tmin)/Diagramm_dT+1))</f>
        <v/>
      </c>
      <c r="P82" t="n">
        <v>8.980041865610268</v>
      </c>
      <c r="Q82" t="n">
        <v>241.0199581343897</v>
      </c>
      <c r="R82" t="n">
        <v>0</v>
      </c>
    </row>
    <row r="83">
      <c r="B83" t="n">
        <v>-42.5</v>
      </c>
      <c r="C83">
        <f>IF(MOD(B83,20)=0,TEXT(B83,"0"),"")</f>
        <v/>
      </c>
      <c r="D83" t="n">
        <v>9.703690823646632</v>
      </c>
      <c r="E83" t="n">
        <v>203.7128667472645</v>
      </c>
      <c r="F83" t="n">
        <v>0</v>
      </c>
      <c r="G83" t="n">
        <v>0</v>
      </c>
      <c r="H83" t="n">
        <v>36.5834424290889</v>
      </c>
      <c r="J83" t="n">
        <v>-76.093</v>
      </c>
      <c r="K83" t="n">
        <v>1.2283</v>
      </c>
      <c r="L83">
        <f>(J83-Diagramm_Tmin)/Diagramm_dT+1</f>
        <v/>
      </c>
      <c r="M83">
        <f>IF(J83="","",IF(J83&lt;Zoom_Tmin,NA(),(J83-Zoom_Tmin)/Diagramm_dT+1))</f>
        <v/>
      </c>
      <c r="N83">
        <f>IF(J83="","",IF(J83&lt;Zoom2_Tmin,NA(),(J83-Zoom2_Tmin)/Diagramm_dT+1))</f>
        <v/>
      </c>
      <c r="P83" t="n">
        <v>9.15140684494655</v>
      </c>
      <c r="Q83" t="n">
        <v>240.8485931550534</v>
      </c>
      <c r="R83" t="n">
        <v>0</v>
      </c>
    </row>
    <row r="84">
      <c r="B84" t="n">
        <v>-42</v>
      </c>
      <c r="C84">
        <f>IF(MOD(B84,20)=0,TEXT(B84,"0"),"")</f>
        <v/>
      </c>
      <c r="D84" t="n">
        <v>9.889033762673316</v>
      </c>
      <c r="E84" t="n">
        <v>203.7794596295569</v>
      </c>
      <c r="F84" t="n">
        <v>0</v>
      </c>
      <c r="G84" t="n">
        <v>0</v>
      </c>
      <c r="H84" t="n">
        <v>36.33150660776982</v>
      </c>
      <c r="J84" t="n">
        <v>-75.11620000000001</v>
      </c>
      <c r="K84" t="n">
        <v>1.328</v>
      </c>
      <c r="L84">
        <f>(J84-Diagramm_Tmin)/Diagramm_dT+1</f>
        <v/>
      </c>
      <c r="M84">
        <f>IF(J84="","",IF(J84&lt;Zoom_Tmin,NA(),(J84-Zoom_Tmin)/Diagramm_dT+1))</f>
        <v/>
      </c>
      <c r="N84">
        <f>IF(J84="","",IF(J84&lt;Zoom2_Tmin,NA(),(J84-Zoom2_Tmin)/Diagramm_dT+1))</f>
        <v/>
      </c>
      <c r="P84" t="n">
        <v>9.325192104091673</v>
      </c>
      <c r="Q84" t="n">
        <v>240.6748078959083</v>
      </c>
      <c r="R84" t="n">
        <v>0</v>
      </c>
    </row>
    <row r="85">
      <c r="B85" t="n">
        <v>-41.5</v>
      </c>
      <c r="C85">
        <f>IF(MOD(B85,20)=0,TEXT(B85,"0"),"")</f>
        <v/>
      </c>
      <c r="D85" t="n">
        <v>10.07701873840076</v>
      </c>
      <c r="E85" t="n">
        <v>203.8395819814068</v>
      </c>
      <c r="F85" t="n">
        <v>0</v>
      </c>
      <c r="G85" t="n">
        <v>0</v>
      </c>
      <c r="H85" t="n">
        <v>36.0833992801925</v>
      </c>
      <c r="J85" t="n">
        <v>-74.1395</v>
      </c>
      <c r="K85" t="n">
        <v>1.4346</v>
      </c>
      <c r="L85">
        <f>(J85-Diagramm_Tmin)/Diagramm_dT+1</f>
        <v/>
      </c>
      <c r="M85">
        <f>IF(J85="","",IF(J85&lt;Zoom_Tmin,NA(),(J85-Zoom_Tmin)/Diagramm_dT+1))</f>
        <v/>
      </c>
      <c r="N85">
        <f>IF(J85="","",IF(J85&lt;Zoom2_Tmin,NA(),(J85-Zoom2_Tmin)/Diagramm_dT+1))</f>
        <v/>
      </c>
      <c r="P85" t="n">
        <v>9.501418669282174</v>
      </c>
      <c r="Q85" t="n">
        <v>240.4985813307178</v>
      </c>
      <c r="R85" t="n">
        <v>0</v>
      </c>
    </row>
    <row r="86">
      <c r="B86" t="n">
        <v>-41</v>
      </c>
      <c r="C86">
        <f>IF(MOD(B86,20)=0,TEXT(B86,"0"),"")</f>
        <v/>
      </c>
      <c r="D86" t="n">
        <v>10.26766984805528</v>
      </c>
      <c r="E86" t="n">
        <v>203.8933122201726</v>
      </c>
      <c r="F86" t="n">
        <v>0</v>
      </c>
      <c r="G86" t="n">
        <v>0</v>
      </c>
      <c r="H86" t="n">
        <v>35.83901793177208</v>
      </c>
      <c r="J86" t="n">
        <v>-73.1627</v>
      </c>
      <c r="K86" t="n">
        <v>1.5488</v>
      </c>
      <c r="L86">
        <f>(J86-Diagramm_Tmin)/Diagramm_dT+1</f>
        <v/>
      </c>
      <c r="M86">
        <f>IF(J86="","",IF(J86&lt;Zoom_Tmin,NA(),(J86-Zoom_Tmin)/Diagramm_dT+1))</f>
        <v/>
      </c>
      <c r="N86">
        <f>IF(J86="","",IF(J86&lt;Zoom2_Tmin,NA(),(J86-Zoom2_Tmin)/Diagramm_dT+1))</f>
        <v/>
      </c>
      <c r="P86" t="n">
        <v>9.680107621173665</v>
      </c>
      <c r="Q86" t="n">
        <v>240.3198923788263</v>
      </c>
      <c r="R86" t="n">
        <v>0</v>
      </c>
    </row>
    <row r="87">
      <c r="B87" t="n">
        <v>-40.5</v>
      </c>
      <c r="C87">
        <f>IF(MOD(B87,20)=0,TEXT(B87,"0"),"")</f>
        <v/>
      </c>
      <c r="D87" t="n">
        <v>10.46101129270578</v>
      </c>
      <c r="E87" t="n">
        <v>203.9407258947849</v>
      </c>
      <c r="F87" t="n">
        <v>0</v>
      </c>
      <c r="G87" t="n">
        <v>0</v>
      </c>
      <c r="H87" t="n">
        <v>35.59826281250931</v>
      </c>
      <c r="J87" t="n">
        <v>-72.18600000000001</v>
      </c>
      <c r="K87" t="n">
        <v>1.6709</v>
      </c>
      <c r="L87">
        <f>(J87-Diagramm_Tmin)/Diagramm_dT+1</f>
        <v/>
      </c>
      <c r="M87">
        <f>IF(J87="","",IF(J87&lt;Zoom_Tmin,NA(),(J87-Zoom_Tmin)/Diagramm_dT+1))</f>
        <v/>
      </c>
      <c r="N87">
        <f>IF(J87="","",IF(J87&lt;Zoom2_Tmin,NA(),(J87-Zoom2_Tmin)/Diagramm_dT+1))</f>
        <v/>
      </c>
      <c r="P87" t="n">
        <v>9.861280094947103</v>
      </c>
      <c r="Q87" t="n">
        <v>240.1387199050529</v>
      </c>
      <c r="R87" t="n">
        <v>0</v>
      </c>
    </row>
    <row r="88">
      <c r="B88" t="n">
        <v>-40</v>
      </c>
      <c r="C88">
        <f>IF(MOD(B88,20)=0,TEXT(B88,"0"),"")</f>
        <v/>
      </c>
      <c r="D88" t="n">
        <v>10.65706737848825</v>
      </c>
      <c r="E88" t="n">
        <v>203.9818957914769</v>
      </c>
      <c r="F88" t="n">
        <v>0</v>
      </c>
      <c r="G88" t="n">
        <v>0</v>
      </c>
      <c r="H88" t="n">
        <v>35.3610368300349</v>
      </c>
      <c r="J88" t="n">
        <v>-71.2092</v>
      </c>
      <c r="K88" t="n">
        <v>1.8014</v>
      </c>
      <c r="L88">
        <f>(J88-Diagramm_Tmin)/Diagramm_dT+1</f>
        <v/>
      </c>
      <c r="M88">
        <f>IF(J88="","",IF(J88&lt;Zoom_Tmin,NA(),(J88-Zoom_Tmin)/Diagramm_dT+1))</f>
        <v/>
      </c>
      <c r="N88">
        <f>IF(J88="","",IF(J88&lt;Zoom2_Tmin,NA(),(J88-Zoom2_Tmin)/Diagramm_dT+1))</f>
        <v/>
      </c>
      <c r="P88" t="n">
        <v>10.04495728044085</v>
      </c>
      <c r="Q88" t="n">
        <v>239.9550427195591</v>
      </c>
      <c r="R88" t="n">
        <v>0</v>
      </c>
    </row>
    <row r="89">
      <c r="B89" t="n">
        <v>-39.5</v>
      </c>
      <c r="C89">
        <f>IF(MOD(B89,20)=0,TEXT(B89,"0"),"")</f>
        <v/>
      </c>
      <c r="D89" t="n">
        <v>10.85586251788161</v>
      </c>
      <c r="E89" t="n">
        <v>204.0168920352974</v>
      </c>
      <c r="F89" t="n">
        <v>0</v>
      </c>
      <c r="G89" t="n">
        <v>0</v>
      </c>
      <c r="H89" t="n">
        <v>35.12724544682104</v>
      </c>
      <c r="J89" t="n">
        <v>-70.2325</v>
      </c>
      <c r="K89" t="n">
        <v>1.9408</v>
      </c>
      <c r="L89">
        <f>(J89-Diagramm_Tmin)/Diagramm_dT+1</f>
        <v/>
      </c>
      <c r="M89">
        <f>IF(J89="","",IF(J89&lt;Zoom_Tmin,NA(),(J89-Zoom_Tmin)/Diagramm_dT+1))</f>
        <v/>
      </c>
      <c r="N89">
        <f>IF(J89="","",IF(J89&lt;Zoom2_Tmin,NA(),(J89-Zoom2_Tmin)/Diagramm_dT+1))</f>
        <v/>
      </c>
      <c r="P89" t="n">
        <v>10.23116042230799</v>
      </c>
      <c r="Q89" t="n">
        <v>239.768839577692</v>
      </c>
      <c r="R89" t="n">
        <v>0</v>
      </c>
    </row>
    <row r="90">
      <c r="B90" t="n">
        <v>-39</v>
      </c>
      <c r="C90">
        <f>IF(MOD(B90,20)=0,TEXT(B90,"0"),"")</f>
        <v/>
      </c>
      <c r="D90" t="n">
        <v>11.05742123129877</v>
      </c>
      <c r="E90" t="n">
        <v>204.0457821875983</v>
      </c>
      <c r="F90" t="n">
        <v>0</v>
      </c>
      <c r="G90" t="n">
        <v>0</v>
      </c>
      <c r="H90" t="n">
        <v>34.89679658110288</v>
      </c>
      <c r="J90" t="n">
        <v>-69.2557</v>
      </c>
      <c r="K90" t="n">
        <v>2.0897</v>
      </c>
      <c r="L90">
        <f>(J90-Diagramm_Tmin)/Diagramm_dT+1</f>
        <v/>
      </c>
      <c r="M90">
        <f>IF(J90="","",IF(J90&lt;Zoom_Tmin,NA(),(J90-Zoom_Tmin)/Diagramm_dT+1))</f>
        <v/>
      </c>
      <c r="N90">
        <f>IF(J90="","",IF(J90&lt;Zoom2_Tmin,NA(),(J90-Zoom2_Tmin)/Diagramm_dT+1))</f>
        <v/>
      </c>
      <c r="P90" t="n">
        <v>10.41991082019899</v>
      </c>
      <c r="Q90" t="n">
        <v>239.580089179801</v>
      </c>
      <c r="R90" t="n">
        <v>0</v>
      </c>
    </row>
    <row r="91">
      <c r="B91" t="n">
        <v>-38.5</v>
      </c>
      <c r="C91">
        <f>IF(MOD(B91,20)=0,TEXT(B91,"0"),"")</f>
        <v/>
      </c>
      <c r="D91" t="n">
        <v>11.26176814842462</v>
      </c>
      <c r="E91" t="n">
        <v>204.068631339663</v>
      </c>
      <c r="F91" t="n">
        <v>0</v>
      </c>
      <c r="G91" t="n">
        <v>0</v>
      </c>
      <c r="H91" t="n">
        <v>34.66960051191238</v>
      </c>
      <c r="J91" t="n">
        <v>-68.279</v>
      </c>
      <c r="K91" t="n">
        <v>2.2485</v>
      </c>
      <c r="L91">
        <f>(J91-Diagramm_Tmin)/Diagramm_dT+1</f>
        <v/>
      </c>
      <c r="M91">
        <f>IF(J91="","",IF(J91&lt;Zoom_Tmin,NA(),(J91-Zoom_Tmin)/Diagramm_dT+1))</f>
        <v/>
      </c>
      <c r="N91">
        <f>IF(J91="","",IF(J91&lt;Zoom2_Tmin,NA(),(J91-Zoom2_Tmin)/Diagramm_dT+1))</f>
        <v/>
      </c>
      <c r="P91" t="n">
        <v>10.61122982896999</v>
      </c>
      <c r="Q91" t="n">
        <v>239.38877017103</v>
      </c>
      <c r="R91" t="n">
        <v>0</v>
      </c>
    </row>
    <row r="92">
      <c r="B92" t="n">
        <v>-38</v>
      </c>
      <c r="C92">
        <f>IF(MOD(B92,20)=0,TEXT(B92,"0"),"")</f>
        <v/>
      </c>
      <c r="D92" t="n">
        <v>11.46892800980112</v>
      </c>
      <c r="E92" t="n">
        <v>204.0855022026658</v>
      </c>
      <c r="F92" t="n">
        <v>0</v>
      </c>
      <c r="G92" t="n">
        <v>0</v>
      </c>
      <c r="H92" t="n">
        <v>34.44556978753312</v>
      </c>
      <c r="J92" t="n">
        <v>-67.3022</v>
      </c>
      <c r="K92" t="n">
        <v>2.418</v>
      </c>
      <c r="L92">
        <f>(J92-Diagramm_Tmin)/Diagramm_dT+1</f>
        <v/>
      </c>
      <c r="M92">
        <f>IF(J92="","",IF(J92&lt;Zoom_Tmin,NA(),(J92-Zoom_Tmin)/Diagramm_dT+1))</f>
        <v/>
      </c>
      <c r="N92">
        <f>IF(J92="","",IF(J92&lt;Zoom2_Tmin,NA(),(J92-Zoom2_Tmin)/Diagramm_dT+1))</f>
        <v/>
      </c>
      <c r="P92" t="n">
        <v>10.80513885891587</v>
      </c>
      <c r="Q92" t="n">
        <v>239.1948611410841</v>
      </c>
      <c r="R92" t="n">
        <v>0</v>
      </c>
    </row>
    <row r="93">
      <c r="B93" t="n">
        <v>-37.5</v>
      </c>
      <c r="C93">
        <f>IF(MOD(B93,20)=0,TEXT(B93,"0"),"")</f>
        <v/>
      </c>
      <c r="D93" t="n">
        <v>11.67892566846905</v>
      </c>
      <c r="E93" t="n">
        <v>204.0964551941201</v>
      </c>
      <c r="F93" t="n">
        <v>0</v>
      </c>
      <c r="G93" t="n">
        <v>0</v>
      </c>
      <c r="H93" t="n">
        <v>34.22461913741085</v>
      </c>
      <c r="J93" t="n">
        <v>-66.32550000000001</v>
      </c>
      <c r="K93" t="n">
        <v>2.5985</v>
      </c>
      <c r="L93">
        <f>(J93-Diagramm_Tmin)/Diagramm_dT+1</f>
        <v/>
      </c>
      <c r="M93">
        <f>IF(J93="","",IF(J93&lt;Zoom_Tmin,NA(),(J93-Zoom_Tmin)/Diagramm_dT+1))</f>
        <v/>
      </c>
      <c r="N93">
        <f>IF(J93="","",IF(J93&lt;Zoom2_Tmin,NA(),(J93-Zoom2_Tmin)/Diagramm_dT+1))</f>
        <v/>
      </c>
      <c r="P93" t="n">
        <v>11.00165937602883</v>
      </c>
      <c r="Q93" t="n">
        <v>238.9983406239712</v>
      </c>
      <c r="R93" t="n">
        <v>0</v>
      </c>
    </row>
    <row r="94">
      <c r="B94" t="n">
        <v>-37</v>
      </c>
      <c r="C94">
        <f>IF(MOD(B94,20)=0,TEXT(B94,"0"),"")</f>
        <v/>
      </c>
      <c r="D94" t="n">
        <v>11.89178609167958</v>
      </c>
      <c r="E94" t="n">
        <v>204.1015485209442</v>
      </c>
      <c r="F94" t="n">
        <v>0</v>
      </c>
      <c r="G94" t="n">
        <v>0</v>
      </c>
      <c r="H94" t="n">
        <v>34.00666538737624</v>
      </c>
      <c r="J94" t="n">
        <v>-65.34869999999999</v>
      </c>
      <c r="K94" t="n">
        <v>2.791</v>
      </c>
      <c r="L94">
        <f>(J94-Diagramm_Tmin)/Diagramm_dT+1</f>
        <v/>
      </c>
      <c r="M94">
        <f>IF(J94="","",IF(J94&lt;Zoom_Tmin,NA(),(J94-Zoom_Tmin)/Diagramm_dT+1))</f>
        <v/>
      </c>
      <c r="N94">
        <f>IF(J94="","",IF(J94&lt;Zoom2_Tmin,NA(),(J94-Zoom2_Tmin)/Diagramm_dT+1))</f>
        <v/>
      </c>
      <c r="P94" t="n">
        <v>11.20081290228245</v>
      </c>
      <c r="Q94" t="n">
        <v>238.7991870977175</v>
      </c>
      <c r="R94" t="n">
        <v>0</v>
      </c>
    </row>
    <row r="95">
      <c r="B95" t="n">
        <v>-36.5</v>
      </c>
      <c r="C95">
        <f>IF(MOD(B95,20)=0,TEXT(B95,"0"),"")</f>
        <v/>
      </c>
      <c r="D95" t="n">
        <v>12.10753436260065</v>
      </c>
      <c r="E95" t="n">
        <v>204.1008382593174</v>
      </c>
      <c r="F95" t="n">
        <v>0</v>
      </c>
      <c r="G95" t="n">
        <v>0</v>
      </c>
      <c r="H95" t="n">
        <v>33.79162737808198</v>
      </c>
      <c r="J95" t="n">
        <v>-64.372</v>
      </c>
      <c r="K95" t="n">
        <v>2.9959</v>
      </c>
      <c r="L95">
        <f>(J95-Diagramm_Tmin)/Diagramm_dT+1</f>
        <v/>
      </c>
      <c r="M95">
        <f>IF(J95="","",IF(J95&lt;Zoom_Tmin,NA(),(J95-Zoom_Tmin)/Diagramm_dT+1))</f>
        <v/>
      </c>
      <c r="N95">
        <f>IF(J95="","",IF(J95&lt;Zoom2_Tmin,NA(),(J95-Zoom2_Tmin)/Diagramm_dT+1))</f>
        <v/>
      </c>
      <c r="P95" t="n">
        <v>11.40262101594118</v>
      </c>
      <c r="Q95" t="n">
        <v>238.5973789840588</v>
      </c>
      <c r="R95" t="n">
        <v>0</v>
      </c>
    </row>
    <row r="96">
      <c r="B96" t="n">
        <v>-36</v>
      </c>
      <c r="C96">
        <f>IF(MOD(B96,20)=0,TEXT(B96,"0"),"")</f>
        <v/>
      </c>
      <c r="D96" t="n">
        <v>12.32619568227421</v>
      </c>
      <c r="E96" t="n">
        <v>204.09437843144</v>
      </c>
      <c r="F96" t="n">
        <v>0</v>
      </c>
      <c r="G96" t="n">
        <v>0</v>
      </c>
      <c r="H96" t="n">
        <v>33.57942588628576</v>
      </c>
      <c r="J96" t="n">
        <v>-63.3952</v>
      </c>
      <c r="K96" t="n">
        <v>3.214</v>
      </c>
      <c r="L96">
        <f>(J96-Diagramm_Tmin)/Diagramm_dT+1</f>
        <v/>
      </c>
      <c r="M96">
        <f>IF(J96="","",IF(J96&lt;Zoom_Tmin,NA(),(J96-Zoom_Tmin)/Diagramm_dT+1))</f>
        <v/>
      </c>
      <c r="N96">
        <f>IF(J96="","",IF(J96&lt;Zoom2_Tmin,NA(),(J96-Zoom2_Tmin)/Diagramm_dT+1))</f>
        <v/>
      </c>
      <c r="P96" t="n">
        <v>11.60710535189593</v>
      </c>
      <c r="Q96" t="n">
        <v>238.3928946481041</v>
      </c>
      <c r="R96" t="n">
        <v>0</v>
      </c>
    </row>
    <row r="97">
      <c r="B97" t="n">
        <v>-35.5</v>
      </c>
      <c r="C97">
        <f>IF(MOD(B97,20)=0,TEXT(B97,"0"),"")</f>
        <v/>
      </c>
      <c r="D97" t="n">
        <v>12.54779537150003</v>
      </c>
      <c r="E97" t="n">
        <v>204.0822210793607</v>
      </c>
      <c r="F97" t="n">
        <v>0</v>
      </c>
      <c r="G97" t="n">
        <v>0</v>
      </c>
      <c r="H97" t="n">
        <v>33.36998354913921</v>
      </c>
      <c r="J97" t="n">
        <v>-62.4185</v>
      </c>
      <c r="K97" t="n">
        <v>3.4462</v>
      </c>
      <c r="L97">
        <f>(J97-Diagramm_Tmin)/Diagramm_dT+1</f>
        <v/>
      </c>
      <c r="M97">
        <f>IF(J97="","",IF(J97&lt;Zoom_Tmin,NA(),(J97-Zoom_Tmin)/Diagramm_dT+1))</f>
        <v/>
      </c>
      <c r="N97">
        <f>IF(J97="","",IF(J97&lt;Zoom2_Tmin,NA(),(J97-Zoom2_Tmin)/Diagramm_dT+1))</f>
        <v/>
      </c>
      <c r="P97" t="n">
        <v>11.81428760202615</v>
      </c>
      <c r="Q97" t="n">
        <v>238.1857123979738</v>
      </c>
      <c r="R97" t="n">
        <v>0</v>
      </c>
    </row>
    <row r="98">
      <c r="B98" t="n">
        <v>-35</v>
      </c>
      <c r="C98">
        <f>IF(MOD(B98,20)=0,TEXT(B98,"0"),"")</f>
        <v/>
      </c>
      <c r="D98" t="n">
        <v>12.7723588728898</v>
      </c>
      <c r="E98" t="n">
        <v>204.0644163359932</v>
      </c>
      <c r="F98" t="n">
        <v>0</v>
      </c>
      <c r="G98" t="n">
        <v>0</v>
      </c>
      <c r="H98" t="n">
        <v>33.16322479111697</v>
      </c>
      <c r="J98" t="n">
        <v>-61.4417</v>
      </c>
      <c r="K98" t="n">
        <v>3.693</v>
      </c>
      <c r="L98">
        <f>(J98-Diagramm_Tmin)/Diagramm_dT+1</f>
        <v/>
      </c>
      <c r="M98">
        <f>IF(J98="","",IF(J98&lt;Zoom_Tmin,NA(),(J98-Zoom_Tmin)/Diagramm_dT+1))</f>
        <v/>
      </c>
      <c r="N98">
        <f>IF(J98="","",IF(J98&lt;Zoom2_Tmin,NA(),(J98-Zoom2_Tmin)/Diagramm_dT+1))</f>
        <v/>
      </c>
      <c r="P98" t="n">
        <v>12.0241895155889</v>
      </c>
      <c r="Q98" t="n">
        <v>237.9758104844111</v>
      </c>
      <c r="R98" t="n">
        <v>0</v>
      </c>
    </row>
    <row r="99">
      <c r="B99" t="n">
        <v>-34.5</v>
      </c>
      <c r="C99">
        <f>IF(MOD(B99,20)=0,TEXT(B99,"0"),"")</f>
        <v/>
      </c>
      <c r="D99" t="n">
        <v>12.99991175304296</v>
      </c>
      <c r="E99" t="n">
        <v>204.041012493397</v>
      </c>
      <c r="F99" t="n">
        <v>0</v>
      </c>
      <c r="G99" t="n">
        <v>0</v>
      </c>
      <c r="H99" t="n">
        <v>32.95907575356</v>
      </c>
      <c r="J99" t="n">
        <v>-60.465</v>
      </c>
      <c r="K99" t="n">
        <v>3.9555</v>
      </c>
      <c r="L99">
        <f>(J99-Diagramm_Tmin)/Diagramm_dT+1</f>
        <v/>
      </c>
      <c r="M99">
        <f>IF(J99="","",IF(J99&lt;Zoom_Tmin,NA(),(J99-Zoom_Tmin)/Diagramm_dT+1))</f>
        <v/>
      </c>
      <c r="N99">
        <f>IF(J99="","",IF(J99&lt;Zoom2_Tmin,NA(),(J99-Zoom2_Tmin)/Diagramm_dT+1))</f>
        <v/>
      </c>
      <c r="P99" t="n">
        <v>12.23683289963619</v>
      </c>
      <c r="Q99" t="n">
        <v>237.7631671003638</v>
      </c>
      <c r="R99" t="n">
        <v>0</v>
      </c>
    </row>
    <row r="100">
      <c r="B100" t="n">
        <v>-34</v>
      </c>
      <c r="C100">
        <f>IF(MOD(B100,20)=0,TEXT(B100,"0"),"")</f>
        <v/>
      </c>
      <c r="D100" t="n">
        <v>13.23047970475253</v>
      </c>
      <c r="E100" t="n">
        <v>204.0120560685381</v>
      </c>
      <c r="F100" t="n">
        <v>0</v>
      </c>
      <c r="G100" t="n">
        <v>0</v>
      </c>
      <c r="H100" t="n">
        <v>32.75746422670937</v>
      </c>
      <c r="J100" t="n">
        <v>-59.4882</v>
      </c>
      <c r="K100" t="n">
        <v>4.2344</v>
      </c>
      <c r="L100">
        <f>(J100-Diagramm_Tmin)/Diagramm_dT+1</f>
        <v/>
      </c>
      <c r="M100">
        <f>IF(J100="","",IF(J100&lt;Zoom_Tmin,NA(),(J100-Zoom_Tmin)/Diagramm_dT+1))</f>
        <v/>
      </c>
      <c r="N100">
        <f>IF(J100="","",IF(J100&lt;Zoom2_Tmin,NA(),(J100-Zoom2_Tmin)/Diagramm_dT+1))</f>
        <v/>
      </c>
      <c r="P100" t="n">
        <v>12.45223961946113</v>
      </c>
      <c r="Q100" t="n">
        <v>237.5477603805389</v>
      </c>
      <c r="R100" t="n">
        <v>0</v>
      </c>
    </row>
    <row r="101">
      <c r="B101" t="n">
        <v>-33.5</v>
      </c>
      <c r="C101">
        <f>IF(MOD(B101,20)=0,TEXT(B101,"0"),"")</f>
        <v/>
      </c>
      <c r="D101" t="n">
        <v>13.46408854933831</v>
      </c>
      <c r="E101" t="n">
        <v>203.977591866575</v>
      </c>
      <c r="F101" t="n">
        <v>0</v>
      </c>
      <c r="G101" t="n">
        <v>0</v>
      </c>
      <c r="H101" t="n">
        <v>32.55831958408672</v>
      </c>
      <c r="J101" t="n">
        <v>-58.5115</v>
      </c>
      <c r="K101" t="n">
        <v>4.5308</v>
      </c>
      <c r="L101">
        <f>(J101-Diagramm_Tmin)/Diagramm_dT+1</f>
        <v/>
      </c>
      <c r="M101">
        <f>IF(J101="","",IF(J101&lt;Zoom_Tmin,NA(),(J101-Zoom_Tmin)/Diagramm_dT+1))</f>
        <v/>
      </c>
      <c r="N101">
        <f>IF(J101="","",IF(J101&lt;Zoom2_Tmin,NA(),(J101-Zoom2_Tmin)/Diagramm_dT+1))</f>
        <v/>
      </c>
      <c r="P101" t="n">
        <v>12.67043159907449</v>
      </c>
      <c r="Q101" t="n">
        <v>237.3295684009255</v>
      </c>
      <c r="R101" t="n">
        <v>0</v>
      </c>
    </row>
    <row r="102">
      <c r="B102" t="n">
        <v>-33</v>
      </c>
      <c r="C102">
        <f>IF(MOD(B102,20)=0,TEXT(B102,"0"),"")</f>
        <v/>
      </c>
      <c r="D102" t="n">
        <v>13.70076423918927</v>
      </c>
      <c r="E102" t="n">
        <v>203.9376630417777</v>
      </c>
      <c r="F102" t="n">
        <v>0</v>
      </c>
      <c r="G102" t="n">
        <v>0</v>
      </c>
      <c r="H102" t="n">
        <v>32.36157271903301</v>
      </c>
      <c r="J102" t="n">
        <v>-57.5347</v>
      </c>
      <c r="K102" t="n">
        <v>4.8455</v>
      </c>
      <c r="L102">
        <f>(J102-Diagramm_Tmin)/Diagramm_dT+1</f>
        <v/>
      </c>
      <c r="M102">
        <f>IF(J102="","",IF(J102&lt;Zoom_Tmin,NA(),(J102-Zoom_Tmin)/Diagramm_dT+1))</f>
        <v/>
      </c>
      <c r="N102">
        <f>IF(J102="","",IF(J102&lt;Zoom2_Tmin,NA(),(J102-Zoom2_Tmin)/Diagramm_dT+1))</f>
        <v/>
      </c>
      <c r="P102" t="n">
        <v>12.89143082171305</v>
      </c>
      <c r="Q102" t="n">
        <v>237.108569178287</v>
      </c>
      <c r="R102" t="n">
        <v>0</v>
      </c>
    </row>
    <row r="103">
      <c r="B103" t="n">
        <v>-32.5</v>
      </c>
      <c r="C103">
        <f>IF(MOD(B103,20)=0,TEXT(B103,"0"),"")</f>
        <v/>
      </c>
      <c r="D103" t="n">
        <v>13.94053286028767</v>
      </c>
      <c r="E103" t="n">
        <v>203.8923111562753</v>
      </c>
      <c r="F103" t="n">
        <v>0</v>
      </c>
      <c r="G103" t="n">
        <v>0</v>
      </c>
      <c r="H103" t="n">
        <v>32.16715598343704</v>
      </c>
      <c r="J103" t="n">
        <v>-56.558</v>
      </c>
      <c r="K103" t="n">
        <v>5.1796</v>
      </c>
      <c r="L103">
        <f>(J103-Diagramm_Tmin)/Diagramm_dT+1</f>
        <v/>
      </c>
      <c r="M103">
        <f>IF(J103="","",IF(J103&lt;Zoom_Tmin,NA(),(J103-Zoom_Tmin)/Diagramm_dT+1))</f>
        <v/>
      </c>
      <c r="N103">
        <f>IF(J103="","",IF(J103&lt;Zoom2_Tmin,NA(),(J103-Zoom2_Tmin)/Diagramm_dT+1))</f>
        <v/>
      </c>
      <c r="P103" t="n">
        <v>13.11525933038144</v>
      </c>
      <c r="Q103" t="n">
        <v>236.8847406696186</v>
      </c>
      <c r="R103" t="n">
        <v>0</v>
      </c>
    </row>
    <row r="104">
      <c r="B104" t="n">
        <v>-32</v>
      </c>
      <c r="C104">
        <f>IF(MOD(B104,20)=0,TEXT(B104,"0"),"")</f>
        <v/>
      </c>
      <c r="D104" t="n">
        <v>14.18335170318513</v>
      </c>
      <c r="E104" t="n">
        <v>203.8415762366523</v>
      </c>
      <c r="F104" t="n">
        <v>0</v>
      </c>
      <c r="G104" t="n">
        <v>0</v>
      </c>
      <c r="H104" t="n">
        <v>31.97507206016257</v>
      </c>
      <c r="M104">
        <f>IF(J104="","",IF(J104&lt;Zoom_Tmin,NA(),(J104-Zoom_Tmin)/Diagramm_dT+1))</f>
        <v/>
      </c>
      <c r="N104">
        <f>IF(J104="","",IF(J104&lt;Zoom2_Tmin,NA(),(J104-Zoom2_Tmin)/Diagramm_dT+1))</f>
        <v/>
      </c>
      <c r="P104" t="n">
        <v>13.34193922842923</v>
      </c>
      <c r="Q104" t="n">
        <v>236.6580607715708</v>
      </c>
      <c r="R104" t="n">
        <v>0</v>
      </c>
    </row>
    <row r="105">
      <c r="B105" t="n">
        <v>-31.5</v>
      </c>
      <c r="C105">
        <f>IF(MOD(B105,20)=0,TEXT(B105,"0"),"")</f>
        <v/>
      </c>
      <c r="D105" t="n">
        <v>14.42945392465951</v>
      </c>
      <c r="E105" t="n">
        <v>203.7854968285251</v>
      </c>
      <c r="F105" t="n">
        <v>0</v>
      </c>
      <c r="G105" t="n">
        <v>0</v>
      </c>
      <c r="H105" t="n">
        <v>31.78504924681538</v>
      </c>
      <c r="I105" s="76" t="inlineStr">
        <is>
          <t>Schmelzlinie</t>
        </is>
      </c>
      <c r="J105" t="n">
        <v>-56.558</v>
      </c>
      <c r="K105" t="n">
        <v>5.1796</v>
      </c>
      <c r="L105">
        <f>(J105-Diagramm_Tmin)/Diagramm_dT+1</f>
        <v/>
      </c>
      <c r="M105">
        <f>IF(J105="","",IF(J105&lt;Zoom_Tmin,NA(),(J105-Zoom_Tmin)/Diagramm_dT+1))</f>
        <v/>
      </c>
      <c r="N105">
        <f>IF(J105="","",IF(J105&lt;Zoom2_Tmin,NA(),(J105-Zoom2_Tmin)/Diagramm_dT+1))</f>
        <v/>
      </c>
      <c r="P105" t="n">
        <v>13.57149268016556</v>
      </c>
      <c r="Q105" t="n">
        <v>236.4285073198344</v>
      </c>
      <c r="R105" t="n">
        <v>0</v>
      </c>
    </row>
    <row r="106">
      <c r="B106" t="n">
        <v>-31</v>
      </c>
      <c r="C106">
        <f>IF(MOD(B106,20)=0,TEXT(B106,"0"),"")</f>
        <v/>
      </c>
      <c r="D106" t="n">
        <v>14.67865923303804</v>
      </c>
      <c r="E106" t="n">
        <v>203.7241100492744</v>
      </c>
      <c r="F106" t="n">
        <v>0</v>
      </c>
      <c r="G106" t="n">
        <v>0</v>
      </c>
      <c r="H106" t="n">
        <v>31.59723071768756</v>
      </c>
      <c r="J106" t="n">
        <v>-56.1931</v>
      </c>
      <c r="K106" t="n">
        <v>22.274</v>
      </c>
      <c r="L106">
        <f>(J106-Diagramm_Tmin)/Diagramm_dT+1</f>
        <v/>
      </c>
      <c r="M106">
        <f>IF(J106="","",IF(J106&lt;Zoom_Tmin,NA(),(J106-Zoom_Tmin)/Diagramm_dT+1))</f>
        <v/>
      </c>
      <c r="N106">
        <f>IF(J106="","",IF(J106&lt;Zoom2_Tmin,NA(),(J106-Zoom2_Tmin)/Diagramm_dT+1))</f>
        <v/>
      </c>
      <c r="P106" t="n">
        <v>13.80394191151353</v>
      </c>
      <c r="Q106" t="n">
        <v>236.1960580884865</v>
      </c>
      <c r="R106" t="n">
        <v>0</v>
      </c>
    </row>
    <row r="107">
      <c r="B107" t="n">
        <v>-30.5</v>
      </c>
      <c r="C107">
        <f>IF(MOD(B107,20)=0,TEXT(B107,"0"),"")</f>
        <v/>
      </c>
      <c r="D107" t="n">
        <v>14.93106320897833</v>
      </c>
      <c r="E107" t="n">
        <v>203.6574516388902</v>
      </c>
      <c r="F107" t="n">
        <v>0</v>
      </c>
      <c r="G107" t="n">
        <v>0</v>
      </c>
      <c r="H107" t="n">
        <v>31.4114851521315</v>
      </c>
      <c r="J107" t="n">
        <v>-55.8282</v>
      </c>
      <c r="K107" t="n">
        <v>39.4288</v>
      </c>
      <c r="L107">
        <f>(J107-Diagramm_Tmin)/Diagramm_dT+1</f>
        <v/>
      </c>
      <c r="M107">
        <f>IF(J107="","",IF(J107&lt;Zoom_Tmin,NA(),(J107-Zoom_Tmin)/Diagramm_dT+1))</f>
        <v/>
      </c>
      <c r="N107">
        <f>IF(J107="","",IF(J107&lt;Zoom2_Tmin,NA(),(J107-Zoom2_Tmin)/Diagramm_dT+1))</f>
        <v/>
      </c>
      <c r="P107" t="n">
        <v>14.03930921070683</v>
      </c>
      <c r="Q107" t="n">
        <v>235.9606907892932</v>
      </c>
      <c r="R107" t="n">
        <v>0</v>
      </c>
    </row>
    <row r="108">
      <c r="B108" t="n">
        <v>-30</v>
      </c>
      <c r="C108">
        <f>IF(MOD(B108,20)=0,TEXT(B108,"0"),"")</f>
        <v/>
      </c>
      <c r="D108" t="n">
        <v>15.18669264994402</v>
      </c>
      <c r="E108" t="n">
        <v>203.5855560091868</v>
      </c>
      <c r="F108" t="n">
        <v>0</v>
      </c>
      <c r="G108" t="n">
        <v>0</v>
      </c>
      <c r="H108" t="n">
        <v>31.22775134086918</v>
      </c>
      <c r="J108" t="n">
        <v>-55.4633</v>
      </c>
      <c r="K108" t="n">
        <v>56.644</v>
      </c>
      <c r="L108">
        <f>(J108-Diagramm_Tmin)/Diagramm_dT+1</f>
        <v/>
      </c>
      <c r="M108">
        <f>IF(J108="","",IF(J108&lt;Zoom_Tmin,NA(),(J108-Zoom_Tmin)/Diagramm_dT+1))</f>
        <v/>
      </c>
      <c r="N108">
        <f>IF(J108="","",IF(J108&lt;Zoom2_Tmin,NA(),(J108-Zoom2_Tmin)/Diagramm_dT+1))</f>
        <v/>
      </c>
      <c r="P108" t="n">
        <v>14.27761692903131</v>
      </c>
      <c r="Q108" t="n">
        <v>235.7223830709687</v>
      </c>
      <c r="R108" t="n">
        <v>0</v>
      </c>
    </row>
    <row r="109">
      <c r="B109" t="n">
        <v>-29.5</v>
      </c>
      <c r="C109">
        <f>IF(MOD(B109,20)=0,TEXT(B109,"0"),"")</f>
        <v/>
      </c>
      <c r="D109" t="n">
        <v>15.44557450534102</v>
      </c>
      <c r="E109" t="n">
        <v>203.5084562913788</v>
      </c>
      <c r="F109" t="n">
        <v>0</v>
      </c>
      <c r="G109" t="n">
        <v>0</v>
      </c>
      <c r="H109" t="n">
        <v>31.04596920328019</v>
      </c>
      <c r="J109" t="n">
        <v>-55.0984</v>
      </c>
      <c r="K109" t="n">
        <v>73.91970000000001</v>
      </c>
      <c r="L109">
        <f>(J109-Diagramm_Tmin)/Diagramm_dT+1</f>
        <v/>
      </c>
      <c r="M109">
        <f>IF(J109="","",IF(J109&lt;Zoom_Tmin,NA(),(J109-Zoom_Tmin)/Diagramm_dT+1))</f>
        <v/>
      </c>
      <c r="N109">
        <f>IF(J109="","",IF(J109&lt;Zoom2_Tmin,NA(),(J109-Zoom2_Tmin)/Diagramm_dT+1))</f>
        <v/>
      </c>
      <c r="P109" t="n">
        <v>14.51888748161414</v>
      </c>
      <c r="Q109" t="n">
        <v>235.4811125183859</v>
      </c>
      <c r="R109" t="n">
        <v>0</v>
      </c>
    </row>
    <row r="110">
      <c r="B110" t="n">
        <v>-29</v>
      </c>
      <c r="C110">
        <f>IF(MOD(B110,20)=0,TEXT(B110,"0"),"")</f>
        <v/>
      </c>
      <c r="D110" t="n">
        <v>15.70773588018636</v>
      </c>
      <c r="E110" t="n">
        <v>203.4261843821331</v>
      </c>
      <c r="F110" t="n">
        <v>0</v>
      </c>
      <c r="G110" t="n">
        <v>0</v>
      </c>
      <c r="H110" t="n">
        <v>30.86607973768055</v>
      </c>
      <c r="J110" t="n">
        <v>-54.7336</v>
      </c>
      <c r="K110" t="n">
        <v>91.2557</v>
      </c>
      <c r="L110">
        <f>(J110-Diagramm_Tmin)/Diagramm_dT+1</f>
        <v/>
      </c>
      <c r="M110">
        <f>IF(J110="","",IF(J110&lt;Zoom_Tmin,NA(),(J110-Zoom_Tmin)/Diagramm_dT+1))</f>
        <v/>
      </c>
      <c r="N110">
        <f>IF(J110="","",IF(J110&lt;Zoom2_Tmin,NA(),(J110-Zoom2_Tmin)/Diagramm_dT+1))</f>
        <v/>
      </c>
      <c r="P110" t="n">
        <v>14.76314334826369</v>
      </c>
      <c r="Q110" t="n">
        <v>235.2368566517363</v>
      </c>
      <c r="R110" t="n">
        <v>0</v>
      </c>
    </row>
    <row r="111">
      <c r="B111" t="n">
        <v>-28.5</v>
      </c>
      <c r="C111">
        <f>IF(MOD(B111,20)=0,TEXT(B111,"0"),"")</f>
        <v/>
      </c>
      <c r="D111" t="n">
        <v>15.97320403872758</v>
      </c>
      <c r="E111" t="n">
        <v>203.3387709882026</v>
      </c>
      <c r="F111" t="n">
        <v>0</v>
      </c>
      <c r="G111" t="n">
        <v>0</v>
      </c>
      <c r="H111" t="n">
        <v>30.68802497306979</v>
      </c>
      <c r="J111" t="n">
        <v>-54.3687</v>
      </c>
      <c r="K111" t="n">
        <v>108.6523</v>
      </c>
      <c r="L111">
        <f>(J111-Diagramm_Tmin)/Diagramm_dT+1</f>
        <v/>
      </c>
      <c r="M111">
        <f>IF(J111="","",IF(J111&lt;Zoom_Tmin,NA(),(J111-Zoom_Tmin)/Diagramm_dT+1))</f>
        <v/>
      </c>
      <c r="N111">
        <f>IF(J111="","",IF(J111&lt;Zoom2_Tmin,NA(),(J111-Zoom2_Tmin)/Diagramm_dT+1))</f>
        <v/>
      </c>
      <c r="P111" t="n">
        <v>15.01040707436286</v>
      </c>
      <c r="Q111" t="n">
        <v>234.9895929256371</v>
      </c>
      <c r="R111" t="n">
        <v>0</v>
      </c>
    </row>
    <row r="112">
      <c r="B112" t="n">
        <v>-28</v>
      </c>
      <c r="C112">
        <f>IF(MOD(B112,20)=0,TEXT(B112,"0"),"")</f>
        <v/>
      </c>
      <c r="D112" t="n">
        <v>16.24200640853723</v>
      </c>
      <c r="E112" t="n">
        <v>203.2462457539538</v>
      </c>
      <c r="F112" t="n">
        <v>0</v>
      </c>
      <c r="G112" t="n">
        <v>0</v>
      </c>
      <c r="H112" t="n">
        <v>30.51174783750899</v>
      </c>
      <c r="J112" t="n">
        <v>-54.0038</v>
      </c>
      <c r="K112" t="n">
        <v>126.1092</v>
      </c>
      <c r="L112">
        <f>(J112-Diagramm_Tmin)/Diagramm_dT+1</f>
        <v/>
      </c>
      <c r="M112">
        <f>IF(J112="","",IF(J112&lt;Zoom_Tmin,NA(),(J112-Zoom_Tmin)/Diagramm_dT+1))</f>
        <v/>
      </c>
      <c r="N112">
        <f>IF(J112="","",IF(J112&lt;Zoom2_Tmin,NA(),(J112-Zoom2_Tmin)/Diagramm_dT+1))</f>
        <v/>
      </c>
      <c r="P112" t="n">
        <v>15.26070127181911</v>
      </c>
      <c r="Q112" t="n">
        <v>234.7392987281809</v>
      </c>
      <c r="R112" t="n">
        <v>0</v>
      </c>
    </row>
    <row r="113">
      <c r="B113" t="n">
        <v>-27.5</v>
      </c>
      <c r="C113">
        <f>IF(MOD(B113,20)=0,TEXT(B113,"0"),"")</f>
        <v/>
      </c>
      <c r="D113" t="n">
        <v>16.51417058450983</v>
      </c>
      <c r="E113" t="n">
        <v>203.1486376006418</v>
      </c>
      <c r="F113" t="n">
        <v>0</v>
      </c>
      <c r="G113" t="n">
        <v>0</v>
      </c>
      <c r="H113" t="n">
        <v>30.33719181484833</v>
      </c>
      <c r="J113" t="n">
        <v>-53.6389</v>
      </c>
      <c r="K113" t="n">
        <v>143.6266</v>
      </c>
      <c r="L113">
        <f>(J113-Diagramm_Tmin)/Diagramm_dT+1</f>
        <v/>
      </c>
      <c r="M113">
        <f>IF(J113="","",IF(J113&lt;Zoom_Tmin,NA(),(J113-Zoom_Tmin)/Diagramm_dT+1))</f>
        <v/>
      </c>
      <c r="N113">
        <f>IF(J113="","",IF(J113&lt;Zoom2_Tmin,NA(),(J113-Zoom2_Tmin)/Diagramm_dT+1))</f>
        <v/>
      </c>
      <c r="P113" t="n">
        <v>15.51404862007435</v>
      </c>
      <c r="Q113" t="n">
        <v>234.4859513799257</v>
      </c>
      <c r="R113" t="n">
        <v>0</v>
      </c>
    </row>
    <row r="114">
      <c r="B114" t="n">
        <v>-27</v>
      </c>
      <c r="C114">
        <f>IF(MOD(B114,20)=0,TEXT(B114,"0"),"")</f>
        <v/>
      </c>
      <c r="D114" t="n">
        <v>16.78972433319777</v>
      </c>
      <c r="E114" t="n">
        <v>203.0459726703199</v>
      </c>
      <c r="F114" t="n">
        <v>0</v>
      </c>
      <c r="G114" t="n">
        <v>0</v>
      </c>
      <c r="H114" t="n">
        <v>30.16430299648232</v>
      </c>
      <c r="J114" t="n">
        <v>-53.274</v>
      </c>
      <c r="K114" t="n">
        <v>161.2044</v>
      </c>
      <c r="L114">
        <f>(J114-Diagramm_Tmin)/Diagramm_dT+1</f>
        <v/>
      </c>
      <c r="M114">
        <f>IF(J114="","",IF(J114&lt;Zoom_Tmin,NA(),(J114-Zoom_Tmin)/Diagramm_dT+1))</f>
        <v/>
      </c>
      <c r="N114">
        <f>IF(J114="","",IF(J114&lt;Zoom2_Tmin,NA(),(J114-Zoom2_Tmin)/Diagramm_dT+1))</f>
        <v/>
      </c>
      <c r="P114" t="n">
        <v>15.77047186717743</v>
      </c>
      <c r="Q114" t="n">
        <v>234.2295281328226</v>
      </c>
      <c r="R114" t="n">
        <v>0</v>
      </c>
    </row>
    <row r="115">
      <c r="B115" t="n">
        <v>-26.5</v>
      </c>
      <c r="C115">
        <f>IF(MOD(B115,20)=0,TEXT(B115,"0"),"")</f>
        <v/>
      </c>
      <c r="D115" t="n">
        <v>17.06869559729407</v>
      </c>
      <c r="E115" t="n">
        <v>202.9382794071176</v>
      </c>
      <c r="F115" t="n">
        <v>0</v>
      </c>
      <c r="G115" t="n">
        <v>0</v>
      </c>
      <c r="H115" t="n">
        <v>29.99302499558834</v>
      </c>
      <c r="J115" t="n">
        <v>-52.9091</v>
      </c>
      <c r="K115" t="n">
        <v>178.8427</v>
      </c>
      <c r="L115">
        <f>(J115-Diagramm_Tmin)/Diagramm_dT+1</f>
        <v/>
      </c>
      <c r="M115">
        <f>IF(J115="","",IF(J115&lt;Zoom_Tmin,NA(),(J115-Zoom_Tmin)/Diagramm_dT+1))</f>
        <v/>
      </c>
      <c r="N115">
        <f>IF(J115="","",IF(J115&lt;Zoom2_Tmin,NA(),(J115-Zoom2_Tmin)/Diagramm_dT+1))</f>
        <v/>
      </c>
      <c r="P115" t="n">
        <v>16.02999383092261</v>
      </c>
      <c r="Q115" t="n">
        <v>233.9700061690774</v>
      </c>
      <c r="R115" t="n">
        <v>0</v>
      </c>
    </row>
    <row r="116">
      <c r="B116" t="n">
        <v>-26</v>
      </c>
      <c r="C116">
        <f>IF(MOD(B116,20)=0,TEXT(B116,"0"),"")</f>
        <v/>
      </c>
      <c r="D116" t="n">
        <v>17.3511125003475</v>
      </c>
      <c r="E116" t="n">
        <v>202.8255785448484</v>
      </c>
      <c r="F116" t="n">
        <v>0</v>
      </c>
      <c r="G116" t="n">
        <v>0</v>
      </c>
      <c r="H116" t="n">
        <v>29.82330895480414</v>
      </c>
      <c r="J116" t="n">
        <v>-52.5442</v>
      </c>
      <c r="K116" t="n">
        <v>196.5413</v>
      </c>
      <c r="L116">
        <f>(J116-Diagramm_Tmin)/Diagramm_dT+1</f>
        <v/>
      </c>
      <c r="M116">
        <f>IF(J116="","",IF(J116&lt;Zoom_Tmin,NA(),(J116-Zoom_Tmin)/Diagramm_dT+1))</f>
        <v/>
      </c>
      <c r="N116">
        <f>IF(J116="","",IF(J116&lt;Zoom2_Tmin,NA(),(J116-Zoom2_Tmin)/Diagramm_dT+1))</f>
        <v/>
      </c>
      <c r="P116" t="n">
        <v>16.29263740005699</v>
      </c>
      <c r="Q116" t="n">
        <v>233.707362599943</v>
      </c>
      <c r="R116" t="n">
        <v>0</v>
      </c>
    </row>
    <row r="117">
      <c r="B117" t="n">
        <v>-25.5</v>
      </c>
      <c r="C117">
        <f>IF(MOD(B117,20)=0,TEXT(B117,"0"),"")</f>
        <v/>
      </c>
      <c r="D117" t="n">
        <v>17.63700335161945</v>
      </c>
      <c r="E117" t="n">
        <v>202.7078997500766</v>
      </c>
      <c r="F117" t="n">
        <v>0</v>
      </c>
      <c r="G117" t="n">
        <v>0</v>
      </c>
      <c r="H117" t="n">
        <v>29.65509689830397</v>
      </c>
      <c r="J117" t="n">
        <v>-52.1793</v>
      </c>
      <c r="K117" t="n">
        <v>214.3005</v>
      </c>
      <c r="L117">
        <f>(J117-Diagramm_Tmin)/Diagramm_dT+1</f>
        <v/>
      </c>
      <c r="M117">
        <f>IF(J117="","",IF(J117&lt;Zoom_Tmin,NA(),(J117-Zoom_Tmin)/Diagramm_dT+1))</f>
        <v/>
      </c>
      <c r="N117">
        <f>IF(J117="","",IF(J117&lt;Zoom2_Tmin,NA(),(J117-Zoom2_Tmin)/Diagramm_dT+1))</f>
        <v/>
      </c>
      <c r="P117" t="n">
        <v>16.55842553555969</v>
      </c>
      <c r="Q117" t="n">
        <v>233.4415744644403</v>
      </c>
      <c r="R117" t="n">
        <v>0</v>
      </c>
    </row>
    <row r="118">
      <c r="B118" t="n">
        <v>-25</v>
      </c>
      <c r="C118">
        <f>IF(MOD(B118,20)=0,TEXT(B118,"0"),"")</f>
        <v/>
      </c>
      <c r="D118" t="n">
        <v>17.92639665124926</v>
      </c>
      <c r="E118" t="n">
        <v>202.5852645855097</v>
      </c>
      <c r="F118" t="n">
        <v>0</v>
      </c>
      <c r="G118" t="n">
        <v>0</v>
      </c>
      <c r="H118" t="n">
        <v>29.48833876324101</v>
      </c>
      <c r="J118" t="n">
        <v>-51.8144</v>
      </c>
      <c r="K118" t="n">
        <v>232.12</v>
      </c>
      <c r="L118">
        <f>(J118-Diagramm_Tmin)/Diagramm_dT+1</f>
        <v/>
      </c>
      <c r="M118">
        <f>IF(J118="","",IF(J118&lt;Zoom_Tmin,NA(),(J118-Zoom_Tmin)/Diagramm_dT+1))</f>
        <v/>
      </c>
      <c r="N118">
        <f>IF(J118="","",IF(J118&lt;Zoom2_Tmin,NA(),(J118-Zoom2_Tmin)/Diagramm_dT+1))</f>
        <v/>
      </c>
      <c r="P118" t="n">
        <v>16.82738127199569</v>
      </c>
      <c r="Q118" t="n">
        <v>233.1726187280043</v>
      </c>
      <c r="R118" t="n">
        <v>0</v>
      </c>
    </row>
    <row r="119">
      <c r="B119" t="n">
        <v>-24.5</v>
      </c>
      <c r="C119">
        <f>IF(MOD(B119,20)=0,TEXT(B119,"0"),"")</f>
        <v/>
      </c>
      <c r="D119" t="n">
        <v>18.21932109557289</v>
      </c>
      <c r="E119" t="n">
        <v>202.457695697547</v>
      </c>
      <c r="F119" t="n">
        <v>0</v>
      </c>
      <c r="G119" t="n">
        <v>0</v>
      </c>
      <c r="H119" t="n">
        <v>29.32298320688008</v>
      </c>
      <c r="J119" t="n">
        <v>-51.4496</v>
      </c>
      <c r="K119" t="n">
        <v>250</v>
      </c>
      <c r="L119">
        <f>(J119-Diagramm_Tmin)/Diagramm_dT+1</f>
        <v/>
      </c>
      <c r="M119">
        <f>IF(J119="","",IF(J119&lt;Zoom_Tmin,NA(),(J119-Zoom_Tmin)/Diagramm_dT+1))</f>
        <v/>
      </c>
      <c r="N119">
        <f>IF(J119="","",IF(J119&lt;Zoom2_Tmin,NA(),(J119-Zoom2_Tmin)/Diagramm_dT+1))</f>
        <v/>
      </c>
      <c r="P119" t="n">
        <v>17.09952771894712</v>
      </c>
      <c r="Q119" t="n">
        <v>232.9004722810529</v>
      </c>
      <c r="R119" t="n">
        <v>0</v>
      </c>
    </row>
    <row r="120">
      <c r="B120" t="n">
        <v>-24</v>
      </c>
      <c r="C120">
        <f>IF(MOD(B120,20)=0,TEXT(B120,"0"),"")</f>
        <v/>
      </c>
      <c r="D120" t="n">
        <v>18.51580558271216</v>
      </c>
      <c r="E120" t="n">
        <v>202.3252148979718</v>
      </c>
      <c r="F120" t="n">
        <v>0</v>
      </c>
      <c r="G120" t="n">
        <v>0</v>
      </c>
      <c r="H120" t="n">
        <v>29.15897951931608</v>
      </c>
      <c r="M120">
        <f>IF(J120="","",IF(J120&lt;Zoom_Tmin,NA(),(J120-Zoom_Tmin)/Diagramm_dT+1))</f>
        <v/>
      </c>
      <c r="N120">
        <f>IF(J120="","",IF(J120&lt;Zoom2_Tmin,NA(),(J120-Zoom2_Tmin)/Diagramm_dT+1))</f>
        <v/>
      </c>
      <c r="P120" t="n">
        <v>17.37488806252425</v>
      </c>
      <c r="Q120" t="n">
        <v>232.6251119374758</v>
      </c>
      <c r="R120" t="n">
        <v>0</v>
      </c>
    </row>
    <row r="121">
      <c r="B121" t="n">
        <v>-23.5</v>
      </c>
      <c r="C121">
        <f>IF(MOD(B121,20)=0,TEXT(B121,"0"),"")</f>
        <v/>
      </c>
      <c r="D121" t="n">
        <v>18.81587921840704</v>
      </c>
      <c r="E121" t="n">
        <v>202.187843321745</v>
      </c>
      <c r="F121" t="n">
        <v>0</v>
      </c>
      <c r="G121" t="n">
        <v>0</v>
      </c>
      <c r="H121" t="n">
        <v>28.996277459848</v>
      </c>
      <c r="I121" s="76" t="inlineStr">
        <is>
          <t>Tripelpunkt</t>
        </is>
      </c>
      <c r="J121" t="n">
        <v>-56.558</v>
      </c>
      <c r="K121" t="n">
        <v>5.1796</v>
      </c>
      <c r="L121">
        <f>(J121-Diagramm_Tmin)/Diagramm_dT+1</f>
        <v/>
      </c>
      <c r="M121">
        <f>IF(J121="","",IF(J121&lt;Zoom_Tmin,NA(),(J121-Zoom_Tmin)/Diagramm_dT+1))</f>
        <v/>
      </c>
      <c r="N121">
        <f>IF(J121="","",IF(J121&lt;Zoom2_Tmin,NA(),(J121-Zoom2_Tmin)/Diagramm_dT+1))</f>
        <v/>
      </c>
      <c r="P121" t="n">
        <v>17.65348556695907</v>
      </c>
      <c r="Q121" t="n">
        <v>232.3465144330409</v>
      </c>
      <c r="R121" t="n">
        <v>0</v>
      </c>
    </row>
    <row r="122">
      <c r="B122" t="n">
        <v>-23</v>
      </c>
      <c r="C122">
        <f>IF(MOD(B122,20)=0,TEXT(B122,"0"),"")</f>
        <v/>
      </c>
      <c r="D122" t="n">
        <v>19.11957132209021</v>
      </c>
      <c r="E122" t="n">
        <v>202.0456019571549</v>
      </c>
      <c r="F122" t="n">
        <v>0</v>
      </c>
      <c r="G122" t="n">
        <v>0</v>
      </c>
      <c r="H122" t="n">
        <v>28.83482672075489</v>
      </c>
      <c r="M122">
        <f>IF(J122="","",IF(J122&lt;Zoom_Tmin,NA(),(J122-Zoom_Tmin)/Diagramm_dT+1))</f>
        <v/>
      </c>
      <c r="N122">
        <f>IF(J122="","",IF(J122&lt;Zoom2_Tmin,NA(),(J122-Zoom2_Tmin)/Diagramm_dT+1))</f>
        <v/>
      </c>
      <c r="P122" t="n">
        <v>17.93534357628336</v>
      </c>
      <c r="Q122" t="n">
        <v>232.0646564237166</v>
      </c>
      <c r="R122" t="n">
        <v>0</v>
      </c>
    </row>
    <row r="123">
      <c r="B123" t="n">
        <v>-22.5</v>
      </c>
      <c r="C123">
        <f>IF(MOD(B123,20)=0,TEXT(B123,"0"),"")</f>
        <v/>
      </c>
      <c r="D123" t="n">
        <v>19.42691143324507</v>
      </c>
      <c r="E123" t="n">
        <v>201.8985083145781</v>
      </c>
      <c r="F123" t="n">
        <v>0</v>
      </c>
      <c r="G123" t="n">
        <v>0</v>
      </c>
      <c r="H123" t="n">
        <v>28.67458025217682</v>
      </c>
      <c r="I123" s="76" t="inlineStr">
        <is>
          <t>Kritischer Punkt Gemisch</t>
        </is>
      </c>
      <c r="J123" t="n">
        <v>27.95472127453274</v>
      </c>
      <c r="K123" t="n">
        <v>81.45505572191325</v>
      </c>
      <c r="L123">
        <f>(J123-Diagramm_Tmin)/Diagramm_dT+1</f>
        <v/>
      </c>
      <c r="M123">
        <f>IF(J123="","",IF(J123&lt;Zoom_Tmin,NA(),(J123-Zoom_Tmin)/Diagramm_dT+1))</f>
        <v/>
      </c>
      <c r="N123">
        <f>IF(J123="","",IF(J123&lt;Zoom2_Tmin,NA(),(J123-Zoom2_Tmin)/Diagramm_dT+1))</f>
        <v/>
      </c>
      <c r="P123" t="n">
        <v>18.22048551609351</v>
      </c>
      <c r="Q123" t="n">
        <v>231.7795144839065</v>
      </c>
      <c r="R123" t="n">
        <v>0</v>
      </c>
    </row>
    <row r="124">
      <c r="B124" t="n">
        <v>-22</v>
      </c>
      <c r="C124">
        <f>IF(MOD(B124,20)=0,TEXT(B124,"0"),"")</f>
        <v/>
      </c>
      <c r="D124" t="n">
        <v>19.7379293180572</v>
      </c>
      <c r="E124" t="n">
        <v>201.7465821413817</v>
      </c>
      <c r="F124" t="n">
        <v>0</v>
      </c>
      <c r="G124" t="n">
        <v>0</v>
      </c>
      <c r="H124" t="n">
        <v>28.51548854056105</v>
      </c>
      <c r="M124">
        <f>IF(J124="","",IF(J124&lt;Zoom_Tmin,NA(),(J124-Zoom_Tmin)/Diagramm_dT+1))</f>
        <v/>
      </c>
      <c r="N124">
        <f>IF(J124="","",IF(J124&lt;Zoom2_Tmin,NA(),(J124-Zoom2_Tmin)/Diagramm_dT+1))</f>
        <v/>
      </c>
      <c r="P124" t="n">
        <v>18.50893489540396</v>
      </c>
      <c r="Q124" t="n">
        <v>231.491065104596</v>
      </c>
      <c r="R124" t="n">
        <v>0</v>
      </c>
    </row>
    <row r="125">
      <c r="B125" t="n">
        <v>-21.5</v>
      </c>
      <c r="C125">
        <f>IF(MOD(B125,20)=0,TEXT(B125,"0"),"")</f>
        <v/>
      </c>
      <c r="D125" t="n">
        <v>20.05265497627648</v>
      </c>
      <c r="E125" t="n">
        <v>201.5898409128585</v>
      </c>
      <c r="F125" t="n">
        <v>0</v>
      </c>
      <c r="G125" t="n">
        <v>0</v>
      </c>
      <c r="H125" t="n">
        <v>28.35750411086503</v>
      </c>
      <c r="I125" s="76" t="inlineStr">
        <is>
          <t>S1: Pumpe</t>
        </is>
      </c>
      <c r="J125">
        <f>Szen1_T1</f>
        <v/>
      </c>
      <c r="K125">
        <f>Szen1_p1</f>
        <v/>
      </c>
      <c r="L125">
        <f>(J125-Diagramm_Tmin)/Diagramm_dT+1</f>
        <v/>
      </c>
      <c r="M125">
        <f>IF(J125="","",IF(J125&lt;Zoom_Tmin,NA(),(J125-Zoom_Tmin)/Diagramm_dT+1))</f>
        <v/>
      </c>
      <c r="N125">
        <f>IF(J125="","",IF(J125&lt;Zoom2_Tmin,NA(),(J125-Zoom2_Tmin)/Diagramm_dT+1))</f>
        <v/>
      </c>
      <c r="P125" t="n">
        <v>18.80071530859117</v>
      </c>
      <c r="Q125" t="n">
        <v>231.1992846914088</v>
      </c>
      <c r="R125" t="n">
        <v>0</v>
      </c>
    </row>
    <row r="126">
      <c r="B126" t="n">
        <v>-21</v>
      </c>
      <c r="C126">
        <f>IF(MOD(B126,20)=0,TEXT(B126,"0"),"")</f>
        <v/>
      </c>
      <c r="D126" t="n">
        <v>20.37111864851789</v>
      </c>
      <c r="E126" t="n">
        <v>201.4283037051779</v>
      </c>
      <c r="F126" t="n">
        <v>0</v>
      </c>
      <c r="G126" t="n">
        <v>0</v>
      </c>
      <c r="H126" t="n">
        <v>28.20057764630419</v>
      </c>
      <c r="J126">
        <f>Szen1_T2</f>
        <v/>
      </c>
      <c r="K126">
        <f>Szen1_p2</f>
        <v/>
      </c>
      <c r="L126">
        <f>(J126-Diagramm_Tmin)/Diagramm_dT+1</f>
        <v/>
      </c>
      <c r="M126">
        <f>IF(J126="","",IF(J126&lt;Zoom_Tmin,NA(),(J126-Zoom_Tmin)/Diagramm_dT+1))</f>
        <v/>
      </c>
      <c r="N126">
        <f>IF(J126="","",IF(J126&lt;Zoom2_Tmin,NA(),(J126-Zoom2_Tmin)/Diagramm_dT+1))</f>
        <v/>
      </c>
      <c r="P126" t="n">
        <v>19.09585043742957</v>
      </c>
      <c r="Q126" t="n">
        <v>230.9041495625704</v>
      </c>
      <c r="R126" t="n">
        <v>0</v>
      </c>
    </row>
    <row r="127">
      <c r="B127" t="n">
        <v>-20.5</v>
      </c>
      <c r="C127">
        <f>IF(MOD(B127,20)=0,TEXT(B127,"0"),"")</f>
        <v/>
      </c>
      <c r="D127" t="n">
        <v>20.69335082379267</v>
      </c>
      <c r="E127" t="n">
        <v>201.26198642267</v>
      </c>
      <c r="F127" t="n">
        <v>0</v>
      </c>
      <c r="G127" t="n">
        <v>0</v>
      </c>
      <c r="H127" t="n">
        <v>28.04466275353736</v>
      </c>
      <c r="M127">
        <f>IF(J127="","",IF(J127&lt;Zoom_Tmin,NA(),(J127-Zoom_Tmin)/Diagramm_dT+1))</f>
        <v/>
      </c>
      <c r="N127">
        <f>IF(J127="","",IF(J127&lt;Zoom2_Tmin,NA(),(J127-Zoom2_Tmin)/Diagramm_dT+1))</f>
        <v/>
      </c>
      <c r="P127" t="n">
        <v>19.39436405322124</v>
      </c>
      <c r="Q127" t="n">
        <v>230.6056359467788</v>
      </c>
      <c r="R127" t="n">
        <v>0</v>
      </c>
    </row>
    <row r="128" ht="25.5" customHeight="1" s="72">
      <c r="B128" t="n">
        <v>-20</v>
      </c>
      <c r="C128">
        <f>IF(MOD(B128,20)=0,TEXT(B128,"0"),"")</f>
        <v/>
      </c>
      <c r="D128" t="n">
        <v>21.01938224733712</v>
      </c>
      <c r="E128" t="n">
        <v>201.0909054067243</v>
      </c>
      <c r="F128" t="n">
        <v>0</v>
      </c>
      <c r="G128" t="n">
        <v>0</v>
      </c>
      <c r="H128" t="n">
        <v>27.8897123459386</v>
      </c>
      <c r="I128" s="76" t="inlineStr">
        <is>
          <t>S2: verdichten → überkritisch kühlen → pumpen</t>
        </is>
      </c>
      <c r="J128">
        <f>T_S2</f>
        <v/>
      </c>
      <c r="K128">
        <f>p_S2</f>
        <v/>
      </c>
      <c r="L128">
        <f>(J128-Diagramm_Tmin)/Diagramm_dT+1</f>
        <v/>
      </c>
      <c r="M128">
        <f>IF(J128="","",IF(J128&lt;Zoom_Tmin,NA(),(J128-Zoom_Tmin)/Diagramm_dT+1))</f>
        <v/>
      </c>
      <c r="N128">
        <f>IF(J128="","",IF(J128&lt;Zoom2_Tmin,NA(),(J128-Zoom2_Tmin)/Diagramm_dT+1))</f>
        <v/>
      </c>
      <c r="P128" t="n">
        <v>19.6962800190207</v>
      </c>
      <c r="Q128" t="n">
        <v>230.3037199809793</v>
      </c>
      <c r="R128" t="n">
        <v>0</v>
      </c>
    </row>
    <row r="129">
      <c r="B129" t="n">
        <v>-19.5</v>
      </c>
      <c r="C129">
        <f>IF(MOD(B129,20)=0,TEXT(B129,"0"),"")</f>
        <v/>
      </c>
      <c r="D129" t="n">
        <v>21.34924392899607</v>
      </c>
      <c r="E129" t="n">
        <v>200.915076288055</v>
      </c>
      <c r="F129" t="n">
        <v>0</v>
      </c>
      <c r="G129" t="n">
        <v>0</v>
      </c>
      <c r="H129" t="n">
        <v>27.7356797829489</v>
      </c>
      <c r="J129">
        <f>Szen2_T1a</f>
        <v/>
      </c>
      <c r="K129">
        <f>p_zw</f>
        <v/>
      </c>
      <c r="L129">
        <f>(J129-Diagramm_Tmin)/Diagramm_dT+1</f>
        <v/>
      </c>
      <c r="M129">
        <f>IF(J129="","",IF(J129&lt;Zoom_Tmin,NA(),(J129-Zoom_Tmin)/Diagramm_dT+1))</f>
        <v/>
      </c>
      <c r="N129">
        <f>IF(J129="","",IF(J129&lt;Zoom2_Tmin,NA(),(J129-Zoom2_Tmin)/Diagramm_dT+1))</f>
        <v/>
      </c>
      <c r="P129" t="n">
        <v>20.00162229195598</v>
      </c>
      <c r="Q129" t="n">
        <v>229.998377708044</v>
      </c>
      <c r="R129" t="n">
        <v>0</v>
      </c>
    </row>
    <row r="130">
      <c r="B130" t="n">
        <v>-19</v>
      </c>
      <c r="C130">
        <f>IF(MOD(B130,20)=0,TEXT(B130,"0"),"")</f>
        <v/>
      </c>
      <c r="D130" t="n">
        <v>21.68296715169065</v>
      </c>
      <c r="E130" t="n">
        <v>200.7345142143641</v>
      </c>
      <c r="F130" t="n">
        <v>0</v>
      </c>
      <c r="G130" t="n">
        <v>0</v>
      </c>
      <c r="H130" t="n">
        <v>27.58251863394527</v>
      </c>
      <c r="J130">
        <f>T_ZK</f>
        <v/>
      </c>
      <c r="K130">
        <f>p_zw</f>
        <v/>
      </c>
      <c r="L130">
        <f>(J130-Diagramm_Tmin)/Diagramm_dT+1</f>
        <v/>
      </c>
      <c r="M130">
        <f>IF(J130="","",IF(J130&lt;Zoom_Tmin,NA(),(J130-Zoom_Tmin)/Diagramm_dT+1))</f>
        <v/>
      </c>
      <c r="N130">
        <f>IF(J130="","",IF(J130&lt;Zoom2_Tmin,NA(),(J130-Zoom2_Tmin)/Diagramm_dT+1))</f>
        <v/>
      </c>
      <c r="P130" t="n">
        <v>20.31041492564743</v>
      </c>
      <c r="Q130" t="n">
        <v>229.6895850743526</v>
      </c>
      <c r="R130" t="n">
        <v>0</v>
      </c>
    </row>
    <row r="131">
      <c r="B131" t="n">
        <v>-18.5</v>
      </c>
      <c r="C131">
        <f>IF(MOD(B131,20)=0,TEXT(B131,"0"),"")</f>
        <v/>
      </c>
      <c r="D131" t="n">
        <v>22.02058348049669</v>
      </c>
      <c r="E131" t="n">
        <v>200.5492338336084</v>
      </c>
      <c r="F131" t="n">
        <v>0</v>
      </c>
      <c r="G131" t="n">
        <v>0</v>
      </c>
      <c r="H131" t="n">
        <v>27.43018268589489</v>
      </c>
      <c r="J131">
        <f>Szen2_T2a</f>
        <v/>
      </c>
      <c r="K131">
        <f>p_uek</f>
        <v/>
      </c>
      <c r="L131">
        <f>(J131-Diagramm_Tmin)/Diagramm_dT+1</f>
        <v/>
      </c>
      <c r="M131">
        <f>IF(J131="","",IF(J131&lt;Zoom_Tmin,NA(),(J131-Zoom_Tmin)/Diagramm_dT+1))</f>
        <v/>
      </c>
      <c r="N131">
        <f>IF(J131="","",IF(J131&lt;Zoom2_Tmin,NA(),(J131-Zoom2_Tmin)/Diagramm_dT+1))</f>
        <v/>
      </c>
      <c r="P131" t="n">
        <v>20.62268207272549</v>
      </c>
      <c r="Q131" t="n">
        <v>229.3773179272745</v>
      </c>
      <c r="R131" t="n">
        <v>0</v>
      </c>
    </row>
    <row r="132">
      <c r="B132" t="n">
        <v>-18</v>
      </c>
      <c r="C132">
        <f>IF(MOD(B132,20)=0,TEXT(B132,"0"),"")</f>
        <v/>
      </c>
      <c r="D132" t="n">
        <v>22.36212477208222</v>
      </c>
      <c r="E132" t="n">
        <v>200.3592493037426</v>
      </c>
      <c r="F132" t="n">
        <v>0</v>
      </c>
      <c r="G132" t="n">
        <v>0</v>
      </c>
      <c r="H132" t="n">
        <v>27.27862592417516</v>
      </c>
      <c r="J132">
        <f>T_K</f>
        <v/>
      </c>
      <c r="K132">
        <f>p_uek</f>
        <v/>
      </c>
      <c r="L132">
        <f>(J132-Diagramm_Tmin)/Diagramm_dT+1</f>
        <v/>
      </c>
      <c r="M132">
        <f>IF(J132="","",IF(J132&lt;Zoom_Tmin,NA(),(J132-Zoom_Tmin)/Diagramm_dT+1))</f>
        <v/>
      </c>
      <c r="N132">
        <f>IF(J132="","",IF(J132&lt;Zoom2_Tmin,NA(),(J132-Zoom2_Tmin)/Diagramm_dT+1))</f>
        <v/>
      </c>
      <c r="P132" t="n">
        <v>20.93844798744873</v>
      </c>
      <c r="Q132" t="n">
        <v>229.0615520125513</v>
      </c>
      <c r="R132" t="n">
        <v>0</v>
      </c>
    </row>
    <row r="133">
      <c r="B133" t="n">
        <v>-17.5</v>
      </c>
      <c r="C133">
        <f>IF(MOD(B133,20)=0,TEXT(B133,"0"),"")</f>
        <v/>
      </c>
      <c r="D133" t="n">
        <v>22.70762318452608</v>
      </c>
      <c r="E133" t="n">
        <v>200.1645743300494</v>
      </c>
      <c r="F133" t="n">
        <v>0</v>
      </c>
      <c r="G133" t="n">
        <v>0</v>
      </c>
      <c r="H133" t="n">
        <v>27.12780248542456</v>
      </c>
      <c r="I133" s="76" t="n"/>
      <c r="J133">
        <f>Szen2_TPa</f>
        <v/>
      </c>
      <c r="K133">
        <f>Kopf_betr_S2</f>
        <v/>
      </c>
      <c r="L133">
        <f>(J133-Diagramm_Tmin)/Diagramm_dT+1</f>
        <v/>
      </c>
      <c r="M133">
        <f>IF(J133="","",IF(J133&lt;Zoom_Tmin,NA(),(J133-Zoom_Tmin)/Diagramm_dT+1))</f>
        <v/>
      </c>
      <c r="N133">
        <f>IF(J133="","",IF(J133&lt;Zoom2_Tmin,NA(),(J133-Zoom2_Tmin)/Diagramm_dT+1))</f>
        <v/>
      </c>
      <c r="P133" t="n">
        <v>21.25773702842329</v>
      </c>
      <c r="Q133" t="n">
        <v>228.7422629715767</v>
      </c>
      <c r="R133" t="n">
        <v>0</v>
      </c>
    </row>
    <row r="134">
      <c r="B134" t="n">
        <v>-17</v>
      </c>
      <c r="C134">
        <f>IF(MOD(B134,20)=0,TEXT(B134,"0"),"")</f>
        <v/>
      </c>
      <c r="D134" t="n">
        <v>23.05711118767298</v>
      </c>
      <c r="E134" t="n">
        <v>199.9652221857022</v>
      </c>
      <c r="F134" t="n">
        <v>0</v>
      </c>
      <c r="G134" t="n">
        <v>0</v>
      </c>
      <c r="H134" t="n">
        <v>26.97766662662481</v>
      </c>
      <c r="M134">
        <f>IF(J134="","",IF(J134&lt;Zoom_Tmin,NA(),(J134-Zoom_Tmin)/Diagramm_dT+1))</f>
        <v/>
      </c>
      <c r="N134">
        <f>IF(J134="","",IF(J134&lt;Zoom2_Tmin,NA(),(J134-Zoom2_Tmin)/Diagramm_dT+1))</f>
        <v/>
      </c>
      <c r="P134" t="n">
        <v>21.58057366142533</v>
      </c>
      <c r="Q134" t="n">
        <v>228.4194263385747</v>
      </c>
      <c r="R134" t="n">
        <v>0</v>
      </c>
    </row>
    <row r="135">
      <c r="B135" t="n">
        <v>-16.5</v>
      </c>
      <c r="C135">
        <f>IF(MOD(B135,20)=0,TEXT(B135,"0"),"")</f>
        <v/>
      </c>
      <c r="D135" t="n">
        <v>23.41062157386636</v>
      </c>
      <c r="E135" t="n">
        <v>199.7612057363195</v>
      </c>
      <c r="F135" t="n">
        <v>0</v>
      </c>
      <c r="G135" t="n">
        <v>0</v>
      </c>
      <c r="H135" t="n">
        <v>26.82817268981409</v>
      </c>
      <c r="M135">
        <f>IF(J135="","",IF(J135&lt;Zoom_Tmin,NA(),(J135-Zoom_Tmin)/Diagramm_dT+1))</f>
        <v/>
      </c>
      <c r="N135">
        <f>IF(J135="","",IF(J135&lt;Zoom2_Tmin,NA(),(J135-Zoom2_Tmin)/Diagramm_dT+1))</f>
        <v/>
      </c>
      <c r="P135" t="n">
        <v>21.90698246232787</v>
      </c>
      <c r="Q135" t="n">
        <v>228.0930175376721</v>
      </c>
      <c r="R135" t="n">
        <v>0</v>
      </c>
    </row>
    <row r="136">
      <c r="B136" t="n">
        <v>-16</v>
      </c>
      <c r="C136">
        <f>IF(MOD(B136,20)=0,TEXT(B136,"0"),"")</f>
        <v/>
      </c>
      <c r="D136" t="n">
        <v>23.768187469338</v>
      </c>
      <c r="E136" t="n">
        <v>199.5525374629751</v>
      </c>
      <c r="F136" t="n">
        <v>0</v>
      </c>
      <c r="G136" t="n">
        <v>0</v>
      </c>
      <c r="H136" t="n">
        <v>26.67927506768686</v>
      </c>
      <c r="M136">
        <f>IF(J136="","",IF(J136&lt;Zoom_Tmin,NA(),(J136-Zoom_Tmin)/Diagramm_dT+1))</f>
        <v/>
      </c>
      <c r="N136">
        <f>IF(J136="","",IF(J136&lt;Zoom2_Tmin,NA(),(J136-Zoom2_Tmin)/Diagramm_dT+1))</f>
        <v/>
      </c>
      <c r="P136" t="n">
        <v>22.23698812013382</v>
      </c>
      <c r="Q136" t="n">
        <v>227.7630118798662</v>
      </c>
      <c r="R136" t="n">
        <v>0</v>
      </c>
    </row>
    <row r="137">
      <c r="B137" t="n">
        <v>-15.5</v>
      </c>
      <c r="C137">
        <f>IF(MOD(B137,20)=0,TEXT(B137,"0"),"")</f>
        <v/>
      </c>
      <c r="D137" t="n">
        <v>24.12984234599627</v>
      </c>
      <c r="E137" t="n">
        <v>199.3392294847455</v>
      </c>
      <c r="F137" t="n">
        <v>0</v>
      </c>
      <c r="G137" t="n">
        <v>0</v>
      </c>
      <c r="H137" t="n">
        <v>26.53092816925817</v>
      </c>
      <c r="M137">
        <f>IF(J137="","",IF(J137&lt;Zoom_Tmin,NA(),(J137-Zoom_Tmin)/Diagramm_dT+1))</f>
        <v/>
      </c>
      <c r="N137">
        <f>IF(J137="","",IF(J137&lt;Zoom2_Tmin,NA(),(J137-Zoom2_Tmin)/Diagramm_dT+1))</f>
        <v/>
      </c>
      <c r="P137" t="n">
        <v>22.57061544011693</v>
      </c>
      <c r="Q137" t="n">
        <v>227.4293845598831</v>
      </c>
      <c r="R137" t="n">
        <v>0</v>
      </c>
    </row>
    <row r="138" ht="25.5" customHeight="1" s="72">
      <c r="B138" t="n">
        <v>-15</v>
      </c>
      <c r="C138">
        <f>IF(MOD(B138,20)=0,TEXT(B138,"0"),"")</f>
        <v/>
      </c>
      <c r="D138" t="n">
        <v>24.4956200338704</v>
      </c>
      <c r="E138" t="n">
        <v>199.1212935805984</v>
      </c>
      <c r="F138" t="n">
        <v>0</v>
      </c>
      <c r="G138" t="n">
        <v>0</v>
      </c>
      <c r="H138" t="n">
        <v>26.38308638553121</v>
      </c>
      <c r="I138" s="76" t="inlineStr">
        <is>
          <t>Vergleich: Durchverdichten (2 Stufen) – Werte aus 04_phasenpfade_vergleich.py</t>
        </is>
      </c>
      <c r="J138" t="n">
        <v>15</v>
      </c>
      <c r="K138" t="n">
        <v>30</v>
      </c>
      <c r="L138">
        <f>(J138-Diagramm_Tmin)/Diagramm_dT+1</f>
        <v/>
      </c>
      <c r="M138">
        <f>IF(J138="","",IF(J138&lt;Zoom_Tmin,NA(),(J138-Zoom_Tmin)/Diagramm_dT+1))</f>
        <v/>
      </c>
      <c r="N138">
        <f>IF(J138="","",IF(J138&lt;Zoom2_Tmin,NA(),(J138-Zoom2_Tmin)/Diagramm_dT+1))</f>
        <v/>
      </c>
      <c r="P138" t="n">
        <v>22.90788934707302</v>
      </c>
      <c r="Q138" t="n">
        <v>227.092110652927</v>
      </c>
      <c r="R138" t="n">
        <v>0</v>
      </c>
    </row>
    <row r="139">
      <c r="B139" t="n">
        <v>-14.5</v>
      </c>
      <c r="C139">
        <f>IF(MOD(B139,20)=0,TEXT(B139,"0"),"")</f>
        <v/>
      </c>
      <c r="D139" t="n">
        <v>24.865534504483</v>
      </c>
      <c r="E139" t="n">
        <v>198.8987412107198</v>
      </c>
      <c r="F139" t="n">
        <v>0</v>
      </c>
      <c r="G139" t="n">
        <v>0</v>
      </c>
      <c r="H139" t="n">
        <v>26.23572428479723</v>
      </c>
      <c r="J139" t="n">
        <v>60.93839273996207</v>
      </c>
      <c r="K139" t="n">
        <v>52</v>
      </c>
      <c r="L139">
        <f>(J139-Diagramm_Tmin)/Diagramm_dT+1</f>
        <v/>
      </c>
      <c r="M139">
        <f>IF(J139="","",IF(J139&lt;Zoom_Tmin,NA(),(J139-Zoom_Tmin)/Diagramm_dT+1))</f>
        <v/>
      </c>
      <c r="N139">
        <f>IF(J139="","",IF(J139&lt;Zoom2_Tmin,NA(),(J139-Zoom2_Tmin)/Diagramm_dT+1))</f>
        <v/>
      </c>
      <c r="P139" t="n">
        <v>23.24883488868372</v>
      </c>
      <c r="Q139" t="n">
        <v>226.7511651113163</v>
      </c>
      <c r="R139" t="n">
        <v>0</v>
      </c>
    </row>
    <row r="140">
      <c r="B140" t="n">
        <v>-14</v>
      </c>
      <c r="C140">
        <f>IF(MOD(B140,20)=0,TEXT(B140,"0"),"")</f>
        <v/>
      </c>
      <c r="D140" t="n">
        <v>25.23968103271718</v>
      </c>
      <c r="E140" t="n">
        <v>198.6715835373057</v>
      </c>
      <c r="F140" t="n">
        <v>0</v>
      </c>
      <c r="G140" t="n">
        <v>0</v>
      </c>
      <c r="H140" t="n">
        <v>26.08873542997712</v>
      </c>
      <c r="J140" t="n">
        <v>26</v>
      </c>
      <c r="K140" t="n">
        <v>52</v>
      </c>
      <c r="L140">
        <f>(J140-Diagramm_Tmin)/Diagramm_dT+1</f>
        <v/>
      </c>
      <c r="M140">
        <f>IF(J140="","",IF(J140&lt;Zoom_Tmin,NA(),(J140-Zoom_Tmin)/Diagramm_dT+1))</f>
        <v/>
      </c>
      <c r="N140">
        <f>IF(J140="","",IF(J140&lt;Zoom2_Tmin,NA(),(J140-Zoom2_Tmin)/Diagramm_dT+1))</f>
        <v/>
      </c>
      <c r="P140" t="n">
        <v>23.59347723899566</v>
      </c>
      <c r="Q140" t="n">
        <v>226.4065227610043</v>
      </c>
      <c r="R140" t="n">
        <v>0</v>
      </c>
    </row>
    <row r="141">
      <c r="B141" t="n">
        <v>-13.5</v>
      </c>
      <c r="C141">
        <f>IF(MOD(B141,20)=0,TEXT(B141,"0"),"")</f>
        <v/>
      </c>
      <c r="D141" t="n">
        <v>25.61803391475432</v>
      </c>
      <c r="E141" t="n">
        <v>198.4398314448408</v>
      </c>
      <c r="F141" t="n">
        <v>0</v>
      </c>
      <c r="G141" t="n">
        <v>0</v>
      </c>
      <c r="H141" t="n">
        <v>25.94213464040484</v>
      </c>
      <c r="J141" t="n">
        <v>104.2143987027756</v>
      </c>
      <c r="K141" t="n">
        <v>127.2718032176663</v>
      </c>
      <c r="L141">
        <f>(J141-Diagramm_Tmin)/Diagramm_dT+1</f>
        <v/>
      </c>
      <c r="M141">
        <f>IF(J141="","",IF(J141&lt;Zoom_Tmin,NA(),(J141-Zoom_Tmin)/Diagramm_dT+1))</f>
        <v/>
      </c>
      <c r="N141">
        <f>IF(J141="","",IF(J141&lt;Zoom2_Tmin,NA(),(J141-Zoom2_Tmin)/Diagramm_dT+1))</f>
        <v/>
      </c>
      <c r="P141" t="n">
        <v>23.94184170201836</v>
      </c>
      <c r="Q141" t="n">
        <v>226.0581582979816</v>
      </c>
      <c r="R141" t="n">
        <v>0</v>
      </c>
    </row>
    <row r="142">
      <c r="B142" t="n">
        <v>-13</v>
      </c>
      <c r="C142">
        <f>IF(MOD(B142,20)=0,TEXT(B142,"0"),"")</f>
        <v/>
      </c>
      <c r="D142" t="n">
        <v>26.00064877953259</v>
      </c>
      <c r="E142" t="n">
        <v>198.2034955599586</v>
      </c>
      <c r="F142" t="n">
        <v>0</v>
      </c>
      <c r="G142" t="n">
        <v>0</v>
      </c>
      <c r="H142" t="n">
        <v>25.79585566050882</v>
      </c>
      <c r="J142" t="n">
        <v>34.40649477199338</v>
      </c>
      <c r="K142" t="n">
        <v>127.2718032176663</v>
      </c>
      <c r="L142">
        <f>(J142-Diagramm_Tmin)/Diagramm_dT+1</f>
        <v/>
      </c>
      <c r="M142">
        <f>IF(J142="","",IF(J142&lt;Zoom_Tmin,NA(),(J142-Zoom_Tmin)/Diagramm_dT+1))</f>
        <v/>
      </c>
      <c r="N142">
        <f>IF(J142="","",IF(J142&lt;Zoom2_Tmin,NA(),(J142-Zoom2_Tmin)/Diagramm_dT+1))</f>
        <v/>
      </c>
      <c r="P142" t="n">
        <v>24.29395371544439</v>
      </c>
      <c r="Q142" t="n">
        <v>225.7060462845556</v>
      </c>
      <c r="R142" t="n">
        <v>0</v>
      </c>
    </row>
    <row r="143">
      <c r="B143" t="n">
        <v>-12.5</v>
      </c>
      <c r="C143">
        <f>IF(MOD(B143,20)=0,TEXT(B143,"0"),"")</f>
        <v/>
      </c>
      <c r="D143" t="n">
        <v>26.38756145636086</v>
      </c>
      <c r="E143" t="n">
        <v>197.9625862709377</v>
      </c>
      <c r="F143" t="n">
        <v>0</v>
      </c>
      <c r="G143" t="n">
        <v>0</v>
      </c>
      <c r="H143" t="n">
        <v>25.64985227270145</v>
      </c>
      <c r="M143">
        <f>IF(J143="","",IF(J143&lt;Zoom_Tmin,NA(),(J143-Zoom_Tmin)/Diagramm_dT+1))</f>
        <v/>
      </c>
      <c r="N143">
        <f>IF(J143="","",IF(J143&lt;Zoom2_Tmin,NA(),(J143-Zoom2_Tmin)/Diagramm_dT+1))</f>
        <v/>
      </c>
      <c r="P143" t="n">
        <v>24.64983885449617</v>
      </c>
      <c r="Q143" t="n">
        <v>225.3501611455038</v>
      </c>
      <c r="R143" t="n">
        <v>0</v>
      </c>
    </row>
    <row r="144">
      <c r="B144" t="n">
        <v>-12</v>
      </c>
      <c r="C144">
        <f>IF(MOD(B144,20)=0,TEXT(B144,"0"),"")</f>
        <v/>
      </c>
      <c r="D144" t="n">
        <v>26.77880822122118</v>
      </c>
      <c r="E144" t="n">
        <v>197.7171137470621</v>
      </c>
      <c r="F144" t="n">
        <v>0</v>
      </c>
      <c r="G144" t="n">
        <v>0</v>
      </c>
      <c r="H144" t="n">
        <v>25.50407803171673</v>
      </c>
      <c r="I144" s="76" t="inlineStr">
        <is>
          <t>Beschriftung Phasengebiete E</t>
        </is>
      </c>
      <c r="J144" t="n">
        <v>-71</v>
      </c>
      <c r="K144" t="n">
        <v>70</v>
      </c>
      <c r="L144">
        <f>(J144-Diagramm_Tmin)/Diagramm_dT+1</f>
        <v/>
      </c>
      <c r="M144">
        <f>IF(J144="","",IF(J144&lt;Zoom_Tmin,NA(),(J144-Zoom_Tmin)/Diagramm_dT+1))</f>
        <v/>
      </c>
      <c r="N144">
        <f>IF(J144="","",IF(J144&lt;Zoom2_Tmin,NA(),(J144-Zoom2_Tmin)/Diagramm_dT+1))</f>
        <v/>
      </c>
      <c r="P144" t="n">
        <v>25.00952283590393</v>
      </c>
      <c r="Q144" t="n">
        <v>224.9904771640961</v>
      </c>
      <c r="R144" t="n">
        <v>0</v>
      </c>
    </row>
    <row r="145">
      <c r="B145" t="n">
        <v>-11.5</v>
      </c>
      <c r="C145">
        <f>IF(MOD(B145,20)=0,TEXT(B145,"0"),"")</f>
        <v/>
      </c>
      <c r="D145" t="n">
        <v>27.17442581421913</v>
      </c>
      <c r="E145" t="n">
        <v>197.4670879577559</v>
      </c>
      <c r="F145" t="n">
        <v>0</v>
      </c>
      <c r="G145" t="n">
        <v>0</v>
      </c>
      <c r="H145" t="n">
        <v>25.35848622802495</v>
      </c>
      <c r="J145" t="n">
        <v>-30</v>
      </c>
      <c r="K145" t="n">
        <v>105</v>
      </c>
      <c r="L145">
        <f>(J145-Diagramm_Tmin)/Diagramm_dT+1</f>
        <v/>
      </c>
      <c r="M145">
        <f>IF(J145="","",IF(J145&lt;Zoom_Tmin,NA(),(J145-Zoom_Tmin)/Diagramm_dT+1))</f>
        <v/>
      </c>
      <c r="N145">
        <f>IF(J145="","",IF(J145&lt;Zoom2_Tmin,NA(),(J145-Zoom2_Tmin)/Diagramm_dT+1))</f>
        <v/>
      </c>
      <c r="P145" t="n">
        <v>25.37303152202063</v>
      </c>
      <c r="Q145" t="n">
        <v>224.6269684779794</v>
      </c>
      <c r="R145" t="n">
        <v>0</v>
      </c>
    </row>
    <row r="146">
      <c r="B146" t="n">
        <v>-11</v>
      </c>
      <c r="C146">
        <f>IF(MOD(B146,20)=0,TEXT(B146,"0"),"")</f>
        <v/>
      </c>
      <c r="D146" t="n">
        <v>27.57445145807483</v>
      </c>
      <c r="E146" t="n">
        <v>197.2125186918322</v>
      </c>
      <c r="F146" t="n">
        <v>0</v>
      </c>
      <c r="G146" t="n">
        <v>0</v>
      </c>
      <c r="H146" t="n">
        <v>25.21302985009295</v>
      </c>
      <c r="J146" t="n">
        <v>72</v>
      </c>
      <c r="K146" t="n">
        <v>12</v>
      </c>
      <c r="L146">
        <f>(J146-Diagramm_Tmin)/Diagramm_dT+1</f>
        <v/>
      </c>
      <c r="M146">
        <f>IF(J146="","",IF(J146&lt;Zoom_Tmin,NA(),(J146-Zoom_Tmin)/Diagramm_dT+1))</f>
        <v/>
      </c>
      <c r="N146">
        <f>IF(J146="","",IF(J146&lt;Zoom2_Tmin,NA(),(J146-Zoom2_Tmin)/Diagramm_dT+1))</f>
        <v/>
      </c>
      <c r="P146" t="n">
        <v>25.74039092507954</v>
      </c>
      <c r="Q146" t="n">
        <v>224.2596090749205</v>
      </c>
      <c r="R146" t="n">
        <v>0</v>
      </c>
    </row>
    <row r="147">
      <c r="B147" t="n">
        <v>-10.5</v>
      </c>
      <c r="C147">
        <f>IF(MOD(B147,20)=0,TEXT(B147,"0"),"")</f>
        <v/>
      </c>
      <c r="D147" t="n">
        <v>27.97892287747654</v>
      </c>
      <c r="E147" t="n">
        <v>196.9534155769224</v>
      </c>
      <c r="F147" t="n">
        <v>0</v>
      </c>
      <c r="G147" t="n">
        <v>0</v>
      </c>
      <c r="H147" t="n">
        <v>25.06766154560104</v>
      </c>
      <c r="J147" t="n">
        <v>85</v>
      </c>
      <c r="K147" t="n">
        <v>120</v>
      </c>
      <c r="L147">
        <f>(J147-Diagramm_Tmin)/Diagramm_dT+1</f>
        <v/>
      </c>
      <c r="M147">
        <f>IF(J147="","",IF(J147&lt;Zoom_Tmin,NA(),(J147-Zoom_Tmin)/Diagramm_dT+1))</f>
        <v/>
      </c>
      <c r="N147">
        <f>IF(J147="","",IF(J147&lt;Zoom2_Tmin,NA(),(J147-Zoom2_Tmin)/Diagramm_dT+1))</f>
        <v/>
      </c>
      <c r="P147" t="n">
        <v>26.1116272116017</v>
      </c>
      <c r="Q147" t="n">
        <v>223.8883727883983</v>
      </c>
      <c r="R147" t="n">
        <v>0</v>
      </c>
    </row>
    <row r="148">
      <c r="B148" t="n">
        <v>-10</v>
      </c>
      <c r="C148">
        <f>IF(MOD(B148,20)=0,TEXT(B148,"0"),"")</f>
        <v/>
      </c>
      <c r="D148" t="n">
        <v>28.3878783195651</v>
      </c>
      <c r="E148" t="n">
        <v>196.6897880993375</v>
      </c>
      <c r="F148" t="n">
        <v>0</v>
      </c>
      <c r="G148" t="n">
        <v>0</v>
      </c>
      <c r="H148" t="n">
        <v>24.92233358109738</v>
      </c>
      <c r="J148" t="n">
        <v>-22</v>
      </c>
      <c r="K148" t="n">
        <v>34</v>
      </c>
      <c r="L148">
        <f>(J148-Diagramm_Tmin)/Diagramm_dT+1</f>
        <v/>
      </c>
      <c r="M148">
        <f>IF(J148="","",IF(J148&lt;Zoom_Tmin,NA(),(J148-Zoom_Tmin)/Diagramm_dT+1))</f>
        <v/>
      </c>
      <c r="N148">
        <f>IF(J148="","",IF(J148&lt;Zoom2_Tmin,NA(),(J148-Zoom2_Tmin)/Diagramm_dT+1))</f>
        <v/>
      </c>
      <c r="P148" t="n">
        <v>26.48676670696087</v>
      </c>
      <c r="Q148" t="n">
        <v>223.5132332930391</v>
      </c>
      <c r="R148" t="n">
        <v>0</v>
      </c>
    </row>
    <row r="149">
      <c r="B149" t="n">
        <v>-9.5</v>
      </c>
      <c r="C149">
        <f>IF(MOD(B149,20)=0,TEXT(B149,"0"),"")</f>
        <v/>
      </c>
      <c r="D149" t="n">
        <v>28.80135657553598</v>
      </c>
      <c r="E149" t="n">
        <v>196.4216456245674</v>
      </c>
      <c r="F149" t="n">
        <v>0</v>
      </c>
      <c r="G149" t="n">
        <v>0</v>
      </c>
      <c r="H149" t="n">
        <v>24.77699779989665</v>
      </c>
      <c r="I149" s="76" t="inlineStr">
        <is>
          <t>Beschriftung Punkte E</t>
        </is>
      </c>
      <c r="J149" t="n">
        <v>1</v>
      </c>
      <c r="K149" t="n">
        <v>91</v>
      </c>
      <c r="L149">
        <f>(J149-Diagramm_Tmin)/Diagramm_dT+1</f>
        <v/>
      </c>
      <c r="M149">
        <f>IF(J149="","",IF(J149&lt;Zoom_Tmin,NA(),(J149-Zoom_Tmin)/Diagramm_dT+1))</f>
        <v/>
      </c>
      <c r="N149">
        <f>IF(J149="","",IF(J149&lt;Zoom2_Tmin,NA(),(J149-Zoom2_Tmin)/Diagramm_dT+1))</f>
        <v/>
      </c>
      <c r="P149" t="n">
        <v>26.86583590011459</v>
      </c>
      <c r="Q149" t="n">
        <v>223.1341640998854</v>
      </c>
      <c r="R149" t="n">
        <v>0</v>
      </c>
    </row>
    <row r="150">
      <c r="B150" t="n">
        <v>-9</v>
      </c>
      <c r="C150">
        <f>IF(MOD(B150,20)=0,TEXT(B150,"0"),"")</f>
        <v/>
      </c>
      <c r="D150" t="n">
        <v>29.21966600247509</v>
      </c>
      <c r="E150" t="n">
        <v>196.1489974186868</v>
      </c>
      <c r="F150" t="n">
        <v>0</v>
      </c>
      <c r="G150" t="n">
        <v>0</v>
      </c>
      <c r="H150" t="n">
        <v>24.63133657883813</v>
      </c>
      <c r="J150" t="n">
        <v>15</v>
      </c>
      <c r="K150" t="n">
        <v>25</v>
      </c>
      <c r="L150">
        <f>(J150-Diagramm_Tmin)/Diagramm_dT+1</f>
        <v/>
      </c>
      <c r="M150">
        <f>IF(J150="","",IF(J150&lt;Zoom_Tmin,NA(),(J150-Zoom_Tmin)/Diagramm_dT+1))</f>
        <v/>
      </c>
      <c r="N150">
        <f>IF(J150="","",IF(J150&lt;Zoom2_Tmin,NA(),(J150-Zoom2_Tmin)/Diagramm_dT+1))</f>
        <v/>
      </c>
      <c r="P150" t="n">
        <v>27.248861448511</v>
      </c>
      <c r="Q150" t="n">
        <v>222.751138551489</v>
      </c>
      <c r="R150" t="n">
        <v>0</v>
      </c>
    </row>
    <row r="151">
      <c r="B151" t="n">
        <v>-8.5</v>
      </c>
      <c r="C151">
        <f>IF(MOD(B151,20)=0,TEXT(B151,"0"),"")</f>
        <v/>
      </c>
      <c r="D151" t="n">
        <v>29.64408951056147</v>
      </c>
      <c r="E151" t="n">
        <v>195.8718526709877</v>
      </c>
      <c r="F151" t="n">
        <v>0</v>
      </c>
      <c r="G151" t="n">
        <v>0</v>
      </c>
      <c r="H151" t="n">
        <v>24.48405781845082</v>
      </c>
      <c r="J151">
        <f>Szen2_T2a+11</f>
        <v/>
      </c>
      <c r="K151" t="n">
        <v>86</v>
      </c>
      <c r="L151">
        <f>(J151-Diagramm_Tmin)/Diagramm_dT+1</f>
        <v/>
      </c>
      <c r="M151">
        <f>IF(J151="","",IF(J151&lt;Zoom_Tmin,NA(),(J151-Zoom_Tmin)/Diagramm_dT+1))</f>
        <v/>
      </c>
      <c r="N151">
        <f>IF(J151="","",IF(J151&lt;Zoom2_Tmin,NA(),(J151-Zoom2_Tmin)/Diagramm_dT+1))</f>
        <v/>
      </c>
      <c r="P151" t="n">
        <v>27.63587018318221</v>
      </c>
      <c r="Q151" t="n">
        <v>222.3641298168178</v>
      </c>
      <c r="R151" t="n">
        <v>0</v>
      </c>
    </row>
    <row r="152">
      <c r="B152" t="n">
        <v>-8</v>
      </c>
      <c r="C152">
        <f>IF(MOD(B152,20)=0,TEXT(B152,"0"),"")</f>
        <v/>
      </c>
      <c r="D152" t="n">
        <v>30.06959859614439</v>
      </c>
      <c r="E152" t="n">
        <v>195.5904247397802</v>
      </c>
      <c r="F152" t="n">
        <v>0</v>
      </c>
      <c r="G152" t="n">
        <v>0</v>
      </c>
      <c r="H152" t="n">
        <v>24.33997666407543</v>
      </c>
      <c r="J152" t="n">
        <v>48</v>
      </c>
      <c r="K152" t="n">
        <v>95</v>
      </c>
      <c r="L152">
        <f>(J152-Diagramm_Tmin)/Diagramm_dT+1</f>
        <v/>
      </c>
      <c r="M152">
        <f>IF(J152="","",IF(J152&lt;Zoom_Tmin,NA(),(J152-Zoom_Tmin)/Diagramm_dT+1))</f>
        <v/>
      </c>
      <c r="N152">
        <f>IF(J152="","",IF(J152&lt;Zoom2_Tmin,NA(),(J152-Zoom2_Tmin)/Diagramm_dT+1))</f>
        <v/>
      </c>
      <c r="P152" t="n">
        <v>28.02688911403594</v>
      </c>
      <c r="Q152" t="n">
        <v>221.973110885964</v>
      </c>
      <c r="R152" t="n">
        <v>0</v>
      </c>
    </row>
    <row r="153">
      <c r="B153" t="n">
        <v>-7.5</v>
      </c>
      <c r="C153">
        <f>IF(MOD(B153,20)=0,TEXT(B153,"0"),"")</f>
        <v/>
      </c>
      <c r="D153" t="n">
        <v>30.50338053092515</v>
      </c>
      <c r="E153" t="n">
        <v>195.3041100707719</v>
      </c>
      <c r="F153" t="n">
        <v>0</v>
      </c>
      <c r="G153" t="n">
        <v>0</v>
      </c>
      <c r="H153" t="n">
        <v>24.19250939830299</v>
      </c>
      <c r="J153" t="n">
        <v>23</v>
      </c>
      <c r="K153">
        <f>Kopf_betr_S2+6</f>
        <v/>
      </c>
      <c r="L153">
        <f>(J153-Diagramm_Tmin)/Diagramm_dT+1</f>
        <v/>
      </c>
      <c r="M153">
        <f>IF(J153="","",IF(J153&lt;Zoom_Tmin,NA(),(J153-Zoom_Tmin)/Diagramm_dT+1))</f>
        <v/>
      </c>
      <c r="N153">
        <f>IF(J153="","",IF(J153&lt;Zoom2_Tmin,NA(),(J153-Zoom2_Tmin)/Diagramm_dT+1))</f>
        <v/>
      </c>
      <c r="P153" t="n">
        <v>28.42194543535858</v>
      </c>
      <c r="Q153" t="n">
        <v>221.5780545646414</v>
      </c>
      <c r="R153" t="n">
        <v>0</v>
      </c>
    </row>
    <row r="154">
      <c r="B154" t="n">
        <v>-7</v>
      </c>
      <c r="C154">
        <f>IF(MOD(B154,20)=0,TEXT(B154,"0"),"")</f>
        <v/>
      </c>
      <c r="D154" t="n">
        <v>30.93798882270731</v>
      </c>
      <c r="E154" t="n">
        <v>195.0135304411262</v>
      </c>
      <c r="F154" t="n">
        <v>0</v>
      </c>
      <c r="G154" t="n">
        <v>0</v>
      </c>
      <c r="H154" t="n">
        <v>24.04848073616647</v>
      </c>
      <c r="J154">
        <f>Szen2_T1a+10</f>
        <v/>
      </c>
      <c r="K154" t="n">
        <v>45</v>
      </c>
      <c r="L154">
        <f>(J154-Diagramm_Tmin)/Diagramm_dT+1</f>
        <v/>
      </c>
      <c r="M154">
        <f>IF(J154="","",IF(J154&lt;Zoom_Tmin,NA(),(J154-Zoom_Tmin)/Diagramm_dT+1))</f>
        <v/>
      </c>
      <c r="N154">
        <f>IF(J154="","",IF(J154&lt;Zoom2_Tmin,NA(),(J154-Zoom2_Tmin)/Diagramm_dT+1))</f>
        <v/>
      </c>
      <c r="P154" t="n">
        <v>28.82106653154386</v>
      </c>
      <c r="Q154" t="n">
        <v>221.1789334684561</v>
      </c>
      <c r="R154" t="n">
        <v>0</v>
      </c>
    </row>
    <row r="155">
      <c r="B155" t="n">
        <v>-6.5</v>
      </c>
      <c r="C155">
        <f>IF(MOD(B155,20)=0,TEXT(B155,"0"),"")</f>
        <v/>
      </c>
      <c r="D155" t="n">
        <v>31.37945208723533</v>
      </c>
      <c r="E155" t="n">
        <v>194.7184907753717</v>
      </c>
      <c r="F155" t="n">
        <v>0</v>
      </c>
      <c r="G155" t="n">
        <v>0</v>
      </c>
      <c r="H155" t="n">
        <v>23.90205713739295</v>
      </c>
      <c r="J155" t="n">
        <v>42</v>
      </c>
      <c r="K155" t="n">
        <v>49</v>
      </c>
      <c r="L155">
        <f>(J155-Diagramm_Tmin)/Diagramm_dT+1</f>
        <v/>
      </c>
      <c r="M155">
        <f>IF(J155="","",IF(J155&lt;Zoom_Tmin,NA(),(J155-Zoom_Tmin)/Diagramm_dT+1))</f>
        <v/>
      </c>
      <c r="N155">
        <f>IF(J155="","",IF(J155&lt;Zoom2_Tmin,NA(),(J155-Zoom2_Tmin)/Diagramm_dT+1))</f>
        <v/>
      </c>
      <c r="P155" t="n">
        <v>29.22427998306295</v>
      </c>
      <c r="Q155" t="n">
        <v>220.775720016937</v>
      </c>
      <c r="R155" t="n">
        <v>0</v>
      </c>
    </row>
    <row r="156">
      <c r="B156" t="n">
        <v>-6</v>
      </c>
      <c r="C156">
        <f>IF(MOD(B156,20)=0,TEXT(B156,"0"),"")</f>
        <v/>
      </c>
      <c r="D156" t="n">
        <v>31.82572702823888</v>
      </c>
      <c r="E156" t="n">
        <v>194.4190002879202</v>
      </c>
      <c r="F156" t="n">
        <v>0</v>
      </c>
      <c r="G156" t="n">
        <v>0</v>
      </c>
      <c r="H156" t="n">
        <v>23.75527268384094</v>
      </c>
      <c r="J156" t="n">
        <v>97</v>
      </c>
      <c r="K156" t="n">
        <v>106</v>
      </c>
      <c r="L156">
        <f>(J156-Diagramm_Tmin)/Diagramm_dT+1</f>
        <v/>
      </c>
      <c r="M156">
        <f>IF(J156="","",IF(J156&lt;Zoom_Tmin,NA(),(J156-Zoom_Tmin)/Diagramm_dT+1))</f>
        <v/>
      </c>
      <c r="N156">
        <f>IF(J156="","",IF(J156&lt;Zoom2_Tmin,NA(),(J156-Zoom2_Tmin)/Diagramm_dT+1))</f>
        <v/>
      </c>
      <c r="P156" t="n">
        <v>29.63161357269367</v>
      </c>
      <c r="Q156" t="n">
        <v>220.3683864273063</v>
      </c>
      <c r="R156" t="n">
        <v>0</v>
      </c>
    </row>
    <row r="157">
      <c r="B157" t="n">
        <v>-5.5</v>
      </c>
      <c r="C157">
        <f>IF(MOD(B157,20)=0,TEXT(B157,"0"),"")</f>
        <v/>
      </c>
      <c r="D157" t="n">
        <v>32.27685773216921</v>
      </c>
      <c r="E157" t="n">
        <v>194.1150683002472</v>
      </c>
      <c r="F157" t="n">
        <v>0</v>
      </c>
      <c r="G157" t="n">
        <v>0</v>
      </c>
      <c r="H157" t="n">
        <v>23.60807396758361</v>
      </c>
      <c r="M157">
        <f>IF(J157="","",IF(J157&lt;Zoom_Tmin,NA(),(J157-Zoom_Tmin)/Diagramm_dT+1))</f>
        <v/>
      </c>
      <c r="N157">
        <f>IF(J157="","",IF(J157&lt;Zoom2_Tmin,NA(),(J157-Zoom2_Tmin)/Diagramm_dT+1))</f>
        <v/>
      </c>
      <c r="P157" t="n">
        <v>30.04309529202662</v>
      </c>
      <c r="Q157" t="n">
        <v>219.9569047079734</v>
      </c>
      <c r="R157" t="n">
        <v>0</v>
      </c>
    </row>
    <row r="158">
      <c r="B158" t="n">
        <v>-5</v>
      </c>
      <c r="C158">
        <f>IF(MOD(B158,20)=0,TEXT(B158,"0"),"")</f>
        <v/>
      </c>
      <c r="D158" t="n">
        <v>32.73288909072205</v>
      </c>
      <c r="E158" t="n">
        <v>193.8067042840632</v>
      </c>
      <c r="F158" t="n">
        <v>0</v>
      </c>
      <c r="G158" t="n">
        <v>0</v>
      </c>
      <c r="H158" t="n">
        <v>23.46040662521474</v>
      </c>
      <c r="I158" s="76" t="inlineStr">
        <is>
          <t>Gassäule Kaverne voll (210 bar unten)</t>
        </is>
      </c>
      <c r="J158">
        <f>'Kaverne &amp; Gassäule'!$C$55</f>
        <v/>
      </c>
      <c r="K158">
        <f>'Kaverne &amp; Gassäule'!$D$55</f>
        <v/>
      </c>
      <c r="L158">
        <f>(J158-Diagramm_Tmin)/Diagramm_dT+1</f>
        <v/>
      </c>
      <c r="M158">
        <f>IF(J158="","",IF(J158&lt;Zoom_Tmin,NA(),(J158-Zoom_Tmin)/Diagramm_dT+1))</f>
        <v/>
      </c>
      <c r="N158">
        <f>IF(J158="","",IF(J158&lt;Zoom2_Tmin,NA(),(J158-Zoom2_Tmin)/Diagramm_dT+1))</f>
        <v/>
      </c>
      <c r="P158" t="n">
        <v>30.458753348269</v>
      </c>
      <c r="Q158" t="n">
        <v>219.541246651731</v>
      </c>
      <c r="R158" t="n">
        <v>0</v>
      </c>
    </row>
    <row r="159">
      <c r="B159" t="n">
        <v>-4.5</v>
      </c>
      <c r="C159">
        <f>IF(MOD(B159,20)=0,TEXT(B159,"0"),"")</f>
        <v/>
      </c>
      <c r="D159" t="n">
        <v>33.19386683969005</v>
      </c>
      <c r="E159" t="n">
        <v>193.4939179096329</v>
      </c>
      <c r="F159" t="n">
        <v>0</v>
      </c>
      <c r="G159" t="n">
        <v>0</v>
      </c>
      <c r="H159" t="n">
        <v>23.31221525067702</v>
      </c>
      <c r="J159">
        <f>'Kaverne &amp; Gassäule'!$C$56</f>
        <v/>
      </c>
      <c r="K159">
        <f>'Kaverne &amp; Gassäule'!$D$56</f>
        <v/>
      </c>
      <c r="L159">
        <f>(J159-Diagramm_Tmin)/Diagramm_dT+1</f>
        <v/>
      </c>
      <c r="M159">
        <f>IF(J159="","",IF(J159&lt;Zoom_Tmin,NA(),(J159-Zoom_Tmin)/Diagramm_dT+1))</f>
        <v/>
      </c>
      <c r="N159">
        <f>IF(J159="","",IF(J159&lt;Zoom2_Tmin,NA(),(J159-Zoom2_Tmin)/Diagramm_dT+1))</f>
        <v/>
      </c>
      <c r="P159" t="n">
        <v>30.87861617136831</v>
      </c>
      <c r="Q159" t="n">
        <v>219.1213838286317</v>
      </c>
      <c r="R159" t="n">
        <v>0</v>
      </c>
    </row>
    <row r="160">
      <c r="B160" t="n">
        <v>-4</v>
      </c>
      <c r="C160">
        <f>IF(MOD(B160,20)=0,TEXT(B160,"0"),"")</f>
        <v/>
      </c>
      <c r="D160" t="n">
        <v>33.659837600411</v>
      </c>
      <c r="E160" t="n">
        <v>193.1767190998611</v>
      </c>
      <c r="F160" t="n">
        <v>0</v>
      </c>
      <c r="G160" t="n">
        <v>0</v>
      </c>
      <c r="H160" t="n">
        <v>23.16344329972787</v>
      </c>
      <c r="J160">
        <f>'Kaverne &amp; Gassäule'!$C$57</f>
        <v/>
      </c>
      <c r="K160">
        <f>'Kaverne &amp; Gassäule'!$D$57</f>
        <v/>
      </c>
      <c r="L160">
        <f>(J160-Diagramm_Tmin)/Diagramm_dT+1</f>
        <v/>
      </c>
      <c r="M160">
        <f>IF(J160="","",IF(J160&lt;Zoom_Tmin,NA(),(J160-Zoom_Tmin)/Diagramm_dT+1))</f>
        <v/>
      </c>
      <c r="N160">
        <f>IF(J160="","",IF(J160&lt;Zoom2_Tmin,NA(),(J160-Zoom2_Tmin)/Diagramm_dT+1))</f>
        <v/>
      </c>
      <c r="P160" t="n">
        <v>31.30271242147935</v>
      </c>
      <c r="Q160" t="n">
        <v>218.6972875785206</v>
      </c>
      <c r="R160" t="n">
        <v>0</v>
      </c>
    </row>
    <row r="161">
      <c r="B161" t="n">
        <v>-3.5</v>
      </c>
      <c r="C161">
        <f>IF(MOD(B161,20)=0,TEXT(B161,"0"),"")</f>
        <v/>
      </c>
      <c r="D161" t="n">
        <v>34.13084892398813</v>
      </c>
      <c r="E161" t="n">
        <v>192.8551180907093</v>
      </c>
      <c r="F161" t="n">
        <v>0</v>
      </c>
      <c r="G161" t="n">
        <v>0</v>
      </c>
      <c r="H161" t="n">
        <v>23.01403298530261</v>
      </c>
      <c r="J161">
        <f>'Kaverne &amp; Gassäule'!$C$58</f>
        <v/>
      </c>
      <c r="K161">
        <f>'Kaverne &amp; Gassäule'!$D$58</f>
        <v/>
      </c>
      <c r="L161">
        <f>(J161-Diagramm_Tmin)/Diagramm_dT+1</f>
        <v/>
      </c>
      <c r="M161">
        <f>IF(J161="","",IF(J161&lt;Zoom_Tmin,NA(),(J161-Zoom_Tmin)/Diagramm_dT+1))</f>
        <v/>
      </c>
      <c r="N161">
        <f>IF(J161="","",IF(J161&lt;Zoom2_Tmin,NA(),(J161-Zoom2_Tmin)/Diagramm_dT+1))</f>
        <v/>
      </c>
      <c r="P161" t="n">
        <v>31.73107099679966</v>
      </c>
      <c r="Q161" t="n">
        <v>218.2689290032004</v>
      </c>
      <c r="R161" t="n">
        <v>0</v>
      </c>
    </row>
    <row r="162">
      <c r="B162" t="n">
        <v>-3</v>
      </c>
      <c r="C162">
        <f>IF(MOD(B162,20)=0,TEXT(B162,"0"),"")</f>
        <v/>
      </c>
      <c r="D162" t="n">
        <v>34.60694933862124</v>
      </c>
      <c r="E162" t="n">
        <v>192.5291254986524</v>
      </c>
      <c r="F162" t="n">
        <v>0</v>
      </c>
      <c r="G162" t="n">
        <v>0</v>
      </c>
      <c r="H162" t="n">
        <v>22.86392516272636</v>
      </c>
      <c r="J162">
        <f>'Kaverne &amp; Gassäule'!$C$59</f>
        <v/>
      </c>
      <c r="K162">
        <f>'Kaverne &amp; Gassäule'!$D$59</f>
        <v/>
      </c>
      <c r="L162">
        <f>(J162-Diagramm_Tmin)/Diagramm_dT+1</f>
        <v/>
      </c>
      <c r="M162">
        <f>IF(J162="","",IF(J162&lt;Zoom_Tmin,NA(),(J162-Zoom_Tmin)/Diagramm_dT+1))</f>
        <v/>
      </c>
      <c r="N162">
        <f>IF(J162="","",IF(J162&lt;Zoom2_Tmin,NA(),(J162-Zoom2_Tmin)/Diagramm_dT+1))</f>
        <v/>
      </c>
      <c r="P162" t="n">
        <v>32.16372104180073</v>
      </c>
      <c r="Q162" t="n">
        <v>217.8362789581993</v>
      </c>
      <c r="R162" t="n">
        <v>0</v>
      </c>
    </row>
    <row r="163">
      <c r="B163" t="n">
        <v>-2.5</v>
      </c>
      <c r="C163">
        <f>IF(MOD(B163,20)=0,TEXT(B163,"0"),"")</f>
        <v/>
      </c>
      <c r="D163" t="n">
        <v>35.08818840023326</v>
      </c>
      <c r="E163" t="n">
        <v>192.1987523957415</v>
      </c>
      <c r="F163" t="n">
        <v>0</v>
      </c>
      <c r="G163" t="n">
        <v>0</v>
      </c>
      <c r="H163" t="n">
        <v>22.71305920402523</v>
      </c>
      <c r="J163">
        <f>'Kaverne &amp; Gassäule'!$C$60</f>
        <v/>
      </c>
      <c r="K163">
        <f>'Kaverne &amp; Gassäule'!$D$60</f>
        <v/>
      </c>
      <c r="L163">
        <f>(J163-Diagramm_Tmin)/Diagramm_dT+1</f>
        <v/>
      </c>
      <c r="M163">
        <f>IF(J163="","",IF(J163&lt;Zoom_Tmin,NA(),(J163-Zoom_Tmin)/Diagramm_dT+1))</f>
        <v/>
      </c>
      <c r="N163">
        <f>IF(J163="","",IF(J163&lt;Zoom2_Tmin,NA(),(J163-Zoom2_Tmin)/Diagramm_dT+1))</f>
        <v/>
      </c>
      <c r="P163" t="n">
        <v>32.60069195588353</v>
      </c>
      <c r="Q163" t="n">
        <v>217.3993080441165</v>
      </c>
      <c r="R163" t="n">
        <v>0</v>
      </c>
    </row>
    <row r="164">
      <c r="B164" t="n">
        <v>-2</v>
      </c>
      <c r="C164">
        <f>IF(MOD(B164,20)=0,TEXT(B164,"0"),"")</f>
        <v/>
      </c>
      <c r="D164" t="n">
        <v>35.57461674677692</v>
      </c>
      <c r="E164" t="n">
        <v>191.8640103927536</v>
      </c>
      <c r="F164" t="n">
        <v>0</v>
      </c>
      <c r="G164" t="n">
        <v>0</v>
      </c>
      <c r="H164" t="n">
        <v>22.56137286046953</v>
      </c>
      <c r="J164">
        <f>'Kaverne &amp; Gassäule'!$C$61</f>
        <v/>
      </c>
      <c r="K164">
        <f>'Kaverne &amp; Gassäule'!$D$61</f>
        <v/>
      </c>
      <c r="L164">
        <f>(J164-Diagramm_Tmin)/Diagramm_dT+1</f>
        <v/>
      </c>
      <c r="M164">
        <f>IF(J164="","",IF(J164&lt;Zoom_Tmin,NA(),(J164-Zoom_Tmin)/Diagramm_dT+1))</f>
        <v/>
      </c>
      <c r="N164">
        <f>IF(J164="","",IF(J164&lt;Zoom2_Tmin,NA(),(J164-Zoom2_Tmin)/Diagramm_dT+1))</f>
        <v/>
      </c>
      <c r="P164" t="n">
        <v>33.04201340248886</v>
      </c>
      <c r="Q164" t="n">
        <v>216.9579865975111</v>
      </c>
      <c r="R164" t="n">
        <v>0</v>
      </c>
    </row>
    <row r="165">
      <c r="B165" t="n">
        <v>-1.5</v>
      </c>
      <c r="C165">
        <f>IF(MOD(B165,20)=0,TEXT(B165,"0"),"")</f>
        <v/>
      </c>
      <c r="D165" t="n">
        <v>36.06628615642573</v>
      </c>
      <c r="E165" t="n">
        <v>191.5249117310689</v>
      </c>
      <c r="F165" t="n">
        <v>0</v>
      </c>
      <c r="G165" t="n">
        <v>0</v>
      </c>
      <c r="H165" t="n">
        <v>22.40880211250533</v>
      </c>
      <c r="J165">
        <f>'Kaverne &amp; Gassäule'!$C$62</f>
        <v/>
      </c>
      <c r="K165">
        <f>'Kaverne &amp; Gassäule'!$D$62</f>
        <v/>
      </c>
      <c r="L165">
        <f>(J165-Diagramm_Tmin)/Diagramm_dT+1</f>
        <v/>
      </c>
      <c r="M165">
        <f>IF(J165="","",IF(J165&lt;Zoom_Tmin,NA(),(J165-Zoom_Tmin)/Diagramm_dT+1))</f>
        <v/>
      </c>
      <c r="N165">
        <f>IF(J165="","",IF(J165&lt;Zoom2_Tmin,NA(),(J165-Zoom2_Tmin)/Diagramm_dT+1))</f>
        <v/>
      </c>
      <c r="P165" t="n">
        <v>33.48771531869456</v>
      </c>
      <c r="Q165" t="n">
        <v>216.5122846813054</v>
      </c>
      <c r="R165" t="n">
        <v>0</v>
      </c>
    </row>
    <row r="166">
      <c r="B166" t="n">
        <v>-1</v>
      </c>
      <c r="C166">
        <f>IF(MOD(B166,20)=0,TEXT(B166,"0"),"")</f>
        <v/>
      </c>
      <c r="D166" t="n">
        <v>36.56324961020073</v>
      </c>
      <c r="E166" t="n">
        <v>191.1814693834845</v>
      </c>
      <c r="F166" t="n">
        <v>0</v>
      </c>
      <c r="G166" t="n">
        <v>0</v>
      </c>
      <c r="H166" t="n">
        <v>22.25528100631472</v>
      </c>
      <c r="J166">
        <f>'Kaverne &amp; Gassäule'!$C$63</f>
        <v/>
      </c>
      <c r="K166">
        <f>'Kaverne &amp; Gassäule'!$D$63</f>
        <v/>
      </c>
      <c r="L166">
        <f>(J166-Diagramm_Tmin)/Diagramm_dT+1</f>
        <v/>
      </c>
      <c r="M166">
        <f>IF(J166="","",IF(J166&lt;Zoom_Tmin,NA(),(J166-Zoom_Tmin)/Diagramm_dT+1))</f>
        <v/>
      </c>
      <c r="N166">
        <f>IF(J166="","",IF(J166&lt;Zoom2_Tmin,NA(),(J166-Zoom2_Tmin)/Diagramm_dT+1))</f>
        <v/>
      </c>
      <c r="P166" t="n">
        <v>33.93782792533285</v>
      </c>
      <c r="Q166" t="n">
        <v>216.0621720746672</v>
      </c>
      <c r="R166" t="n">
        <v>0</v>
      </c>
    </row>
    <row r="167">
      <c r="B167" t="n">
        <v>-0.5</v>
      </c>
      <c r="C167">
        <f>IF(MOD(B167,20)=0,TEXT(B167,"0"),"")</f>
        <v/>
      </c>
      <c r="D167" t="n">
        <v>37.06556135921858</v>
      </c>
      <c r="E167" t="n">
        <v>190.8336971643151</v>
      </c>
      <c r="F167" t="n">
        <v>0</v>
      </c>
      <c r="G167" t="n">
        <v>0</v>
      </c>
      <c r="H167" t="n">
        <v>22.1007414764663</v>
      </c>
      <c r="J167">
        <f>'Kaverne &amp; Gassäule'!$C$64</f>
        <v/>
      </c>
      <c r="K167">
        <f>'Kaverne &amp; Gassäule'!$D$64</f>
        <v/>
      </c>
      <c r="L167">
        <f>(J167-Diagramm_Tmin)/Diagramm_dT+1</f>
        <v/>
      </c>
      <c r="M167">
        <f>IF(J167="","",IF(J167&lt;Zoom_Tmin,NA(),(J167-Zoom_Tmin)/Diagramm_dT+1))</f>
        <v/>
      </c>
      <c r="N167">
        <f>IF(J167="","",IF(J167&lt;Zoom2_Tmin,NA(),(J167-Zoom2_Tmin)/Diagramm_dT+1))</f>
        <v/>
      </c>
      <c r="P167" t="n">
        <v>34.39238173766244</v>
      </c>
      <c r="Q167" t="n">
        <v>215.6076182623376</v>
      </c>
      <c r="R167" t="n">
        <v>0</v>
      </c>
    </row>
    <row r="168">
      <c r="B168" t="n">
        <v>0</v>
      </c>
      <c r="C168">
        <f>IF(MOD(B168,20)=0,TEXT(B168,"0"),"")</f>
        <v/>
      </c>
      <c r="D168" t="n">
        <v>37.57327699721018</v>
      </c>
      <c r="E168" t="n">
        <v>190.4816098488867</v>
      </c>
      <c r="F168" t="n">
        <v>0</v>
      </c>
      <c r="G168" t="n">
        <v>0</v>
      </c>
      <c r="H168" t="n">
        <v>21.94511315390314</v>
      </c>
      <c r="J168">
        <f>'Kaverne &amp; Gassäule'!$C$65</f>
        <v/>
      </c>
      <c r="K168">
        <f>'Kaverne &amp; Gassäule'!$D$65</f>
        <v/>
      </c>
      <c r="L168">
        <f>(J168-Diagramm_Tmin)/Diagramm_dT+1</f>
        <v/>
      </c>
      <c r="M168">
        <f>IF(J168="","",IF(J168&lt;Zoom_Tmin,NA(),(J168-Zoom_Tmin)/Diagramm_dT+1))</f>
        <v/>
      </c>
      <c r="N168">
        <f>IF(J168="","",IF(J168&lt;Zoom2_Tmin,NA(),(J168-Zoom2_Tmin)/Diagramm_dT+1))</f>
        <v/>
      </c>
      <c r="P168" t="n">
        <v>34.85140757663161</v>
      </c>
      <c r="Q168" t="n">
        <v>215.1485924233684</v>
      </c>
      <c r="R168" t="n">
        <v>0</v>
      </c>
    </row>
    <row r="169">
      <c r="B169" t="n">
        <v>0.5</v>
      </c>
      <c r="C169">
        <f>IF(MOD(B169,20)=0,TEXT(B169,"0"),"")</f>
        <v/>
      </c>
      <c r="D169" t="n">
        <v>38.08645353863347</v>
      </c>
      <c r="E169" t="n">
        <v>190.1252233022757</v>
      </c>
      <c r="F169" t="n">
        <v>0</v>
      </c>
      <c r="G169" t="n">
        <v>0</v>
      </c>
      <c r="H169" t="n">
        <v>21.7883231590908</v>
      </c>
      <c r="J169">
        <f>'Kaverne &amp; Gassäule'!$C$66</f>
        <v/>
      </c>
      <c r="K169">
        <f>'Kaverne &amp; Gassäule'!$D$66</f>
        <v/>
      </c>
      <c r="L169">
        <f>(J169-Diagramm_Tmin)/Diagramm_dT+1</f>
        <v/>
      </c>
      <c r="M169">
        <f>IF(J169="","",IF(J169&lt;Zoom_Tmin,NA(),(J169-Zoom_Tmin)/Diagramm_dT+1))</f>
        <v/>
      </c>
      <c r="N169">
        <f>IF(J169="","",IF(J169&lt;Zoom2_Tmin,NA(),(J169-Zoom2_Tmin)/Diagramm_dT+1))</f>
        <v/>
      </c>
      <c r="P169" t="n">
        <v>35.31493658076863</v>
      </c>
      <c r="Q169" t="n">
        <v>214.6850634192314</v>
      </c>
      <c r="R169" t="n">
        <v>0</v>
      </c>
    </row>
    <row r="170">
      <c r="B170" t="n">
        <v>1</v>
      </c>
      <c r="C170">
        <f>IF(MOD(B170,20)=0,TEXT(B170,"0"),"")</f>
        <v/>
      </c>
      <c r="D170" t="n">
        <v>38.60514950304249</v>
      </c>
      <c r="E170" t="n">
        <v>189.7645546169816</v>
      </c>
      <c r="F170" t="n">
        <v>0</v>
      </c>
      <c r="G170" t="n">
        <v>0</v>
      </c>
      <c r="H170" t="n">
        <v>21.63029587997595</v>
      </c>
      <c r="J170">
        <f>'Kaverne &amp; Gassäule'!$C$67</f>
        <v/>
      </c>
      <c r="K170">
        <f>'Kaverne &amp; Gassäule'!$D$67</f>
        <v/>
      </c>
      <c r="L170">
        <f>(J170-Diagramm_Tmin)/Diagramm_dT+1</f>
        <v/>
      </c>
      <c r="M170">
        <f>IF(J170="","",IF(J170&lt;Zoom_Tmin,NA(),(J170-Zoom_Tmin)/Diagramm_dT+1))</f>
        <v/>
      </c>
      <c r="N170">
        <f>IF(J170="","",IF(J170&lt;Zoom2_Tmin,NA(),(J170-Zoom2_Tmin)/Diagramm_dT+1))</f>
        <v/>
      </c>
      <c r="P170" t="n">
        <v>35.78300021873748</v>
      </c>
      <c r="Q170" t="n">
        <v>214.2169997812625</v>
      </c>
      <c r="R170" t="n">
        <v>0</v>
      </c>
    </row>
    <row r="171">
      <c r="B171" t="n">
        <v>1.5</v>
      </c>
      <c r="C171">
        <f>IF(MOD(B171,20)=0,TEXT(B171,"0"),"")</f>
        <v/>
      </c>
      <c r="D171" t="n">
        <v>39.12942500629254</v>
      </c>
      <c r="E171" t="n">
        <v>189.3996222591396</v>
      </c>
      <c r="F171" t="n">
        <v>0</v>
      </c>
      <c r="G171" t="n">
        <v>0</v>
      </c>
      <c r="H171" t="n">
        <v>21.47095273456785</v>
      </c>
      <c r="J171">
        <f>'Kaverne &amp; Gassäule'!$C$68</f>
        <v/>
      </c>
      <c r="K171">
        <f>'Kaverne &amp; Gassäule'!$D$68</f>
        <v/>
      </c>
      <c r="L171">
        <f>(J171-Diagramm_Tmin)/Diagramm_dT+1</f>
        <v/>
      </c>
      <c r="M171">
        <f>IF(J171="","",IF(J171&lt;Zoom_Tmin,NA(),(J171-Zoom_Tmin)/Diagramm_dT+1))</f>
        <v/>
      </c>
      <c r="N171">
        <f>IF(J171="","",IF(J171&lt;Zoom2_Tmin,NA(),(J171-Zoom2_Tmin)/Diagramm_dT+1))</f>
        <v/>
      </c>
      <c r="P171" t="n">
        <v>36.25563030259659</v>
      </c>
      <c r="Q171" t="n">
        <v>213.7443696974034</v>
      </c>
      <c r="R171" t="n">
        <v>0</v>
      </c>
    </row>
    <row r="172">
      <c r="B172" t="n">
        <v>2</v>
      </c>
      <c r="C172">
        <f>IF(MOD(B172,20)=0,TEXT(B172,"0"),"")</f>
        <v/>
      </c>
      <c r="D172" t="n">
        <v>39.65934185916281</v>
      </c>
      <c r="E172" t="n">
        <v>189.0304462221815</v>
      </c>
      <c r="F172" t="n">
        <v>0</v>
      </c>
      <c r="G172" t="n">
        <v>0</v>
      </c>
      <c r="H172" t="n">
        <v>21.31021191865572</v>
      </c>
      <c r="J172">
        <f>'Kaverne &amp; Gassäule'!$C$69</f>
        <v/>
      </c>
      <c r="K172">
        <f>'Kaverne &amp; Gassäule'!$D$69</f>
        <v/>
      </c>
      <c r="L172">
        <f>(J172-Diagramm_Tmin)/Diagramm_dT+1</f>
        <v/>
      </c>
      <c r="M172">
        <f>IF(J172="","",IF(J172&lt;Zoom_Tmin,NA(),(J172-Zoom_Tmin)/Diagramm_dT+1))</f>
        <v/>
      </c>
      <c r="N172">
        <f>IF(J172="","",IF(J172&lt;Zoom2_Tmin,NA(),(J172-Zoom2_Tmin)/Diagramm_dT+1))</f>
        <v/>
      </c>
      <c r="P172" t="n">
        <v>36.73285900179867</v>
      </c>
      <c r="Q172" t="n">
        <v>213.2671409982013</v>
      </c>
      <c r="R172" t="n">
        <v>0</v>
      </c>
    </row>
    <row r="173">
      <c r="B173" t="n">
        <v>2.5</v>
      </c>
      <c r="C173">
        <f>IF(MOD(B173,20)=0,TEXT(B173,"0"),"")</f>
        <v/>
      </c>
      <c r="D173" t="n">
        <v>40.19496367434504</v>
      </c>
      <c r="E173" t="n">
        <v>188.6570481871035</v>
      </c>
      <c r="F173" t="n">
        <v>0</v>
      </c>
      <c r="G173" t="n">
        <v>0</v>
      </c>
      <c r="H173" t="n">
        <v>21.14798813855146</v>
      </c>
      <c r="J173">
        <f>'Kaverne &amp; Gassäule'!$C$70</f>
        <v/>
      </c>
      <c r="K173">
        <f>'Kaverne &amp; Gassäule'!$D$70</f>
        <v/>
      </c>
      <c r="L173">
        <f>(J173-Diagramm_Tmin)/Diagramm_dT+1</f>
        <v/>
      </c>
      <c r="M173">
        <f>IF(J173="","",IF(J173&lt;Zoom_Tmin,NA(),(J173-Zoom_Tmin)/Diagramm_dT+1))</f>
        <v/>
      </c>
      <c r="N173">
        <f>IF(J173="","",IF(J173&lt;Zoom2_Tmin,NA(),(J173-Zoom2_Tmin)/Diagramm_dT+1))</f>
        <v/>
      </c>
      <c r="P173" t="n">
        <v>37.21471885796949</v>
      </c>
      <c r="Q173" t="n">
        <v>212.7852811420305</v>
      </c>
      <c r="R173" t="n">
        <v>0</v>
      </c>
    </row>
    <row r="174">
      <c r="B174" t="n">
        <v>3</v>
      </c>
      <c r="C174">
        <f>IF(MOD(B174,20)=0,TEXT(B174,"0"),"")</f>
        <v/>
      </c>
      <c r="D174" t="n">
        <v>40.73635598241886</v>
      </c>
      <c r="E174" t="n">
        <v>188.2794516877856</v>
      </c>
      <c r="F174" t="n">
        <v>0</v>
      </c>
      <c r="G174" t="n">
        <v>0</v>
      </c>
      <c r="H174" t="n">
        <v>20.98419232979558</v>
      </c>
      <c r="J174">
        <f>'Kaverne &amp; Gassäule'!$C$71</f>
        <v/>
      </c>
      <c r="K174">
        <f>'Kaverne &amp; Gassäule'!$D$71</f>
        <v/>
      </c>
      <c r="L174">
        <f>(J174-Diagramm_Tmin)/Diagramm_dT+1</f>
        <v/>
      </c>
      <c r="M174">
        <f>IF(J174="","",IF(J174&lt;Zoom_Tmin,NA(),(J174-Zoom_Tmin)/Diagramm_dT+1))</f>
        <v/>
      </c>
      <c r="N174">
        <f>IF(J174="","",IF(J174&lt;Zoom2_Tmin,NA(),(J174-Zoom2_Tmin)/Diagramm_dT+1))</f>
        <v/>
      </c>
      <c r="P174" t="n">
        <v>37.70124280050477</v>
      </c>
      <c r="Q174" t="n">
        <v>212.2987571994952</v>
      </c>
      <c r="R174" t="n">
        <v>0</v>
      </c>
    </row>
    <row r="175">
      <c r="B175" t="n">
        <v>3.5</v>
      </c>
      <c r="C175">
        <f>IF(MOD(B175,20)=0,TEXT(B175,"0"),"")</f>
        <v/>
      </c>
      <c r="D175" t="n">
        <v>41.28358635790144</v>
      </c>
      <c r="E175" t="n">
        <v>187.8976822797405</v>
      </c>
      <c r="F175" t="n">
        <v>0</v>
      </c>
      <c r="G175" t="n">
        <v>0</v>
      </c>
      <c r="H175" t="n">
        <v>20.81873136235801</v>
      </c>
      <c r="J175">
        <f>'Kaverne &amp; Gassäule'!$C$72</f>
        <v/>
      </c>
      <c r="K175">
        <f>'Kaverne &amp; Gassäule'!$D$72</f>
        <v/>
      </c>
      <c r="L175">
        <f>(J175-Diagramm_Tmin)/Diagramm_dT+1</f>
        <v/>
      </c>
      <c r="M175">
        <f>IF(J175="","",IF(J175&lt;Zoom_Tmin,NA(),(J175-Zoom_Tmin)/Diagramm_dT+1))</f>
        <v/>
      </c>
      <c r="N175">
        <f>IF(J175="","",IF(J175&lt;Zoom2_Tmin,NA(),(J175-Zoom2_Tmin)/Diagramm_dT+1))</f>
        <v/>
      </c>
      <c r="P175" t="n">
        <v>38.1924641630199</v>
      </c>
      <c r="Q175" t="n">
        <v>211.8075358369801</v>
      </c>
      <c r="R175" t="n">
        <v>0</v>
      </c>
    </row>
    <row r="176">
      <c r="B176" t="n">
        <v>4</v>
      </c>
      <c r="C176">
        <f>IF(MOD(B176,20)=0,TEXT(B176,"0"),"")</f>
        <v/>
      </c>
      <c r="D176" t="n">
        <v>41.83642063344759</v>
      </c>
      <c r="E176" t="n">
        <v>187.5117677104111</v>
      </c>
      <c r="F176" t="n">
        <v>0</v>
      </c>
      <c r="G176" t="n">
        <v>0</v>
      </c>
      <c r="H176" t="n">
        <v>20.65181165614133</v>
      </c>
      <c r="J176">
        <f>'Kaverne &amp; Gassäule'!$C$73</f>
        <v/>
      </c>
      <c r="K176">
        <f>'Kaverne &amp; Gassäule'!$D$73</f>
        <v/>
      </c>
      <c r="L176">
        <f>(J176-Diagramm_Tmin)/Diagramm_dT+1</f>
        <v/>
      </c>
      <c r="M176">
        <f>IF(J176="","",IF(J176&lt;Zoom_Tmin,NA(),(J176-Zoom_Tmin)/Diagramm_dT+1))</f>
        <v/>
      </c>
      <c r="N176">
        <f>IF(J176="","",IF(J176&lt;Zoom2_Tmin,NA(),(J176-Zoom2_Tmin)/Diagramm_dT+1))</f>
        <v/>
      </c>
      <c r="P176" t="n">
        <v>38.68841670069311</v>
      </c>
      <c r="Q176" t="n">
        <v>211.3115832993069</v>
      </c>
      <c r="R176" t="n">
        <v>0</v>
      </c>
    </row>
    <row r="177">
      <c r="B177" t="n">
        <v>4.5</v>
      </c>
      <c r="C177">
        <f>IF(MOD(B177,20)=0,TEXT(B177,"0"),"")</f>
        <v/>
      </c>
      <c r="D177" t="n">
        <v>42.3958426640854</v>
      </c>
      <c r="E177" t="n">
        <v>187.1217380888113</v>
      </c>
      <c r="F177" t="n">
        <v>0</v>
      </c>
      <c r="G177" t="n">
        <v>0</v>
      </c>
      <c r="H177" t="n">
        <v>20.48241924710329</v>
      </c>
      <c r="J177">
        <f>'Kaverne &amp; Gassäule'!$C$74</f>
        <v/>
      </c>
      <c r="K177">
        <f>'Kaverne &amp; Gassäule'!$D$74</f>
        <v/>
      </c>
      <c r="L177">
        <f>(J177-Diagramm_Tmin)/Diagramm_dT+1</f>
        <v/>
      </c>
      <c r="M177">
        <f>IF(J177="","",IF(J177&lt;Zoom_Tmin,NA(),(J177-Zoom_Tmin)/Diagramm_dT+1))</f>
        <v/>
      </c>
      <c r="N177">
        <f>IF(J177="","",IF(J177&lt;Zoom2_Tmin,NA(),(J177-Zoom2_Tmin)/Diagramm_dT+1))</f>
        <v/>
      </c>
      <c r="P177" t="n">
        <v>39.18913460853489</v>
      </c>
      <c r="Q177" t="n">
        <v>210.8108653914651</v>
      </c>
      <c r="R177" t="n">
        <v>0</v>
      </c>
    </row>
    <row r="178">
      <c r="B178" t="n">
        <v>5</v>
      </c>
      <c r="C178">
        <f>IF(MOD(B178,20)=0,TEXT(B178,"0"),"")</f>
        <v/>
      </c>
      <c r="D178" t="n">
        <v>42.96101526063035</v>
      </c>
      <c r="E178" t="n">
        <v>186.727823671611</v>
      </c>
      <c r="F178" t="n">
        <v>0</v>
      </c>
      <c r="G178" t="n">
        <v>0</v>
      </c>
      <c r="H178" t="n">
        <v>20.3111610677586</v>
      </c>
      <c r="J178">
        <f>'Kaverne &amp; Gassäule'!$C$75</f>
        <v/>
      </c>
      <c r="K178">
        <f>'Kaverne &amp; Gassäule'!$D$75</f>
        <v/>
      </c>
      <c r="L178">
        <f>(J178-Diagramm_Tmin)/Diagramm_dT+1</f>
        <v/>
      </c>
      <c r="M178">
        <f>IF(J178="","",IF(J178&lt;Zoom_Tmin,NA(),(J178-Zoom_Tmin)/Diagramm_dT+1))</f>
        <v/>
      </c>
      <c r="N178">
        <f>IF(J178="","",IF(J178&lt;Zoom2_Tmin,NA(),(J178-Zoom2_Tmin)/Diagramm_dT+1))</f>
        <v/>
      </c>
      <c r="P178" t="n">
        <v>39.69465254062399</v>
      </c>
      <c r="Q178" t="n">
        <v>210.305347459376</v>
      </c>
      <c r="R178" t="n">
        <v>0</v>
      </c>
    </row>
    <row r="179">
      <c r="B179" t="n">
        <v>5.5</v>
      </c>
      <c r="C179">
        <f>IF(MOD(B179,20)=0,TEXT(B179,"0"),"")</f>
        <v/>
      </c>
      <c r="D179" t="n">
        <v>43.53231959759026</v>
      </c>
      <c r="E179" t="n">
        <v>186.3294669286951</v>
      </c>
      <c r="F179" t="n">
        <v>0</v>
      </c>
      <c r="G179" t="n">
        <v>0</v>
      </c>
      <c r="H179" t="n">
        <v>20.13821347371464</v>
      </c>
      <c r="J179">
        <f>'Kaverne &amp; Gassäule'!$C$76</f>
        <v/>
      </c>
      <c r="K179">
        <f>'Kaverne &amp; Gassäule'!$D$76</f>
        <v/>
      </c>
      <c r="L179">
        <f>(J179-Diagramm_Tmin)/Diagramm_dT+1</f>
        <v/>
      </c>
      <c r="M179">
        <f>IF(J179="","",IF(J179&lt;Zoom_Tmin,NA(),(J179-Zoom_Tmin)/Diagramm_dT+1))</f>
        <v/>
      </c>
      <c r="N179">
        <f>IF(J179="","",IF(J179&lt;Zoom2_Tmin,NA(),(J179-Zoom2_Tmin)/Diagramm_dT+1))</f>
        <v/>
      </c>
      <c r="P179" t="n">
        <v>40.2050056303452</v>
      </c>
      <c r="Q179" t="n">
        <v>209.7949943696548</v>
      </c>
      <c r="R179" t="n">
        <v>0</v>
      </c>
    </row>
    <row r="180">
      <c r="B180" t="n">
        <v>6</v>
      </c>
      <c r="C180">
        <f>IF(MOD(B180,20)=0,TEXT(B180,"0"),"")</f>
        <v/>
      </c>
      <c r="D180" t="n">
        <v>44.10983579358158</v>
      </c>
      <c r="E180" t="n">
        <v>185.9272988901312</v>
      </c>
      <c r="F180" t="n">
        <v>0</v>
      </c>
      <c r="G180" t="n">
        <v>0</v>
      </c>
      <c r="H180" t="n">
        <v>19.96286531628726</v>
      </c>
      <c r="J180">
        <f>'Kaverne &amp; Gassäule'!$C$77</f>
        <v/>
      </c>
      <c r="K180">
        <f>'Kaverne &amp; Gassäule'!$D$77</f>
        <v/>
      </c>
      <c r="L180">
        <f>(J180-Diagramm_Tmin)/Diagramm_dT+1</f>
        <v/>
      </c>
      <c r="M180">
        <f>IF(J180="","",IF(J180&lt;Zoom_Tmin,NA(),(J180-Zoom_Tmin)/Diagramm_dT+1))</f>
        <v/>
      </c>
      <c r="N180">
        <f>IF(J180="","",IF(J180&lt;Zoom2_Tmin,NA(),(J180-Zoom2_Tmin)/Diagramm_dT+1))</f>
        <v/>
      </c>
      <c r="P180" t="n">
        <v>40.7202295116692</v>
      </c>
      <c r="Q180" t="n">
        <v>209.2797704883308</v>
      </c>
      <c r="R180" t="n">
        <v>0</v>
      </c>
    </row>
    <row r="181">
      <c r="B181" t="n">
        <v>6.5</v>
      </c>
      <c r="C181">
        <f>IF(MOD(B181,20)=0,TEXT(B181,"0"),"")</f>
        <v/>
      </c>
      <c r="D181" t="n">
        <v>44.69364704840976</v>
      </c>
      <c r="E181" t="n">
        <v>185.521163099706</v>
      </c>
      <c r="F181" t="n">
        <v>0</v>
      </c>
      <c r="G181" t="n">
        <v>0</v>
      </c>
      <c r="H181" t="n">
        <v>19.78518985188423</v>
      </c>
      <c r="J181">
        <f>'Kaverne &amp; Gassäule'!$C$78</f>
        <v/>
      </c>
      <c r="K181">
        <f>'Kaverne &amp; Gassäule'!$D$78</f>
        <v/>
      </c>
      <c r="L181">
        <f>(J181-Diagramm_Tmin)/Diagramm_dT+1</f>
        <v/>
      </c>
      <c r="M181">
        <f>IF(J181="","",IF(J181&lt;Zoom_Tmin,NA(),(J181-Zoom_Tmin)/Diagramm_dT+1))</f>
        <v/>
      </c>
      <c r="N181">
        <f>IF(J181="","",IF(J181&lt;Zoom2_Tmin,NA(),(J181-Zoom2_Tmin)/Diagramm_dT+1))</f>
        <v/>
      </c>
      <c r="P181" t="n">
        <v>41.24036034151704</v>
      </c>
      <c r="Q181" t="n">
        <v>208.759639658483</v>
      </c>
      <c r="R181" t="n">
        <v>0</v>
      </c>
    </row>
    <row r="182">
      <c r="B182" t="n">
        <v>7</v>
      </c>
      <c r="C182">
        <f>IF(MOD(B182,20)=0,TEXT(B182,"0"),"")</f>
        <v/>
      </c>
      <c r="D182" t="n">
        <v>45.28383987859212</v>
      </c>
      <c r="E182" t="n">
        <v>185.1111038472815</v>
      </c>
      <c r="F182" t="n">
        <v>0</v>
      </c>
      <c r="G182" t="n">
        <v>0</v>
      </c>
      <c r="H182" t="n">
        <v>19.60505627412635</v>
      </c>
      <c r="J182">
        <f>'Kaverne &amp; Gassäule'!$C$79</f>
        <v/>
      </c>
      <c r="K182">
        <f>'Kaverne &amp; Gassäule'!$D$79</f>
        <v/>
      </c>
      <c r="L182">
        <f>(J182-Diagramm_Tmin)/Diagramm_dT+1</f>
        <v/>
      </c>
      <c r="M182">
        <f>IF(J182="","",IF(J182&lt;Zoom_Tmin,NA(),(J182-Zoom_Tmin)/Diagramm_dT+1))</f>
        <v/>
      </c>
      <c r="N182">
        <f>IF(J182="","",IF(J182&lt;Zoom2_Tmin,NA(),(J182-Zoom2_Tmin)/Diagramm_dT+1))</f>
        <v/>
      </c>
      <c r="P182" t="n">
        <v>41.76543482325783</v>
      </c>
      <c r="Q182" t="n">
        <v>208.2345651767422</v>
      </c>
      <c r="R182" t="n">
        <v>0</v>
      </c>
    </row>
    <row r="183">
      <c r="B183" t="n">
        <v>7.5</v>
      </c>
      <c r="C183">
        <f>IF(MOD(B183,20)=0,TEXT(B183,"0"),"")</f>
        <v/>
      </c>
      <c r="D183" t="n">
        <v>45.88050437678977</v>
      </c>
      <c r="E183" t="n">
        <v>184.6971686761655</v>
      </c>
      <c r="F183" t="n">
        <v>0</v>
      </c>
      <c r="G183" t="n">
        <v>0</v>
      </c>
      <c r="H183" t="n">
        <v>19.42232694704469</v>
      </c>
      <c r="M183">
        <f>IF(J183="","",IF(J183&lt;Zoom_Tmin,NA(),(J183-Zoom_Tmin)/Diagramm_dT+1))</f>
        <v/>
      </c>
      <c r="N183">
        <f>IF(J183="","",IF(J183&lt;Zoom2_Tmin,NA(),(J183-Zoom2_Tmin)/Diagramm_dT+1))</f>
        <v/>
      </c>
      <c r="P183" t="n">
        <v>42.29549023139538</v>
      </c>
      <c r="Q183" t="n">
        <v>207.7045097686046</v>
      </c>
      <c r="R183" t="n">
        <v>0</v>
      </c>
    </row>
    <row r="184">
      <c r="B184" t="n">
        <v>8</v>
      </c>
      <c r="C184">
        <f>IF(MOD(B184,20)=0,TEXT(B184,"0"),"")</f>
        <v/>
      </c>
      <c r="D184" t="n">
        <v>46.48373449842011</v>
      </c>
      <c r="E184" t="n">
        <v>184.2794085019426</v>
      </c>
      <c r="F184" t="n">
        <v>0</v>
      </c>
      <c r="G184" t="n">
        <v>0</v>
      </c>
      <c r="H184" t="n">
        <v>19.23685699963725</v>
      </c>
      <c r="I184" s="76" t="inlineStr">
        <is>
          <t>Gassäule Grenzfall (Kopf = Cricondenbar)</t>
        </is>
      </c>
      <c r="J184">
        <f>'Kaverne &amp; Gassäule'!$C$55</f>
        <v/>
      </c>
      <c r="K184">
        <f>'Kaverne &amp; Gassäule'!$F$55</f>
        <v/>
      </c>
      <c r="L184">
        <f>(J184-Diagramm_Tmin)/Diagramm_dT+1</f>
        <v/>
      </c>
      <c r="M184">
        <f>IF(J184="","",IF(J184&lt;Zoom_Tmin,NA(),(J184-Zoom_Tmin)/Diagramm_dT+1))</f>
        <v/>
      </c>
      <c r="N184">
        <f>IF(J184="","",IF(J184&lt;Zoom2_Tmin,NA(),(J184-Zoom2_Tmin)/Diagramm_dT+1))</f>
        <v/>
      </c>
      <c r="P184" t="n">
        <v>42.8305644375123</v>
      </c>
      <c r="Q184" t="n">
        <v>207.1694355624877</v>
      </c>
      <c r="R184" t="n">
        <v>0</v>
      </c>
    </row>
    <row r="185">
      <c r="B185" t="n">
        <v>8.5</v>
      </c>
      <c r="C185">
        <f>IF(MOD(B185,20)=0,TEXT(B185,"0"),"")</f>
        <v/>
      </c>
      <c r="D185" t="n">
        <v>47.09362837908672</v>
      </c>
      <c r="E185" t="n">
        <v>183.8578777273185</v>
      </c>
      <c r="F185" t="n">
        <v>0</v>
      </c>
      <c r="G185" t="n">
        <v>0</v>
      </c>
      <c r="H185" t="n">
        <v>19.04849389359483</v>
      </c>
      <c r="J185">
        <f>'Kaverne &amp; Gassäule'!$C$56</f>
        <v/>
      </c>
      <c r="K185">
        <f>'Kaverne &amp; Gassäule'!$F$56</f>
        <v/>
      </c>
      <c r="L185">
        <f>(J185-Diagramm_Tmin)/Diagramm_dT+1</f>
        <v/>
      </c>
      <c r="M185">
        <f>IF(J185="","",IF(J185&lt;Zoom_Tmin,NA(),(J185-Zoom_Tmin)/Diagramm_dT+1))</f>
        <v/>
      </c>
      <c r="N185">
        <f>IF(J185="","",IF(J185&lt;Zoom2_Tmin,NA(),(J185-Zoom2_Tmin)/Diagramm_dT+1))</f>
        <v/>
      </c>
      <c r="P185" t="n">
        <v>43.37069593755845</v>
      </c>
      <c r="Q185" t="n">
        <v>206.6293040624415</v>
      </c>
      <c r="R185" t="n">
        <v>0</v>
      </c>
    </row>
    <row r="186">
      <c r="B186" t="n">
        <v>9</v>
      </c>
      <c r="C186">
        <f>IF(MOD(B186,20)=0,TEXT(B186,"0"),"")</f>
        <v/>
      </c>
      <c r="D186" t="n">
        <v>47.71028868712408</v>
      </c>
      <c r="E186" t="n">
        <v>183.4326343597086</v>
      </c>
      <c r="F186" t="n">
        <v>0</v>
      </c>
      <c r="G186" t="n">
        <v>0</v>
      </c>
      <c r="H186" t="n">
        <v>18.85707695316732</v>
      </c>
      <c r="J186">
        <f>'Kaverne &amp; Gassäule'!$C$57</f>
        <v/>
      </c>
      <c r="K186">
        <f>'Kaverne &amp; Gassäule'!$F$57</f>
        <v/>
      </c>
      <c r="L186">
        <f>(J186-Diagramm_Tmin)/Diagramm_dT+1</f>
        <v/>
      </c>
      <c r="M186">
        <f>IF(J186="","",IF(J186&lt;Zoom_Tmin,NA(),(J186-Zoom_Tmin)/Diagramm_dT+1))</f>
        <v/>
      </c>
      <c r="N186">
        <f>IF(J186="","",IF(J186&lt;Zoom2_Tmin,NA(),(J186-Zoom2_Tmin)/Diagramm_dT+1))</f>
        <v/>
      </c>
      <c r="P186" t="n">
        <v>43.91592388058906</v>
      </c>
      <c r="Q186" t="n">
        <v>206.084076119411</v>
      </c>
      <c r="R186" t="n">
        <v>0</v>
      </c>
    </row>
    <row r="187">
      <c r="B187" t="n">
        <v>9.5</v>
      </c>
      <c r="C187">
        <f>IF(MOD(B187,20)=0,TEXT(B187,"0"),"")</f>
        <v/>
      </c>
      <c r="D187" t="n">
        <v>48.33382301638539</v>
      </c>
      <c r="E187" t="n">
        <v>183.0037401419448</v>
      </c>
      <c r="F187" t="n">
        <v>0</v>
      </c>
      <c r="G187" t="n">
        <v>0</v>
      </c>
      <c r="H187" t="n">
        <v>18.66243684166985</v>
      </c>
      <c r="J187">
        <f>'Kaverne &amp; Gassäule'!$C$58</f>
        <v/>
      </c>
      <c r="K187">
        <f>'Kaverne &amp; Gassäule'!$F$58</f>
        <v/>
      </c>
      <c r="L187">
        <f>(J187-Diagramm_Tmin)/Diagramm_dT+1</f>
        <v/>
      </c>
      <c r="M187">
        <f>IF(J187="","",IF(J187&lt;Zoom_Tmin,NA(),(J187-Zoom_Tmin)/Diagramm_dT+1))</f>
        <v/>
      </c>
      <c r="N187">
        <f>IF(J187="","",IF(J187&lt;Zoom2_Tmin,NA(),(J187-Zoom2_Tmin)/Diagramm_dT+1))</f>
        <v/>
      </c>
      <c r="P187" t="n">
        <v>44.46628809909183</v>
      </c>
      <c r="Q187" t="n">
        <v>205.5337119009082</v>
      </c>
      <c r="R187" t="n">
        <v>0</v>
      </c>
    </row>
    <row r="188">
      <c r="B188" t="n">
        <v>10</v>
      </c>
      <c r="C188">
        <f>IF(MOD(B188,20)=0,TEXT(B188,"0"),"")</f>
        <v/>
      </c>
      <c r="D188" t="n">
        <v>48.96434432528986</v>
      </c>
      <c r="E188" t="n">
        <v>182.57126071127</v>
      </c>
      <c r="F188" t="n">
        <v>0</v>
      </c>
      <c r="G188" t="n">
        <v>0</v>
      </c>
      <c r="H188" t="n">
        <v>18.46439496344011</v>
      </c>
      <c r="J188">
        <f>'Kaverne &amp; Gassäule'!$C$59</f>
        <v/>
      </c>
      <c r="K188">
        <f>'Kaverne &amp; Gassäule'!$F$59</f>
        <v/>
      </c>
      <c r="L188">
        <f>(J188-Diagramm_Tmin)/Diagramm_dT+1</f>
        <v/>
      </c>
      <c r="M188">
        <f>IF(J188="","",IF(J188&lt;Zoom_Tmin,NA(),(J188-Zoom_Tmin)/Diagramm_dT+1))</f>
        <v/>
      </c>
      <c r="N188">
        <f>IF(J188="","",IF(J188&lt;Zoom2_Tmin,NA(),(J188-Zoom2_Tmin)/Diagramm_dT+1))</f>
        <v/>
      </c>
      <c r="P188" t="n">
        <v>45.02182914107775</v>
      </c>
      <c r="Q188" t="n">
        <v>204.9781708589223</v>
      </c>
      <c r="R188" t="n">
        <v>0</v>
      </c>
    </row>
    <row r="189">
      <c r="B189" t="n">
        <v>10.5</v>
      </c>
      <c r="C189">
        <f>IF(MOD(B189,20)=0,TEXT(B189,"0"),"")</f>
        <v/>
      </c>
      <c r="D189" t="n">
        <v>49.60190930174599</v>
      </c>
      <c r="E189" t="n">
        <v>182.1352658072852</v>
      </c>
      <c r="F189" t="n">
        <v>0</v>
      </c>
      <c r="G189" t="n">
        <v>0</v>
      </c>
      <c r="H189" t="n">
        <v>18.26282489096882</v>
      </c>
      <c r="J189">
        <f>'Kaverne &amp; Gassäule'!$C$60</f>
        <v/>
      </c>
      <c r="K189">
        <f>'Kaverne &amp; Gassäule'!$F$60</f>
        <v/>
      </c>
      <c r="L189">
        <f>(J189-Diagramm_Tmin)/Diagramm_dT+1</f>
        <v/>
      </c>
      <c r="M189">
        <f>IF(J189="","",IF(J189&lt;Zoom_Tmin,NA(),(J189-Zoom_Tmin)/Diagramm_dT+1))</f>
        <v/>
      </c>
      <c r="N189">
        <f>IF(J189="","",IF(J189&lt;Zoom2_Tmin,NA(),(J189-Zoom2_Tmin)/Diagramm_dT+1))</f>
        <v/>
      </c>
      <c r="P189" t="n">
        <v>45.58258830415997</v>
      </c>
      <c r="Q189" t="n">
        <v>204.41741169584</v>
      </c>
      <c r="R189" t="n">
        <v>0</v>
      </c>
    </row>
    <row r="190">
      <c r="B190" t="n">
        <v>11</v>
      </c>
      <c r="C190">
        <f>IF(MOD(B190,20)=0,TEXT(B190,"0"),"")</f>
        <v/>
      </c>
      <c r="D190" t="n">
        <v>50.2468295556813</v>
      </c>
      <c r="E190" t="n">
        <v>181.6958295565925</v>
      </c>
      <c r="F190" t="n">
        <v>0</v>
      </c>
      <c r="G190" t="n">
        <v>0</v>
      </c>
      <c r="H190" t="n">
        <v>18.05734088772618</v>
      </c>
      <c r="J190">
        <f>'Kaverne &amp; Gassäule'!$C$61</f>
        <v/>
      </c>
      <c r="K190">
        <f>'Kaverne &amp; Gassäule'!$F$61</f>
        <v/>
      </c>
      <c r="L190">
        <f>(J190-Diagramm_Tmin)/Diagramm_dT+1</f>
        <v/>
      </c>
      <c r="M190">
        <f>IF(J190="","",IF(J190&lt;Zoom_Tmin,NA(),(J190-Zoom_Tmin)/Diagramm_dT+1))</f>
        <v/>
      </c>
      <c r="N190">
        <f>IF(J190="","",IF(J190&lt;Zoom2_Tmin,NA(),(J190-Zoom2_Tmin)/Diagramm_dT+1))</f>
        <v/>
      </c>
      <c r="P190" t="n">
        <v>46.14860767190346</v>
      </c>
      <c r="Q190" t="n">
        <v>203.8513923280966</v>
      </c>
      <c r="R190" t="n">
        <v>0</v>
      </c>
    </row>
    <row r="191">
      <c r="B191" t="n">
        <v>11.5</v>
      </c>
      <c r="C191">
        <f>IF(MOD(B191,20)=0,TEXT(B191,"0"),"")</f>
        <v/>
      </c>
      <c r="D191" t="n">
        <v>50.89905097020633</v>
      </c>
      <c r="E191" t="n">
        <v>181.253030870017</v>
      </c>
      <c r="F191" t="n">
        <v>0</v>
      </c>
      <c r="G191" t="n">
        <v>0</v>
      </c>
      <c r="H191" t="n">
        <v>17.8479181597767</v>
      </c>
      <c r="J191">
        <f>'Kaverne &amp; Gassäule'!$C$62</f>
        <v/>
      </c>
      <c r="K191">
        <f>'Kaverne &amp; Gassäule'!$F$62</f>
        <v/>
      </c>
      <c r="L191">
        <f>(J191-Diagramm_Tmin)/Diagramm_dT+1</f>
        <v/>
      </c>
      <c r="M191">
        <f>IF(J191="","",IF(J191&lt;Zoom_Tmin,NA(),(J191-Zoom_Tmin)/Diagramm_dT+1))</f>
        <v/>
      </c>
      <c r="N191">
        <f>IF(J191="","",IF(J191&lt;Zoom2_Tmin,NA(),(J191-Zoom2_Tmin)/Diagramm_dT+1))</f>
        <v/>
      </c>
      <c r="P191" t="n">
        <v>46.71993015280309</v>
      </c>
      <c r="Q191" t="n">
        <v>203.2800698471969</v>
      </c>
      <c r="R191" t="n">
        <v>0</v>
      </c>
    </row>
    <row r="192">
      <c r="B192" t="n">
        <v>12</v>
      </c>
      <c r="C192">
        <f>IF(MOD(B192,20)=0,TEXT(B192,"0"),"")</f>
        <v/>
      </c>
      <c r="D192" t="n">
        <v>51.55877568936035</v>
      </c>
      <c r="E192" t="n">
        <v>180.8069539974709</v>
      </c>
      <c r="F192" t="n">
        <v>0</v>
      </c>
      <c r="G192" t="n">
        <v>0</v>
      </c>
      <c r="H192" t="n">
        <v>17.6342703131688</v>
      </c>
      <c r="J192">
        <f>'Kaverne &amp; Gassäule'!$C$63</f>
        <v/>
      </c>
      <c r="K192">
        <f>'Kaverne &amp; Gassäule'!$F$63</f>
        <v/>
      </c>
      <c r="L192">
        <f>(J192-Diagramm_Tmin)/Diagramm_dT+1</f>
        <v/>
      </c>
      <c r="M192">
        <f>IF(J192="","",IF(J192&lt;Zoom_Tmin,NA(),(J192-Zoom_Tmin)/Diagramm_dT+1))</f>
        <v/>
      </c>
      <c r="N192">
        <f>IF(J192="","",IF(J192&lt;Zoom2_Tmin,NA(),(J192-Zoom2_Tmin)/Diagramm_dT+1))</f>
        <v/>
      </c>
      <c r="P192" t="n">
        <v>47.29659952233288</v>
      </c>
      <c r="Q192" t="n">
        <v>202.7034004776671</v>
      </c>
      <c r="R192" t="n">
        <v>0</v>
      </c>
    </row>
    <row r="193">
      <c r="B193" t="n">
        <v>12.5</v>
      </c>
      <c r="C193">
        <f>IF(MOD(B193,20)=0,TEXT(B193,"0"),"")</f>
        <v/>
      </c>
      <c r="D193" t="n">
        <v>52.22615229208525</v>
      </c>
      <c r="E193" t="n">
        <v>180.3576892960958</v>
      </c>
      <c r="F193" t="n">
        <v>0</v>
      </c>
      <c r="G193" t="n">
        <v>0</v>
      </c>
      <c r="H193" t="n">
        <v>17.41615841181897</v>
      </c>
      <c r="J193">
        <f>'Kaverne &amp; Gassäule'!$C$64</f>
        <v/>
      </c>
      <c r="K193">
        <f>'Kaverne &amp; Gassäule'!$F$64</f>
        <v/>
      </c>
      <c r="L193">
        <f>(J193-Diagramm_Tmin)/Diagramm_dT+1</f>
        <v/>
      </c>
      <c r="M193">
        <f>IF(J193="","",IF(J193&lt;Zoom_Tmin,NA(),(J193-Zoom_Tmin)/Diagramm_dT+1))</f>
        <v/>
      </c>
      <c r="N193">
        <f>IF(J193="","",IF(J193&lt;Zoom2_Tmin,NA(),(J193-Zoom2_Tmin)/Diagramm_dT+1))</f>
        <v/>
      </c>
      <c r="P193" t="n">
        <v>47.87866046861463</v>
      </c>
      <c r="Q193" t="n">
        <v>202.1213395313854</v>
      </c>
      <c r="R193" t="n">
        <v>0</v>
      </c>
    </row>
    <row r="194">
      <c r="B194" t="n">
        <v>13</v>
      </c>
      <c r="C194">
        <f>IF(MOD(B194,20)=0,TEXT(B194,"0"),"")</f>
        <v/>
      </c>
      <c r="D194" t="n">
        <v>52.90133885014139</v>
      </c>
      <c r="E194" t="n">
        <v>179.9053342779878</v>
      </c>
      <c r="F194" t="n">
        <v>0</v>
      </c>
      <c r="G194" t="n">
        <v>0</v>
      </c>
      <c r="H194" t="n">
        <v>17.19332687187078</v>
      </c>
      <c r="J194">
        <f>'Kaverne &amp; Gassäule'!$C$65</f>
        <v/>
      </c>
      <c r="K194">
        <f>'Kaverne &amp; Gassäule'!$F$65</f>
        <v/>
      </c>
      <c r="L194">
        <f>(J194-Diagramm_Tmin)/Diagramm_dT+1</f>
        <v/>
      </c>
      <c r="M194">
        <f>IF(J194="","",IF(J194&lt;Zoom_Tmin,NA(),(J194-Zoom_Tmin)/Diagramm_dT+1))</f>
        <v/>
      </c>
      <c r="N194">
        <f>IF(J194="","",IF(J194&lt;Zoom2_Tmin,NA(),(J194-Zoom2_Tmin)/Diagramm_dT+1))</f>
        <v/>
      </c>
      <c r="P194" t="n">
        <v>48.46615864237471</v>
      </c>
      <c r="Q194" t="n">
        <v>201.5338413576253</v>
      </c>
      <c r="R194" t="n">
        <v>0</v>
      </c>
    </row>
    <row r="195">
      <c r="B195" t="n">
        <v>13.5</v>
      </c>
      <c r="C195">
        <f>IF(MOD(B195,20)=0,TEXT(B195,"0"),"")</f>
        <v/>
      </c>
      <c r="D195" t="n">
        <v>53.58450399930288</v>
      </c>
      <c r="E195" t="n">
        <v>179.4499999134961</v>
      </c>
      <c r="F195" t="n">
        <v>0</v>
      </c>
      <c r="G195" t="n">
        <v>0</v>
      </c>
      <c r="H195" t="n">
        <v>16.96549608720102</v>
      </c>
      <c r="J195">
        <f>'Kaverne &amp; Gassäule'!$C$66</f>
        <v/>
      </c>
      <c r="K195">
        <f>'Kaverne &amp; Gassäule'!$F$66</f>
        <v/>
      </c>
      <c r="L195">
        <f>(J195-Diagramm_Tmin)/Diagramm_dT+1</f>
        <v/>
      </c>
      <c r="M195">
        <f>IF(J195="","",IF(J195&lt;Zoom_Tmin,NA(),(J195-Zoom_Tmin)/Diagramm_dT+1))</f>
        <v/>
      </c>
      <c r="N195">
        <f>IF(J195="","",IF(J195&lt;Zoom2_Tmin,NA(),(J195-Zoom2_Tmin)/Diagramm_dT+1))</f>
        <v/>
      </c>
      <c r="P195" t="n">
        <v>49.05914071199511</v>
      </c>
      <c r="Q195" t="n">
        <v>200.9408592880049</v>
      </c>
      <c r="R195" t="n">
        <v>0</v>
      </c>
    </row>
    <row r="196">
      <c r="B196" t="n">
        <v>14</v>
      </c>
      <c r="C196">
        <f>IF(MOD(B196,20)=0,TEXT(B196,"0"),"")</f>
        <v/>
      </c>
      <c r="D196" t="n">
        <v>54.27582817909341</v>
      </c>
      <c r="E196" t="n">
        <v>178.9917879947374</v>
      </c>
      <c r="F196" t="n">
        <v>0</v>
      </c>
      <c r="G196" t="n">
        <v>0</v>
      </c>
      <c r="H196" t="n">
        <v>16.73238382616915</v>
      </c>
      <c r="J196">
        <f>'Kaverne &amp; Gassäule'!$C$67</f>
        <v/>
      </c>
      <c r="K196">
        <f>'Kaverne &amp; Gassäule'!$F$67</f>
        <v/>
      </c>
      <c r="L196">
        <f>(J196-Diagramm_Tmin)/Diagramm_dT+1</f>
        <v/>
      </c>
      <c r="M196">
        <f>IF(J196="","",IF(J196&lt;Zoom_Tmin,NA(),(J196-Zoom_Tmin)/Diagramm_dT+1))</f>
        <v/>
      </c>
      <c r="N196">
        <f>IF(J196="","",IF(J196&lt;Zoom2_Tmin,NA(),(J196-Zoom2_Tmin)/Diagramm_dT+1))</f>
        <v/>
      </c>
      <c r="P196" t="n">
        <v>49.65765442462068</v>
      </c>
      <c r="Q196" t="n">
        <v>200.3423455753793</v>
      </c>
      <c r="R196" t="n">
        <v>0</v>
      </c>
    </row>
    <row r="197">
      <c r="B197" t="n">
        <v>14.5</v>
      </c>
      <c r="C197">
        <f>IF(MOD(B197,20)=0,TEXT(B197,"0"),"")</f>
        <v/>
      </c>
      <c r="D197" t="n">
        <v>54.97550507515759</v>
      </c>
      <c r="E197" t="n">
        <v>178.530842509588</v>
      </c>
      <c r="F197" t="n">
        <v>0</v>
      </c>
      <c r="G197" t="n">
        <v>0</v>
      </c>
      <c r="H197" t="n">
        <v>16.4936524152544</v>
      </c>
      <c r="J197">
        <f>'Kaverne &amp; Gassäule'!$C$68</f>
        <v/>
      </c>
      <c r="K197">
        <f>'Kaverne &amp; Gassäule'!$F$68</f>
        <v/>
      </c>
      <c r="L197">
        <f>(J197-Diagramm_Tmin)/Diagramm_dT+1</f>
        <v/>
      </c>
      <c r="M197">
        <f>IF(J197="","",IF(J197&lt;Zoom_Tmin,NA(),(J197-Zoom_Tmin)/Diagramm_dT+1))</f>
        <v/>
      </c>
      <c r="N197">
        <f>IF(J197="","",IF(J197&lt;Zoom2_Tmin,NA(),(J197-Zoom2_Tmin)/Diagramm_dT+1))</f>
        <v/>
      </c>
      <c r="P197" t="n">
        <v>50.26174867445712</v>
      </c>
      <c r="Q197" t="n">
        <v>199.7382513255429</v>
      </c>
      <c r="R197" t="n">
        <v>0</v>
      </c>
    </row>
    <row r="198">
      <c r="B198" t="n">
        <v>15</v>
      </c>
      <c r="C198">
        <f>IF(MOD(B198,20)=0,TEXT(B198,"0"),"")</f>
        <v/>
      </c>
      <c r="D198" t="n">
        <v>55.68374330669054</v>
      </c>
      <c r="E198" t="n">
        <v>178.0673037123154</v>
      </c>
      <c r="F198" t="n">
        <v>0</v>
      </c>
      <c r="G198" t="n">
        <v>0</v>
      </c>
      <c r="H198" t="n">
        <v>16.24895298099401</v>
      </c>
      <c r="J198">
        <f>'Kaverne &amp; Gassäule'!$C$69</f>
        <v/>
      </c>
      <c r="K198">
        <f>'Kaverne &amp; Gassäule'!$F$69</f>
        <v/>
      </c>
      <c r="L198">
        <f>(J198-Diagramm_Tmin)/Diagramm_dT+1</f>
        <v/>
      </c>
      <c r="M198">
        <f>IF(J198="","",IF(J198&lt;Zoom_Tmin,NA(),(J198-Zoom_Tmin)/Diagramm_dT+1))</f>
        <v/>
      </c>
      <c r="N198">
        <f>IF(J198="","",IF(J198&lt;Zoom2_Tmin,NA(),(J198-Zoom2_Tmin)/Diagramm_dT+1))</f>
        <v/>
      </c>
      <c r="P198" t="n">
        <v>50.87147357957962</v>
      </c>
      <c r="Q198" t="n">
        <v>199.1285264204204</v>
      </c>
      <c r="R198" t="n">
        <v>0</v>
      </c>
    </row>
    <row r="199">
      <c r="B199" t="n">
        <v>15.5</v>
      </c>
      <c r="C199">
        <f>IF(MOD(B199,20)=0,TEXT(B199,"0"),"")</f>
        <v/>
      </c>
      <c r="D199" t="n">
        <v>56.40076841184661</v>
      </c>
      <c r="E199" t="n">
        <v>177.6013364196912</v>
      </c>
      <c r="F199" t="n">
        <v>0</v>
      </c>
      <c r="G199" t="n">
        <v>0</v>
      </c>
      <c r="H199" t="n">
        <v>15.99789516846217</v>
      </c>
      <c r="J199">
        <f>'Kaverne &amp; Gassäule'!$C$70</f>
        <v/>
      </c>
      <c r="K199">
        <f>'Kaverne &amp; Gassäule'!$F$70</f>
        <v/>
      </c>
      <c r="L199">
        <f>(J199-Diagramm_Tmin)/Diagramm_dT+1</f>
        <v/>
      </c>
      <c r="M199">
        <f>IF(J199="","",IF(J199&lt;Zoom_Tmin,NA(),(J199-Zoom_Tmin)/Diagramm_dT+1))</f>
        <v/>
      </c>
      <c r="N199">
        <f>IF(J199="","",IF(J199&lt;Zoom2_Tmin,NA(),(J199-Zoom2_Tmin)/Diagramm_dT+1))</f>
        <v/>
      </c>
      <c r="P199" t="n">
        <v>51.48688056876571</v>
      </c>
      <c r="Q199" t="n">
        <v>198.5131194312343</v>
      </c>
      <c r="R199" t="n">
        <v>0</v>
      </c>
    </row>
    <row r="200">
      <c r="B200" t="n">
        <v>16</v>
      </c>
      <c r="C200">
        <f>IF(MOD(B200,20)=0,TEXT(B200,"0"),"")</f>
        <v/>
      </c>
      <c r="D200" t="n">
        <v>57.12682519787641</v>
      </c>
      <c r="E200" t="n">
        <v>177.1331297898639</v>
      </c>
      <c r="F200" t="n">
        <v>0</v>
      </c>
      <c r="G200" t="n">
        <v>0</v>
      </c>
      <c r="H200" t="n">
        <v>15.74004501225973</v>
      </c>
      <c r="J200">
        <f>'Kaverne &amp; Gassäule'!$C$71</f>
        <v/>
      </c>
      <c r="K200">
        <f>'Kaverne &amp; Gassäule'!$F$71</f>
        <v/>
      </c>
      <c r="L200">
        <f>(J200-Diagramm_Tmin)/Diagramm_dT+1</f>
        <v/>
      </c>
      <c r="M200">
        <f>IF(J200="","",IF(J200&lt;Zoom_Tmin,NA(),(J200-Zoom_Tmin)/Diagramm_dT+1))</f>
        <v/>
      </c>
      <c r="N200">
        <f>IF(J200="","",IF(J200&lt;Zoom2_Tmin,NA(),(J200-Zoom2_Tmin)/Diagramm_dT+1))</f>
        <v/>
      </c>
      <c r="P200" t="n">
        <v>52.10802248006745</v>
      </c>
      <c r="Q200" t="n">
        <v>197.8919775199325</v>
      </c>
      <c r="R200" t="n">
        <v>0</v>
      </c>
    </row>
    <row r="201">
      <c r="B201" t="n">
        <v>16.5</v>
      </c>
      <c r="C201">
        <f>IF(MOD(B201,20)=0,TEXT(B201,"0"),"")</f>
        <v/>
      </c>
      <c r="D201" t="n">
        <v>57.86218054057978</v>
      </c>
      <c r="E201" t="n">
        <v>176.6629029740074</v>
      </c>
      <c r="F201" t="n">
        <v>0</v>
      </c>
      <c r="G201" t="n">
        <v>0</v>
      </c>
      <c r="H201" t="n">
        <v>15.47491648541283</v>
      </c>
      <c r="J201">
        <f>'Kaverne &amp; Gassäule'!$C$72</f>
        <v/>
      </c>
      <c r="K201">
        <f>'Kaverne &amp; Gassäule'!$F$72</f>
        <v/>
      </c>
      <c r="L201">
        <f>(J201-Diagramm_Tmin)/Diagramm_dT+1</f>
        <v/>
      </c>
      <c r="M201">
        <f>IF(J201="","",IF(J201&lt;Zoom_Tmin,NA(),(J201-Zoom_Tmin)/Diagramm_dT+1))</f>
        <v/>
      </c>
      <c r="N201">
        <f>IF(J201="","",IF(J201&lt;Zoom2_Tmin,NA(),(J201-Zoom2_Tmin)/Diagramm_dT+1))</f>
        <v/>
      </c>
      <c r="P201" t="n">
        <v>52.7349536730289</v>
      </c>
      <c r="Q201" t="n">
        <v>197.2650463269711</v>
      </c>
      <c r="R201" t="n">
        <v>0</v>
      </c>
    </row>
    <row r="202">
      <c r="B202" t="n">
        <v>17</v>
      </c>
      <c r="C202">
        <f>IF(MOD(B202,20)=0,TEXT(B202,"0"),"")</f>
        <v/>
      </c>
      <c r="D202" t="n">
        <v>58.60712674133774</v>
      </c>
      <c r="E202" t="n">
        <v>176.1908447087242</v>
      </c>
      <c r="F202" t="n">
        <v>0</v>
      </c>
      <c r="G202" t="n">
        <v>0</v>
      </c>
      <c r="H202" t="n">
        <v>15.20202854993801</v>
      </c>
      <c r="J202">
        <f>'Kaverne &amp; Gassäule'!$C$73</f>
        <v/>
      </c>
      <c r="K202">
        <f>'Kaverne &amp; Gassäule'!$F$73</f>
        <v/>
      </c>
      <c r="L202">
        <f>(J202-Diagramm_Tmin)/Diagramm_dT+1</f>
        <v/>
      </c>
      <c r="M202">
        <f>IF(J202="","",IF(J202&lt;Zoom_Tmin,NA(),(J202-Zoom_Tmin)/Diagramm_dT+1))</f>
        <v/>
      </c>
      <c r="N202">
        <f>IF(J202="","",IF(J202&lt;Zoom2_Tmin,NA(),(J202-Zoom2_Tmin)/Diagramm_dT+1))</f>
        <v/>
      </c>
      <c r="P202" t="n">
        <v>53.36773015663417</v>
      </c>
      <c r="Q202" t="n">
        <v>196.6322698433658</v>
      </c>
      <c r="R202" t="n">
        <v>0</v>
      </c>
    </row>
    <row r="203">
      <c r="B203" t="n">
        <v>17.5</v>
      </c>
      <c r="C203">
        <f>IF(MOD(B203,20)=0,TEXT(B203,"0"),"")</f>
        <v/>
      </c>
      <c r="D203" t="n">
        <v>59.36198558171351</v>
      </c>
      <c r="E203" t="n">
        <v>175.7169451872643</v>
      </c>
      <c r="F203" t="n">
        <v>0</v>
      </c>
      <c r="G203" t="n">
        <v>0</v>
      </c>
      <c r="H203" t="n">
        <v>14.92106923102214</v>
      </c>
      <c r="J203">
        <f>'Kaverne &amp; Gassäule'!$C$74</f>
        <v/>
      </c>
      <c r="K203">
        <f>'Kaverne &amp; Gassäule'!$F$74</f>
        <v/>
      </c>
      <c r="L203">
        <f>(J203-Diagramm_Tmin)/Diagramm_dT+1</f>
        <v/>
      </c>
      <c r="M203">
        <f>IF(J203="","",IF(J203&lt;Zoom_Tmin,NA(),(J203-Zoom_Tmin)/Diagramm_dT+1))</f>
        <v/>
      </c>
      <c r="N203">
        <f>IF(J203="","",IF(J203&lt;Zoom2_Tmin,NA(),(J203-Zoom2_Tmin)/Diagramm_dT+1))</f>
        <v/>
      </c>
      <c r="P203" t="n">
        <v>54.00640973522123</v>
      </c>
      <c r="Q203" t="n">
        <v>195.9935902647788</v>
      </c>
      <c r="R203" t="n">
        <v>0</v>
      </c>
    </row>
    <row r="204">
      <c r="B204" t="n">
        <v>18</v>
      </c>
      <c r="C204">
        <f>IF(MOD(B204,20)=0,TEXT(B204,"0"),"")</f>
        <v/>
      </c>
      <c r="D204" t="n">
        <v>60.13119778368839</v>
      </c>
      <c r="E204" t="n">
        <v>175.2429036976592</v>
      </c>
      <c r="F204" t="n">
        <v>0</v>
      </c>
      <c r="G204" t="n">
        <v>0</v>
      </c>
      <c r="H204" t="n">
        <v>14.62589851865242</v>
      </c>
      <c r="J204">
        <f>'Kaverne &amp; Gassäule'!$C$75</f>
        <v/>
      </c>
      <c r="K204">
        <f>'Kaverne &amp; Gassäule'!$F$75</f>
        <v/>
      </c>
      <c r="L204">
        <f>(J204-Diagramm_Tmin)/Diagramm_dT+1</f>
        <v/>
      </c>
      <c r="M204">
        <f>IF(J204="","",IF(J204&lt;Zoom_Tmin,NA(),(J204-Zoom_Tmin)/Diagramm_dT+1))</f>
        <v/>
      </c>
      <c r="N204">
        <f>IF(J204="","",IF(J204&lt;Zoom2_Tmin,NA(),(J204-Zoom2_Tmin)/Diagramm_dT+1))</f>
        <v/>
      </c>
      <c r="P204" t="n">
        <v>54.65105217470303</v>
      </c>
      <c r="Q204" t="n">
        <v>195.348947825297</v>
      </c>
      <c r="R204" t="n">
        <v>0</v>
      </c>
    </row>
    <row r="205">
      <c r="B205" t="n">
        <v>18.5</v>
      </c>
      <c r="C205">
        <f>IF(MOD(B205,20)=0,TEXT(B205,"0"),"")</f>
        <v/>
      </c>
      <c r="D205" t="n">
        <v>60.94092026147699</v>
      </c>
      <c r="E205" t="n">
        <v>174.7677803128783</v>
      </c>
      <c r="F205" t="n">
        <v>0</v>
      </c>
      <c r="G205" t="n">
        <v>0</v>
      </c>
      <c r="H205" t="n">
        <v>14.29129942564474</v>
      </c>
      <c r="J205">
        <f>'Kaverne &amp; Gassäule'!$C$76</f>
        <v/>
      </c>
      <c r="K205">
        <f>'Kaverne &amp; Gassäule'!$F$76</f>
        <v/>
      </c>
      <c r="L205">
        <f>(J205-Diagramm_Tmin)/Diagramm_dT+1</f>
        <v/>
      </c>
      <c r="M205">
        <f>IF(J205="","",IF(J205&lt;Zoom_Tmin,NA(),(J205-Zoom_Tmin)/Diagramm_dT+1))</f>
        <v/>
      </c>
      <c r="N205">
        <f>IF(J205="","",IF(J205&lt;Zoom2_Tmin,NA(),(J205-Zoom2_Tmin)/Diagramm_dT+1))</f>
        <v/>
      </c>
      <c r="P205" t="n">
        <v>55.30171939148783</v>
      </c>
      <c r="Q205" t="n">
        <v>194.6982806085122</v>
      </c>
      <c r="R205" t="n">
        <v>0</v>
      </c>
    </row>
    <row r="206">
      <c r="B206" t="n">
        <v>19</v>
      </c>
      <c r="C206">
        <f>IF(MOD(B206,20)=0,TEXT(B206,"0"),"")</f>
        <v/>
      </c>
      <c r="D206" t="n">
        <v>61.75064273926559</v>
      </c>
      <c r="E206" t="n">
        <v>174.2926569280974</v>
      </c>
      <c r="F206" t="n">
        <v>0</v>
      </c>
      <c r="G206" t="n">
        <v>0</v>
      </c>
      <c r="H206" t="n">
        <v>13.95670033263706</v>
      </c>
      <c r="J206">
        <f>'Kaverne &amp; Gassäule'!$C$77</f>
        <v/>
      </c>
      <c r="K206">
        <f>'Kaverne &amp; Gassäule'!$F$77</f>
        <v/>
      </c>
      <c r="L206">
        <f>(J206-Diagramm_Tmin)/Diagramm_dT+1</f>
        <v/>
      </c>
      <c r="M206">
        <f>IF(J206="","",IF(J206&lt;Zoom_Tmin,NA(),(J206-Zoom_Tmin)/Diagramm_dT+1))</f>
        <v/>
      </c>
      <c r="N206">
        <f>IF(J206="","",IF(J206&lt;Zoom2_Tmin,NA(),(J206-Zoom2_Tmin)/Diagramm_dT+1))</f>
        <v/>
      </c>
      <c r="P206" t="n">
        <v>55.95847566647351</v>
      </c>
      <c r="Q206" t="n">
        <v>194.0415243335265</v>
      </c>
      <c r="R206" t="n">
        <v>0</v>
      </c>
    </row>
    <row r="207">
      <c r="B207" t="n">
        <v>19.5</v>
      </c>
      <c r="C207">
        <f>IF(MOD(B207,20)=0,TEXT(B207,"0"),"")</f>
        <v/>
      </c>
      <c r="D207" t="n">
        <v>62.56036521705418</v>
      </c>
      <c r="E207" t="n">
        <v>173.8175335433164</v>
      </c>
      <c r="F207" t="n">
        <v>0</v>
      </c>
      <c r="G207" t="n">
        <v>0</v>
      </c>
      <c r="H207" t="n">
        <v>13.62210123962939</v>
      </c>
      <c r="J207">
        <f>'Kaverne &amp; Gassäule'!$C$78</f>
        <v/>
      </c>
      <c r="K207">
        <f>'Kaverne &amp; Gassäule'!$F$78</f>
        <v/>
      </c>
      <c r="L207">
        <f>(J207-Diagramm_Tmin)/Diagramm_dT+1</f>
        <v/>
      </c>
      <c r="M207">
        <f>IF(J207="","",IF(J207&lt;Zoom_Tmin,NA(),(J207-Zoom_Tmin)/Diagramm_dT+1))</f>
        <v/>
      </c>
      <c r="N207">
        <f>IF(J207="","",IF(J207&lt;Zoom2_Tmin,NA(),(J207-Zoom2_Tmin)/Diagramm_dT+1))</f>
        <v/>
      </c>
      <c r="P207" t="n">
        <v>56.62138788640588</v>
      </c>
      <c r="Q207" t="n">
        <v>193.3786121135941</v>
      </c>
      <c r="R207" t="n">
        <v>0</v>
      </c>
    </row>
    <row r="208">
      <c r="B208" t="n">
        <v>20</v>
      </c>
      <c r="C208">
        <f>IF(MOD(B208,20)=0,TEXT(B208,"0"),"")</f>
        <v/>
      </c>
      <c r="D208" t="n">
        <v>63.37008769484278</v>
      </c>
      <c r="E208" t="n">
        <v>173.3491489009977</v>
      </c>
      <c r="F208" t="n">
        <v>0</v>
      </c>
      <c r="G208" t="n">
        <v>0</v>
      </c>
      <c r="H208" t="n">
        <v>13.28076340415949</v>
      </c>
      <c r="J208">
        <f>'Kaverne &amp; Gassäule'!$C$79</f>
        <v/>
      </c>
      <c r="K208">
        <f>'Kaverne &amp; Gassäule'!$F$79</f>
        <v/>
      </c>
      <c r="L208">
        <f>(J208-Diagramm_Tmin)/Diagramm_dT+1</f>
        <v/>
      </c>
      <c r="M208">
        <f>IF(J208="","",IF(J208&lt;Zoom_Tmin,NA(),(J208-Zoom_Tmin)/Diagramm_dT+1))</f>
        <v/>
      </c>
      <c r="N208">
        <f>IF(J208="","",IF(J208&lt;Zoom2_Tmin,NA(),(J208-Zoom2_Tmin)/Diagramm_dT+1))</f>
        <v/>
      </c>
      <c r="P208" t="n">
        <v>57.29052581475148</v>
      </c>
      <c r="Q208" t="n">
        <v>192.7094741852485</v>
      </c>
      <c r="R208" t="n">
        <v>0</v>
      </c>
    </row>
    <row r="209">
      <c r="B209" t="n">
        <v>20.5</v>
      </c>
      <c r="C209">
        <f>IF(MOD(B209,20)=0,TEXT(B209,"0"),"")</f>
        <v/>
      </c>
      <c r="D209" t="n">
        <v>64.17981017263138</v>
      </c>
      <c r="E209" t="n">
        <v>172.8915037640588</v>
      </c>
      <c r="F209" t="n">
        <v>0</v>
      </c>
      <c r="G209" t="n">
        <v>0</v>
      </c>
      <c r="H209" t="n">
        <v>12.92868606330978</v>
      </c>
      <c r="M209">
        <f>IF(J209="","",IF(J209&lt;Zoom_Tmin,NA(),(J209-Zoom_Tmin)/Diagramm_dT+1))</f>
        <v/>
      </c>
      <c r="N209">
        <f>IF(J209="","",IF(J209&lt;Zoom2_Tmin,NA(),(J209-Zoom2_Tmin)/Diagramm_dT+1))</f>
        <v/>
      </c>
      <c r="P209" t="n">
        <v>57.96596239409114</v>
      </c>
      <c r="Q209" t="n">
        <v>192.0340376059088</v>
      </c>
      <c r="R209" t="n">
        <v>0</v>
      </c>
    </row>
    <row r="210">
      <c r="B210" t="n">
        <v>21</v>
      </c>
      <c r="C210">
        <f>IF(MOD(B210,20)=0,TEXT(B210,"0"),"")</f>
        <v/>
      </c>
      <c r="D210" t="n">
        <v>64.98953265041997</v>
      </c>
      <c r="E210" t="n">
        <v>172.4338586271199</v>
      </c>
      <c r="F210" t="n">
        <v>0</v>
      </c>
      <c r="G210" t="n">
        <v>0</v>
      </c>
      <c r="H210" t="n">
        <v>12.57660872246007</v>
      </c>
      <c r="I210" s="76" t="inlineStr">
        <is>
          <t>Gassäule Kaverne leer (70 bar unten)</t>
        </is>
      </c>
      <c r="J210">
        <f>'Kaverne &amp; Gassäule'!$C$55</f>
        <v/>
      </c>
      <c r="K210">
        <f>'Kaverne &amp; Gassäule'!$H$55</f>
        <v/>
      </c>
      <c r="L210">
        <f>(J210-Diagramm_Tmin)/Diagramm_dT+1</f>
        <v/>
      </c>
      <c r="M210">
        <f>IF(J210="","",IF(J210&lt;Zoom_Tmin,NA(),(J210-Zoom_Tmin)/Diagramm_dT+1))</f>
        <v/>
      </c>
      <c r="N210">
        <f>IF(J210="","",IF(J210&lt;Zoom2_Tmin,NA(),(J210-Zoom2_Tmin)/Diagramm_dT+1))</f>
        <v/>
      </c>
      <c r="P210" t="n">
        <v>58.64777408198038</v>
      </c>
      <c r="Q210" t="n">
        <v>191.3522259180196</v>
      </c>
      <c r="R210" t="n">
        <v>0</v>
      </c>
    </row>
    <row r="211">
      <c r="B211" t="n">
        <v>21.5</v>
      </c>
      <c r="C211">
        <f>IF(MOD(B211,20)=0,TEXT(B211,"0"),"")</f>
        <v/>
      </c>
      <c r="D211" t="n">
        <v>65.81735455942597</v>
      </c>
      <c r="E211" t="n">
        <v>171.9762134901811</v>
      </c>
      <c r="F211" t="n">
        <v>0</v>
      </c>
      <c r="G211" t="n">
        <v>0</v>
      </c>
      <c r="H211" t="n">
        <v>12.20643195039297</v>
      </c>
      <c r="J211">
        <f>'Kaverne &amp; Gassäule'!$C$56</f>
        <v/>
      </c>
      <c r="K211">
        <f>'Kaverne &amp; Gassäule'!$H$56</f>
        <v/>
      </c>
      <c r="L211">
        <f>(J211-Diagramm_Tmin)/Diagramm_dT+1</f>
        <v/>
      </c>
      <c r="M211">
        <f>IF(J211="","",IF(J211&lt;Zoom_Tmin,NA(),(J211-Zoom_Tmin)/Diagramm_dT+1))</f>
        <v/>
      </c>
      <c r="N211">
        <f>IF(J211="","",IF(J211&lt;Zoom2_Tmin,NA(),(J211-Zoom2_Tmin)/Diagramm_dT+1))</f>
        <v/>
      </c>
      <c r="P211" t="n">
        <v>59.33604122243569</v>
      </c>
      <c r="Q211" t="n">
        <v>190.6639587775643</v>
      </c>
      <c r="R211" t="n">
        <v>0</v>
      </c>
    </row>
    <row r="212">
      <c r="B212" t="n">
        <v>22</v>
      </c>
      <c r="C212">
        <f>IF(MOD(B212,20)=0,TEXT(B212,"0"),"")</f>
        <v/>
      </c>
      <c r="D212" t="n">
        <v>66.70356850522303</v>
      </c>
      <c r="E212" t="n">
        <v>171.5185683532422</v>
      </c>
      <c r="F212" t="n">
        <v>0</v>
      </c>
      <c r="G212" t="n">
        <v>0</v>
      </c>
      <c r="H212" t="n">
        <v>11.77786314153479</v>
      </c>
      <c r="J212">
        <f>'Kaverne &amp; Gassäule'!$C$57</f>
        <v/>
      </c>
      <c r="K212">
        <f>'Kaverne &amp; Gassäule'!$H$57</f>
        <v/>
      </c>
      <c r="L212">
        <f>(J212-Diagramm_Tmin)/Diagramm_dT+1</f>
        <v/>
      </c>
      <c r="M212">
        <f>IF(J212="","",IF(J212&lt;Zoom_Tmin,NA(),(J212-Zoom_Tmin)/Diagramm_dT+1))</f>
        <v/>
      </c>
      <c r="N212">
        <f>IF(J212="","",IF(J212&lt;Zoom2_Tmin,NA(),(J212-Zoom2_Tmin)/Diagramm_dT+1))</f>
        <v/>
      </c>
      <c r="P212" t="n">
        <v>60.03084845596985</v>
      </c>
      <c r="Q212" t="n">
        <v>189.9691515440302</v>
      </c>
      <c r="R212" t="n">
        <v>0</v>
      </c>
    </row>
    <row r="213">
      <c r="B213" t="n">
        <v>22.5</v>
      </c>
      <c r="C213">
        <f>IF(MOD(B213,20)=0,TEXT(B213,"0"),"")</f>
        <v/>
      </c>
      <c r="D213" t="n">
        <v>67.5897824510201</v>
      </c>
      <c r="E213" t="n">
        <v>171.0609232163033</v>
      </c>
      <c r="F213" t="n">
        <v>0</v>
      </c>
      <c r="G213" t="n">
        <v>0</v>
      </c>
      <c r="H213" t="n">
        <v>11.34929433267661</v>
      </c>
      <c r="J213">
        <f>'Kaverne &amp; Gassäule'!$C$58</f>
        <v/>
      </c>
      <c r="K213">
        <f>'Kaverne &amp; Gassäule'!$H$58</f>
        <v/>
      </c>
      <c r="L213">
        <f>(J213-Diagramm_Tmin)/Diagramm_dT+1</f>
        <v/>
      </c>
      <c r="M213">
        <f>IF(J213="","",IF(J213&lt;Zoom_Tmin,NA(),(J213-Zoom_Tmin)/Diagramm_dT+1))</f>
        <v/>
      </c>
      <c r="N213">
        <f>IF(J213="","",IF(J213&lt;Zoom2_Tmin,NA(),(J213-Zoom2_Tmin)/Diagramm_dT+1))</f>
        <v/>
      </c>
      <c r="P213" t="n">
        <v>60.73228517291901</v>
      </c>
      <c r="Q213" t="n">
        <v>189.267714827081</v>
      </c>
      <c r="R213" t="n">
        <v>0</v>
      </c>
    </row>
    <row r="214">
      <c r="B214" t="n">
        <v>23</v>
      </c>
      <c r="C214">
        <f>IF(MOD(B214,20)=0,TEXT(B214,"0"),"")</f>
        <v/>
      </c>
      <c r="D214" t="n">
        <v>68.47599639681717</v>
      </c>
      <c r="E214" t="n">
        <v>170.6032780793644</v>
      </c>
      <c r="F214" t="n">
        <v>0</v>
      </c>
      <c r="G214" t="n">
        <v>0</v>
      </c>
      <c r="H214" t="n">
        <v>10.92072552381843</v>
      </c>
      <c r="J214">
        <f>'Kaverne &amp; Gassäule'!$C$59</f>
        <v/>
      </c>
      <c r="K214">
        <f>'Kaverne &amp; Gassäule'!$H$59</f>
        <v/>
      </c>
      <c r="L214">
        <f>(J214-Diagramm_Tmin)/Diagramm_dT+1</f>
        <v/>
      </c>
      <c r="M214">
        <f>IF(J214="","",IF(J214&lt;Zoom_Tmin,NA(),(J214-Zoom_Tmin)/Diagramm_dT+1))</f>
        <v/>
      </c>
      <c r="N214">
        <f>IF(J214="","",IF(J214&lt;Zoom2_Tmin,NA(),(J214-Zoom2_Tmin)/Diagramm_dT+1))</f>
        <v/>
      </c>
      <c r="P214" t="n">
        <v>61.44044601842505</v>
      </c>
      <c r="Q214" t="n">
        <v>188.5595539815749</v>
      </c>
      <c r="R214" t="n">
        <v>0</v>
      </c>
    </row>
    <row r="215">
      <c r="B215" t="n">
        <v>23.5</v>
      </c>
      <c r="C215">
        <f>IF(MOD(B215,20)=0,TEXT(B215,"0"),"")</f>
        <v/>
      </c>
      <c r="D215" t="n">
        <v>69.40522495773665</v>
      </c>
      <c r="E215" t="n">
        <v>170.1456329424255</v>
      </c>
      <c r="F215" t="n">
        <v>0</v>
      </c>
      <c r="G215" t="n">
        <v>0</v>
      </c>
      <c r="H215" t="n">
        <v>10.44914209983784</v>
      </c>
      <c r="J215">
        <f>'Kaverne &amp; Gassäule'!$C$60</f>
        <v/>
      </c>
      <c r="K215">
        <f>'Kaverne &amp; Gassäule'!$H$60</f>
        <v/>
      </c>
      <c r="L215">
        <f>(J215-Diagramm_Tmin)/Diagramm_dT+1</f>
        <v/>
      </c>
      <c r="M215">
        <f>IF(J215="","",IF(J215&lt;Zoom_Tmin,NA(),(J215-Zoom_Tmin)/Diagramm_dT+1))</f>
        <v/>
      </c>
      <c r="N215">
        <f>IF(J215="","",IF(J215&lt;Zoom2_Tmin,NA(),(J215-Zoom2_Tmin)/Diagramm_dT+1))</f>
        <v/>
      </c>
      <c r="P215" t="n">
        <v>62.15543146402867</v>
      </c>
      <c r="Q215" t="n">
        <v>187.8445685359713</v>
      </c>
      <c r="R215" t="n">
        <v>0</v>
      </c>
    </row>
    <row r="216">
      <c r="B216" t="n">
        <v>24</v>
      </c>
      <c r="C216">
        <f>IF(MOD(B216,20)=0,TEXT(B216,"0"),"")</f>
        <v/>
      </c>
      <c r="D216" t="n">
        <v>70.36380009302471</v>
      </c>
      <c r="E216" t="n">
        <v>169.7443694393384</v>
      </c>
      <c r="F216" t="n">
        <v>0</v>
      </c>
      <c r="G216" t="n">
        <v>0</v>
      </c>
      <c r="H216" t="n">
        <v>9.891830467636879</v>
      </c>
      <c r="J216">
        <f>'Kaverne &amp; Gassäule'!$C$61</f>
        <v/>
      </c>
      <c r="K216">
        <f>'Kaverne &amp; Gassäule'!$H$61</f>
        <v/>
      </c>
      <c r="L216">
        <f>(J216-Diagramm_Tmin)/Diagramm_dT+1</f>
        <v/>
      </c>
      <c r="M216">
        <f>IF(J216="","",IF(J216&lt;Zoom_Tmin,NA(),(J216-Zoom_Tmin)/Diagramm_dT+1))</f>
        <v/>
      </c>
      <c r="N216">
        <f>IF(J216="","",IF(J216&lt;Zoom2_Tmin,NA(),(J216-Zoom2_Tmin)/Diagramm_dT+1))</f>
        <v/>
      </c>
      <c r="P216" t="n">
        <v>62.8773484721578</v>
      </c>
      <c r="Q216" t="n">
        <v>187.1226515278422</v>
      </c>
      <c r="R216" t="n">
        <v>0</v>
      </c>
    </row>
    <row r="217">
      <c r="B217" t="n">
        <v>24.5</v>
      </c>
      <c r="C217">
        <f>IF(MOD(B217,20)=0,TEXT(B217,"0"),"")</f>
        <v/>
      </c>
      <c r="D217" t="n">
        <v>71.32237522831277</v>
      </c>
      <c r="E217" t="n">
        <v>169.3445867885273</v>
      </c>
      <c r="F217" t="n">
        <v>0</v>
      </c>
      <c r="G217" t="n">
        <v>0</v>
      </c>
      <c r="H217" t="n">
        <v>9.333037983159954</v>
      </c>
      <c r="J217">
        <f>'Kaverne &amp; Gassäule'!$C$62</f>
        <v/>
      </c>
      <c r="K217">
        <f>'Kaverne &amp; Gassäule'!$H$62</f>
        <v/>
      </c>
      <c r="L217">
        <f>(J217-Diagramm_Tmin)/Diagramm_dT+1</f>
        <v/>
      </c>
      <c r="M217">
        <f>IF(J217="","",IF(J217&lt;Zoom_Tmin,NA(),(J217-Zoom_Tmin)/Diagramm_dT+1))</f>
        <v/>
      </c>
      <c r="N217">
        <f>IF(J217="","",IF(J217&lt;Zoom2_Tmin,NA(),(J217-Zoom2_Tmin)/Diagramm_dT+1))</f>
        <v/>
      </c>
      <c r="P217" t="n">
        <v>63.60631129843287</v>
      </c>
      <c r="Q217" t="n">
        <v>186.3936887015671</v>
      </c>
      <c r="R217" t="n">
        <v>0</v>
      </c>
    </row>
    <row r="218">
      <c r="B218" t="n">
        <v>25</v>
      </c>
      <c r="C218">
        <f>IF(MOD(B218,20)=0,TEXT(B218,"0"),"")</f>
        <v/>
      </c>
      <c r="D218" t="n">
        <v>72.32522964253965</v>
      </c>
      <c r="E218" t="n">
        <v>168.9448041377162</v>
      </c>
      <c r="F218" t="n">
        <v>0</v>
      </c>
      <c r="G218" t="n">
        <v>0</v>
      </c>
      <c r="H218" t="n">
        <v>8.729966219744185</v>
      </c>
      <c r="J218">
        <f>'Kaverne &amp; Gassäule'!$C$63</f>
        <v/>
      </c>
      <c r="K218">
        <f>'Kaverne &amp; Gassäule'!$H$63</f>
        <v/>
      </c>
      <c r="L218">
        <f>(J218-Diagramm_Tmin)/Diagramm_dT+1</f>
        <v/>
      </c>
      <c r="M218">
        <f>IF(J218="","",IF(J218&lt;Zoom_Tmin,NA(),(J218-Zoom_Tmin)/Diagramm_dT+1))</f>
        <v/>
      </c>
      <c r="N218">
        <f>IF(J218="","",IF(J218&lt;Zoom2_Tmin,NA(),(J218-Zoom2_Tmin)/Diagramm_dT+1))</f>
        <v/>
      </c>
      <c r="P218" t="n">
        <v>64.3424425064042</v>
      </c>
      <c r="Q218" t="n">
        <v>185.6575574935958</v>
      </c>
      <c r="R218" t="n">
        <v>0</v>
      </c>
    </row>
    <row r="219">
      <c r="B219" t="n">
        <v>25.5</v>
      </c>
      <c r="C219">
        <f>IF(MOD(B219,20)=0,TEXT(B219,"0"),"")</f>
        <v/>
      </c>
      <c r="D219" t="n">
        <v>73.38015838022605</v>
      </c>
      <c r="E219" t="n">
        <v>168.6139157354906</v>
      </c>
      <c r="F219" t="n">
        <v>0</v>
      </c>
      <c r="G219" t="n">
        <v>0</v>
      </c>
      <c r="H219" t="n">
        <v>8.005925884283371</v>
      </c>
      <c r="J219">
        <f>'Kaverne &amp; Gassäule'!$C$64</f>
        <v/>
      </c>
      <c r="K219">
        <f>'Kaverne &amp; Gassäule'!$H$64</f>
        <v/>
      </c>
      <c r="L219">
        <f>(J219-Diagramm_Tmin)/Diagramm_dT+1</f>
        <v/>
      </c>
      <c r="M219">
        <f>IF(J219="","",IF(J219&lt;Zoom_Tmin,NA(),(J219-Zoom_Tmin)/Diagramm_dT+1))</f>
        <v/>
      </c>
      <c r="N219">
        <f>IF(J219="","",IF(J219&lt;Zoom2_Tmin,NA(),(J219-Zoom2_Tmin)/Diagramm_dT+1))</f>
        <v/>
      </c>
      <c r="P219" t="n">
        <v>65.08587431525569</v>
      </c>
      <c r="Q219" t="n">
        <v>184.9141256847443</v>
      </c>
      <c r="R219" t="n">
        <v>0</v>
      </c>
    </row>
    <row r="220">
      <c r="B220" t="n">
        <v>26</v>
      </c>
      <c r="C220">
        <f>IF(MOD(B220,20)=0,TEXT(B220,"0"),"")</f>
        <v/>
      </c>
      <c r="D220" t="n">
        <v>74.43508711791246</v>
      </c>
      <c r="E220" t="n">
        <v>168.2837774704025</v>
      </c>
      <c r="F220" t="n">
        <v>0</v>
      </c>
      <c r="G220" t="n">
        <v>0</v>
      </c>
      <c r="H220" t="n">
        <v>7.281135411685057</v>
      </c>
      <c r="J220">
        <f>'Kaverne &amp; Gassäule'!$C$65</f>
        <v/>
      </c>
      <c r="K220">
        <f>'Kaverne &amp; Gassäule'!$H$65</f>
        <v/>
      </c>
      <c r="L220">
        <f>(J220-Diagramm_Tmin)/Diagramm_dT+1</f>
        <v/>
      </c>
      <c r="M220">
        <f>IF(J220="","",IF(J220&lt;Zoom_Tmin,NA(),(J220-Zoom_Tmin)/Diagramm_dT+1))</f>
        <v/>
      </c>
      <c r="N220">
        <f>IF(J220="","",IF(J220&lt;Zoom2_Tmin,NA(),(J220-Zoom2_Tmin)/Diagramm_dT+1))</f>
        <v/>
      </c>
      <c r="P220" t="n">
        <v>65.83675047012512</v>
      </c>
      <c r="Q220" t="n">
        <v>184.1632495298749</v>
      </c>
      <c r="R220" t="n">
        <v>0</v>
      </c>
    </row>
    <row r="221">
      <c r="B221" t="n">
        <v>26.5</v>
      </c>
      <c r="C221">
        <f>IF(MOD(B221,20)=0,TEXT(B221,"0"),"")</f>
        <v/>
      </c>
      <c r="D221" t="n">
        <v>75.61815476681673</v>
      </c>
      <c r="E221" t="n">
        <v>168.0394664370317</v>
      </c>
      <c r="F221" t="n">
        <v>0</v>
      </c>
      <c r="G221" t="n">
        <v>0</v>
      </c>
      <c r="H221" t="n">
        <v>6.342378796151579</v>
      </c>
      <c r="J221">
        <f>'Kaverne &amp; Gassäule'!$C$66</f>
        <v/>
      </c>
      <c r="K221">
        <f>'Kaverne &amp; Gassäule'!$H$66</f>
        <v/>
      </c>
      <c r="L221">
        <f>(J221-Diagramm_Tmin)/Diagramm_dT+1</f>
        <v/>
      </c>
      <c r="M221">
        <f>IF(J221="","",IF(J221&lt;Zoom_Tmin,NA(),(J221-Zoom_Tmin)/Diagramm_dT+1))</f>
        <v/>
      </c>
      <c r="N221">
        <f>IF(J221="","",IF(J221&lt;Zoom2_Tmin,NA(),(J221-Zoom2_Tmin)/Diagramm_dT+1))</f>
        <v/>
      </c>
      <c r="P221" t="n">
        <v>66.59522892601987</v>
      </c>
      <c r="Q221" t="n">
        <v>183.4047710739801</v>
      </c>
      <c r="R221" t="n">
        <v>0</v>
      </c>
    </row>
    <row r="222">
      <c r="B222" t="n">
        <v>27</v>
      </c>
      <c r="C222">
        <f>IF(MOD(B222,20)=0,TEXT(B222,"0"),"")</f>
        <v/>
      </c>
      <c r="D222" t="n">
        <v>76.81792288028635</v>
      </c>
      <c r="E222" t="n">
        <v>167.8474180938638</v>
      </c>
      <c r="F222" t="n">
        <v>0</v>
      </c>
      <c r="G222" t="n">
        <v>0</v>
      </c>
      <c r="H222" t="n">
        <v>5.334659025849902</v>
      </c>
      <c r="J222">
        <f>'Kaverne &amp; Gassäule'!$C$67</f>
        <v/>
      </c>
      <c r="K222">
        <f>'Kaverne &amp; Gassäule'!$H$67</f>
        <v/>
      </c>
      <c r="L222">
        <f>(J222-Diagramm_Tmin)/Diagramm_dT+1</f>
        <v/>
      </c>
      <c r="M222">
        <f>IF(J222="","",IF(J222&lt;Zoom_Tmin,NA(),(J222-Zoom_Tmin)/Diagramm_dT+1))</f>
        <v/>
      </c>
      <c r="N222">
        <f>IF(J222="","",IF(J222&lt;Zoom2_Tmin,NA(),(J222-Zoom2_Tmin)/Diagramm_dT+1))</f>
        <v/>
      </c>
      <c r="P222" t="n">
        <v>67.36148578184648</v>
      </c>
      <c r="Q222" t="n">
        <v>182.6385142181535</v>
      </c>
      <c r="R222" t="n">
        <v>0</v>
      </c>
    </row>
    <row r="223">
      <c r="B223" t="n">
        <v>27.5</v>
      </c>
      <c r="C223">
        <f>IF(MOD(B223,20)=0,TEXT(B223,"0"),"")</f>
        <v/>
      </c>
      <c r="D223" t="n">
        <v>78.25441483385524</v>
      </c>
      <c r="E223" t="n">
        <v>167.9004067586513</v>
      </c>
      <c r="F223" t="n">
        <v>0</v>
      </c>
      <c r="G223" t="n">
        <v>0</v>
      </c>
      <c r="H223" t="n">
        <v>3.845178407493478</v>
      </c>
      <c r="J223">
        <f>'Kaverne &amp; Gassäule'!$C$68</f>
        <v/>
      </c>
      <c r="K223">
        <f>'Kaverne &amp; Gassäule'!$H$68</f>
        <v/>
      </c>
      <c r="L223">
        <f>(J223-Diagramm_Tmin)/Diagramm_dT+1</f>
        <v/>
      </c>
      <c r="M223">
        <f>IF(J223="","",IF(J223&lt;Zoom_Tmin,NA(),(J223-Zoom_Tmin)/Diagramm_dT+1))</f>
        <v/>
      </c>
      <c r="N223">
        <f>IF(J223="","",IF(J223&lt;Zoom2_Tmin,NA(),(J223-Zoom2_Tmin)/Diagramm_dT+1))</f>
        <v/>
      </c>
      <c r="P223" t="n">
        <v>68.13572111048073</v>
      </c>
      <c r="Q223" t="n">
        <v>181.8642788895193</v>
      </c>
      <c r="R223" t="n">
        <v>0</v>
      </c>
    </row>
    <row r="224">
      <c r="B224" t="n">
        <v>28</v>
      </c>
      <c r="C224">
        <f>IF(MOD(B224,20)=0,TEXT(B224,"0"),"")</f>
        <v/>
      </c>
      <c r="D224" t="n">
        <v>81.45505572191325</v>
      </c>
      <c r="E224" t="n">
        <v>0</v>
      </c>
      <c r="F224" t="n">
        <v>168.5449442780867</v>
      </c>
      <c r="G224" t="n">
        <v>0</v>
      </c>
      <c r="H224" t="n">
        <v>0</v>
      </c>
      <c r="J224">
        <f>'Kaverne &amp; Gassäule'!$C$69</f>
        <v/>
      </c>
      <c r="K224">
        <f>'Kaverne &amp; Gassäule'!$H$69</f>
        <v/>
      </c>
      <c r="L224">
        <f>(J224-Diagramm_Tmin)/Diagramm_dT+1</f>
        <v/>
      </c>
      <c r="M224">
        <f>IF(J224="","",IF(J224&lt;Zoom_Tmin,NA(),(J224-Zoom_Tmin)/Diagramm_dT+1))</f>
        <v/>
      </c>
      <c r="N224">
        <f>IF(J224="","",IF(J224&lt;Zoom2_Tmin,NA(),(J224-Zoom2_Tmin)/Diagramm_dT+1))</f>
        <v/>
      </c>
      <c r="P224" t="n">
        <v>68.9181676512645</v>
      </c>
      <c r="Q224" t="n">
        <v>181.0818323487355</v>
      </c>
      <c r="R224" t="n">
        <v>0</v>
      </c>
    </row>
    <row r="225">
      <c r="B225" t="n">
        <v>28.5</v>
      </c>
      <c r="C225">
        <f>IF(MOD(B225,20)=0,TEXT(B225,"0"),"")</f>
        <v/>
      </c>
      <c r="D225" t="n">
        <v>81.45505572191325</v>
      </c>
      <c r="E225" t="n">
        <v>0</v>
      </c>
      <c r="F225" t="n">
        <v>168.5449442780867</v>
      </c>
      <c r="G225" t="n">
        <v>0</v>
      </c>
      <c r="H225" t="n">
        <v>0</v>
      </c>
      <c r="J225">
        <f>'Kaverne &amp; Gassäule'!$C$70</f>
        <v/>
      </c>
      <c r="K225">
        <f>'Kaverne &amp; Gassäule'!$H$70</f>
        <v/>
      </c>
      <c r="L225">
        <f>(J225-Diagramm_Tmin)/Diagramm_dT+1</f>
        <v/>
      </c>
      <c r="M225">
        <f>IF(J225="","",IF(J225&lt;Zoom_Tmin,NA(),(J225-Zoom_Tmin)/Diagramm_dT+1))</f>
        <v/>
      </c>
      <c r="N225">
        <f>IF(J225="","",IF(J225&lt;Zoom2_Tmin,NA(),(J225-Zoom2_Tmin)/Diagramm_dT+1))</f>
        <v/>
      </c>
      <c r="P225" t="n">
        <v>69.70910391197151</v>
      </c>
      <c r="Q225" t="n">
        <v>180.2908960880285</v>
      </c>
      <c r="R225" t="n">
        <v>0</v>
      </c>
    </row>
    <row r="226">
      <c r="B226" t="n">
        <v>29</v>
      </c>
      <c r="C226">
        <f>IF(MOD(B226,20)=0,TEXT(B226,"0"),"")</f>
        <v/>
      </c>
      <c r="D226" t="n">
        <v>81.45505572191325</v>
      </c>
      <c r="E226" t="n">
        <v>0</v>
      </c>
      <c r="F226" t="n">
        <v>168.5449442780867</v>
      </c>
      <c r="G226" t="n">
        <v>0</v>
      </c>
      <c r="H226" t="n">
        <v>0</v>
      </c>
      <c r="J226">
        <f>'Kaverne &amp; Gassäule'!$C$71</f>
        <v/>
      </c>
      <c r="K226">
        <f>'Kaverne &amp; Gassäule'!$H$71</f>
        <v/>
      </c>
      <c r="L226">
        <f>(J226-Diagramm_Tmin)/Diagramm_dT+1</f>
        <v/>
      </c>
      <c r="M226">
        <f>IF(J226="","",IF(J226&lt;Zoom_Tmin,NA(),(J226-Zoom_Tmin)/Diagramm_dT+1))</f>
        <v/>
      </c>
      <c r="N226">
        <f>IF(J226="","",IF(J226&lt;Zoom2_Tmin,NA(),(J226-Zoom2_Tmin)/Diagramm_dT+1))</f>
        <v/>
      </c>
      <c r="P226" t="n">
        <v>70.50887458710675</v>
      </c>
      <c r="Q226" t="n">
        <v>179.4911254128933</v>
      </c>
      <c r="R226" t="n">
        <v>0</v>
      </c>
    </row>
    <row r="227">
      <c r="B227" t="n">
        <v>29.5</v>
      </c>
      <c r="C227">
        <f>IF(MOD(B227,20)=0,TEXT(B227,"0"),"")</f>
        <v/>
      </c>
      <c r="D227" t="n">
        <v>81.45505572191325</v>
      </c>
      <c r="E227" t="n">
        <v>0</v>
      </c>
      <c r="F227" t="n">
        <v>168.5449442780867</v>
      </c>
      <c r="G227" t="n">
        <v>0</v>
      </c>
      <c r="H227" t="n">
        <v>0</v>
      </c>
      <c r="J227">
        <f>'Kaverne &amp; Gassäule'!$C$72</f>
        <v/>
      </c>
      <c r="K227">
        <f>'Kaverne &amp; Gassäule'!$H$72</f>
        <v/>
      </c>
      <c r="L227">
        <f>(J227-Diagramm_Tmin)/Diagramm_dT+1</f>
        <v/>
      </c>
      <c r="M227">
        <f>IF(J227="","",IF(J227&lt;Zoom_Tmin,NA(),(J227-Zoom_Tmin)/Diagramm_dT+1))</f>
        <v/>
      </c>
      <c r="N227">
        <f>IF(J227="","",IF(J227&lt;Zoom2_Tmin,NA(),(J227-Zoom2_Tmin)/Diagramm_dT+1))</f>
        <v/>
      </c>
      <c r="P227" t="n">
        <v>71.31792528019216</v>
      </c>
      <c r="Q227" t="n">
        <v>178.6820747198078</v>
      </c>
      <c r="R227" t="n">
        <v>0</v>
      </c>
    </row>
    <row r="228">
      <c r="B228" t="n">
        <v>30</v>
      </c>
      <c r="C228">
        <f>IF(MOD(B228,20)=0,TEXT(B228,"0"),"")</f>
        <v/>
      </c>
      <c r="D228" t="n">
        <v>81.45505572191325</v>
      </c>
      <c r="E228" t="n">
        <v>0</v>
      </c>
      <c r="F228" t="n">
        <v>168.5449442780867</v>
      </c>
      <c r="G228" t="n">
        <v>0</v>
      </c>
      <c r="H228" t="n">
        <v>0</v>
      </c>
      <c r="J228">
        <f>'Kaverne &amp; Gassäule'!$C$73</f>
        <v/>
      </c>
      <c r="K228">
        <f>'Kaverne &amp; Gassäule'!$H$73</f>
        <v/>
      </c>
      <c r="L228">
        <f>(J228-Diagramm_Tmin)/Diagramm_dT+1</f>
        <v/>
      </c>
      <c r="M228">
        <f>IF(J228="","",IF(J228&lt;Zoom_Tmin,NA(),(J228-Zoom_Tmin)/Diagramm_dT+1))</f>
        <v/>
      </c>
      <c r="N228">
        <f>IF(J228="","",IF(J228&lt;Zoom2_Tmin,NA(),(J228-Zoom2_Tmin)/Diagramm_dT+1))</f>
        <v/>
      </c>
      <c r="P228" t="n">
        <v>72.13687382731153</v>
      </c>
      <c r="Q228" t="n">
        <v>177.8631261726885</v>
      </c>
      <c r="R228" t="n">
        <v>0</v>
      </c>
    </row>
    <row r="229">
      <c r="B229" t="n">
        <v>30.5</v>
      </c>
      <c r="C229">
        <f>IF(MOD(B229,20)=0,TEXT(B229,"0"),"")</f>
        <v/>
      </c>
      <c r="D229" t="n">
        <v>81.45505572191325</v>
      </c>
      <c r="E229" t="n">
        <v>0</v>
      </c>
      <c r="F229" t="n">
        <v>168.5449442780867</v>
      </c>
      <c r="G229" t="n">
        <v>0</v>
      </c>
      <c r="H229" t="n">
        <v>0</v>
      </c>
      <c r="J229">
        <f>'Kaverne &amp; Gassäule'!$C$74</f>
        <v/>
      </c>
      <c r="K229">
        <f>'Kaverne &amp; Gassäule'!$H$74</f>
        <v/>
      </c>
      <c r="L229">
        <f>(J229-Diagramm_Tmin)/Diagramm_dT+1</f>
        <v/>
      </c>
      <c r="M229">
        <f>IF(J229="","",IF(J229&lt;Zoom_Tmin,NA(),(J229-Zoom_Tmin)/Diagramm_dT+1))</f>
        <v/>
      </c>
      <c r="N229">
        <f>IF(J229="","",IF(J229&lt;Zoom2_Tmin,NA(),(J229-Zoom2_Tmin)/Diagramm_dT+1))</f>
        <v/>
      </c>
      <c r="P229" t="n">
        <v>72.96671826120908</v>
      </c>
      <c r="Q229" t="n">
        <v>177.0332817387909</v>
      </c>
      <c r="R229" t="n">
        <v>0</v>
      </c>
    </row>
    <row r="230">
      <c r="B230" t="n">
        <v>31</v>
      </c>
      <c r="C230">
        <f>IF(MOD(B230,20)=0,TEXT(B230,"0"),"")</f>
        <v/>
      </c>
      <c r="D230" t="n">
        <v>81.45505572191325</v>
      </c>
      <c r="E230" t="n">
        <v>0</v>
      </c>
      <c r="F230" t="n">
        <v>168.5449442780867</v>
      </c>
      <c r="G230" t="n">
        <v>0</v>
      </c>
      <c r="H230" t="n">
        <v>0</v>
      </c>
      <c r="J230">
        <f>'Kaverne &amp; Gassäule'!$C$75</f>
        <v/>
      </c>
      <c r="K230">
        <f>'Kaverne &amp; Gassäule'!$H$75</f>
        <v/>
      </c>
      <c r="L230">
        <f>(J230-Diagramm_Tmin)/Diagramm_dT+1</f>
        <v/>
      </c>
      <c r="M230">
        <f>IF(J230="","",IF(J230&lt;Zoom_Tmin,NA(),(J230-Zoom_Tmin)/Diagramm_dT+1))</f>
        <v/>
      </c>
      <c r="N230">
        <f>IF(J230="","",IF(J230&lt;Zoom2_Tmin,NA(),(J230-Zoom2_Tmin)/Diagramm_dT+1))</f>
        <v/>
      </c>
      <c r="P230" t="n">
        <v>73.77298373446752</v>
      </c>
      <c r="Q230" t="n">
        <v>0</v>
      </c>
      <c r="R230" t="n">
        <v>176.2270162655325</v>
      </c>
    </row>
    <row r="231">
      <c r="B231" t="n">
        <v>31.5</v>
      </c>
      <c r="C231">
        <f>IF(MOD(B231,20)=0,TEXT(B231,"0"),"")</f>
        <v/>
      </c>
      <c r="D231" t="n">
        <v>81.45505572191325</v>
      </c>
      <c r="E231" t="n">
        <v>0</v>
      </c>
      <c r="F231" t="n">
        <v>168.5449442780867</v>
      </c>
      <c r="G231" t="n">
        <v>0</v>
      </c>
      <c r="H231" t="n">
        <v>0</v>
      </c>
      <c r="J231">
        <f>'Kaverne &amp; Gassäule'!$C$76</f>
        <v/>
      </c>
      <c r="K231">
        <f>'Kaverne &amp; Gassäule'!$H$76</f>
        <v/>
      </c>
      <c r="L231">
        <f>(J231-Diagramm_Tmin)/Diagramm_dT+1</f>
        <v/>
      </c>
      <c r="M231">
        <f>IF(J231="","",IF(J231&lt;Zoom_Tmin,NA(),(J231-Zoom_Tmin)/Diagramm_dT+1))</f>
        <v/>
      </c>
      <c r="N231">
        <f>IF(J231="","",IF(J231&lt;Zoom2_Tmin,NA(),(J231-Zoom2_Tmin)/Diagramm_dT+1))</f>
        <v/>
      </c>
      <c r="P231" t="n">
        <v>73.77298373446752</v>
      </c>
      <c r="Q231" t="n">
        <v>0</v>
      </c>
      <c r="R231" t="n">
        <v>176.2270162655325</v>
      </c>
    </row>
    <row r="232">
      <c r="B232" t="n">
        <v>32</v>
      </c>
      <c r="C232">
        <f>IF(MOD(B232,20)=0,TEXT(B232,"0"),"")</f>
        <v/>
      </c>
      <c r="D232" t="n">
        <v>81.45505572191325</v>
      </c>
      <c r="E232" t="n">
        <v>0</v>
      </c>
      <c r="F232" t="n">
        <v>168.5449442780867</v>
      </c>
      <c r="G232" t="n">
        <v>0</v>
      </c>
      <c r="H232" t="n">
        <v>0</v>
      </c>
      <c r="J232">
        <f>'Kaverne &amp; Gassäule'!$C$77</f>
        <v/>
      </c>
      <c r="K232">
        <f>'Kaverne &amp; Gassäule'!$H$77</f>
        <v/>
      </c>
      <c r="L232">
        <f>(J232-Diagramm_Tmin)/Diagramm_dT+1</f>
        <v/>
      </c>
      <c r="M232">
        <f>IF(J232="","",IF(J232&lt;Zoom_Tmin,NA(),(J232-Zoom_Tmin)/Diagramm_dT+1))</f>
        <v/>
      </c>
      <c r="N232">
        <f>IF(J232="","",IF(J232&lt;Zoom2_Tmin,NA(),(J232-Zoom2_Tmin)/Diagramm_dT+1))</f>
        <v/>
      </c>
      <c r="P232" t="n">
        <v>73.77298373446752</v>
      </c>
      <c r="Q232" t="n">
        <v>0</v>
      </c>
      <c r="R232" t="n">
        <v>176.2270162655325</v>
      </c>
    </row>
    <row r="233">
      <c r="B233" t="n">
        <v>32.5</v>
      </c>
      <c r="C233">
        <f>IF(MOD(B233,20)=0,TEXT(B233,"0"),"")</f>
        <v/>
      </c>
      <c r="D233" t="n">
        <v>81.45505572191325</v>
      </c>
      <c r="E233" t="n">
        <v>0</v>
      </c>
      <c r="F233" t="n">
        <v>168.5449442780867</v>
      </c>
      <c r="G233" t="n">
        <v>0</v>
      </c>
      <c r="H233" t="n">
        <v>0</v>
      </c>
      <c r="J233">
        <f>'Kaverne &amp; Gassäule'!$C$78</f>
        <v/>
      </c>
      <c r="K233">
        <f>'Kaverne &amp; Gassäule'!$H$78</f>
        <v/>
      </c>
      <c r="L233">
        <f>(J233-Diagramm_Tmin)/Diagramm_dT+1</f>
        <v/>
      </c>
      <c r="M233">
        <f>IF(J233="","",IF(J233&lt;Zoom_Tmin,NA(),(J233-Zoom_Tmin)/Diagramm_dT+1))</f>
        <v/>
      </c>
      <c r="N233">
        <f>IF(J233="","",IF(J233&lt;Zoom2_Tmin,NA(),(J233-Zoom2_Tmin)/Diagramm_dT+1))</f>
        <v/>
      </c>
      <c r="P233" t="n">
        <v>73.77298373446752</v>
      </c>
      <c r="Q233" t="n">
        <v>0</v>
      </c>
      <c r="R233" t="n">
        <v>176.2270162655325</v>
      </c>
    </row>
    <row r="234">
      <c r="B234" t="n">
        <v>33</v>
      </c>
      <c r="C234">
        <f>IF(MOD(B234,20)=0,TEXT(B234,"0"),"")</f>
        <v/>
      </c>
      <c r="D234" t="n">
        <v>81.45505572191325</v>
      </c>
      <c r="E234" t="n">
        <v>0</v>
      </c>
      <c r="F234" t="n">
        <v>168.5449442780867</v>
      </c>
      <c r="G234" t="n">
        <v>0</v>
      </c>
      <c r="H234" t="n">
        <v>0</v>
      </c>
      <c r="J234">
        <f>'Kaverne &amp; Gassäule'!$C$79</f>
        <v/>
      </c>
      <c r="K234">
        <f>'Kaverne &amp; Gassäule'!$H$79</f>
        <v/>
      </c>
      <c r="L234">
        <f>(J234-Diagramm_Tmin)/Diagramm_dT+1</f>
        <v/>
      </c>
      <c r="M234">
        <f>IF(J234="","",IF(J234&lt;Zoom_Tmin,NA(),(J234-Zoom_Tmin)/Diagramm_dT+1))</f>
        <v/>
      </c>
      <c r="N234">
        <f>IF(J234="","",IF(J234&lt;Zoom2_Tmin,NA(),(J234-Zoom2_Tmin)/Diagramm_dT+1))</f>
        <v/>
      </c>
      <c r="P234" t="n">
        <v>73.77298373446752</v>
      </c>
      <c r="Q234" t="n">
        <v>0</v>
      </c>
      <c r="R234" t="n">
        <v>176.2270162655325</v>
      </c>
    </row>
    <row r="235">
      <c r="B235" t="n">
        <v>33.5</v>
      </c>
      <c r="C235">
        <f>IF(MOD(B235,20)=0,TEXT(B235,"0"),"")</f>
        <v/>
      </c>
      <c r="D235" t="n">
        <v>81.45505572191325</v>
      </c>
      <c r="E235" t="n">
        <v>0</v>
      </c>
      <c r="F235" t="n">
        <v>168.5449442780867</v>
      </c>
      <c r="G235" t="n">
        <v>0</v>
      </c>
      <c r="H235" t="n">
        <v>0</v>
      </c>
      <c r="M235">
        <f>IF(J235="","",IF(J235&lt;Zoom_Tmin,NA(),(J235-Zoom_Tmin)/Diagramm_dT+1))</f>
        <v/>
      </c>
      <c r="N235">
        <f>IF(J235="","",IF(J235&lt;Zoom2_Tmin,NA(),(J235-Zoom2_Tmin)/Diagramm_dT+1))</f>
        <v/>
      </c>
      <c r="P235" t="n">
        <v>73.77298373446752</v>
      </c>
      <c r="Q235" t="n">
        <v>0</v>
      </c>
      <c r="R235" t="n">
        <v>176.2270162655325</v>
      </c>
    </row>
    <row r="236">
      <c r="B236" t="n">
        <v>34</v>
      </c>
      <c r="C236">
        <f>IF(MOD(B236,20)=0,TEXT(B236,"0"),"")</f>
        <v/>
      </c>
      <c r="D236" t="n">
        <v>81.45505572191325</v>
      </c>
      <c r="E236" t="n">
        <v>0</v>
      </c>
      <c r="F236" t="n">
        <v>168.5449442780867</v>
      </c>
      <c r="G236" t="n">
        <v>0</v>
      </c>
      <c r="H236" t="n">
        <v>0</v>
      </c>
      <c r="I236" s="76" t="inlineStr">
        <is>
          <t>Kaverne V1 (LCCS, 1200 m): 70–210 bar</t>
        </is>
      </c>
      <c r="J236">
        <f>T_Kav_V1</f>
        <v/>
      </c>
      <c r="K236">
        <f>pmin_V1</f>
        <v/>
      </c>
      <c r="L236">
        <f>(J236-Diagramm_Tmin)/Diagramm_dT+1</f>
        <v/>
      </c>
      <c r="M236">
        <f>IF(J236="","",IF(J236&lt;Zoom_Tmin,NA(),(J236-Zoom_Tmin)/Diagramm_dT+1))</f>
        <v/>
      </c>
      <c r="N236">
        <f>IF(J236="","",IF(J236&lt;Zoom2_Tmin,NA(),(J236-Zoom2_Tmin)/Diagramm_dT+1))</f>
        <v/>
      </c>
      <c r="P236" t="n">
        <v>73.77298373446752</v>
      </c>
      <c r="Q236" t="n">
        <v>0</v>
      </c>
      <c r="R236" t="n">
        <v>176.2270162655325</v>
      </c>
    </row>
    <row r="237">
      <c r="B237" t="n">
        <v>34.5</v>
      </c>
      <c r="C237">
        <f>IF(MOD(B237,20)=0,TEXT(B237,"0"),"")</f>
        <v/>
      </c>
      <c r="D237" t="n">
        <v>81.45505572191325</v>
      </c>
      <c r="E237" t="n">
        <v>0</v>
      </c>
      <c r="F237" t="n">
        <v>168.5449442780867</v>
      </c>
      <c r="G237" t="n">
        <v>0</v>
      </c>
      <c r="H237" t="n">
        <v>0</v>
      </c>
      <c r="J237">
        <f>T_Kav_V1</f>
        <v/>
      </c>
      <c r="K237">
        <f>pmax_V1</f>
        <v/>
      </c>
      <c r="L237">
        <f>(J237-Diagramm_Tmin)/Diagramm_dT+1</f>
        <v/>
      </c>
      <c r="M237">
        <f>IF(J237="","",IF(J237&lt;Zoom_Tmin,NA(),(J237-Zoom_Tmin)/Diagramm_dT+1))</f>
        <v/>
      </c>
      <c r="N237">
        <f>IF(J237="","",IF(J237&lt;Zoom2_Tmin,NA(),(J237-Zoom2_Tmin)/Diagramm_dT+1))</f>
        <v/>
      </c>
      <c r="P237" t="n">
        <v>73.77298373446752</v>
      </c>
      <c r="Q237" t="n">
        <v>0</v>
      </c>
      <c r="R237" t="n">
        <v>176.2270162655325</v>
      </c>
    </row>
    <row r="238">
      <c r="B238" t="n">
        <v>35</v>
      </c>
      <c r="C238">
        <f>IF(MOD(B238,20)=0,TEXT(B238,"0"),"")</f>
        <v/>
      </c>
      <c r="D238" t="n">
        <v>81.45505572191325</v>
      </c>
      <c r="E238" t="n">
        <v>0</v>
      </c>
      <c r="F238" t="n">
        <v>168.5449442780867</v>
      </c>
      <c r="G238" t="n">
        <v>0</v>
      </c>
      <c r="H238" t="n">
        <v>0</v>
      </c>
      <c r="M238">
        <f>IF(J238="","",IF(J238&lt;Zoom_Tmin,NA(),(J238-Zoom_Tmin)/Diagramm_dT+1))</f>
        <v/>
      </c>
      <c r="N238">
        <f>IF(J238="","",IF(J238&lt;Zoom2_Tmin,NA(),(J238-Zoom2_Tmin)/Diagramm_dT+1))</f>
        <v/>
      </c>
      <c r="P238" t="n">
        <v>73.77298373446752</v>
      </c>
      <c r="Q238" t="n">
        <v>0</v>
      </c>
      <c r="R238" t="n">
        <v>176.2270162655325</v>
      </c>
    </row>
    <row r="239">
      <c r="B239" t="n">
        <v>35.5</v>
      </c>
      <c r="C239">
        <f>IF(MOD(B239,20)=0,TEXT(B239,"0"),"")</f>
        <v/>
      </c>
      <c r="D239" t="n">
        <v>81.45505572191325</v>
      </c>
      <c r="E239" t="n">
        <v>0</v>
      </c>
      <c r="F239" t="n">
        <v>168.5449442780867</v>
      </c>
      <c r="G239" t="n">
        <v>0</v>
      </c>
      <c r="H239" t="n">
        <v>0</v>
      </c>
      <c r="I239" s="76" t="inlineStr">
        <is>
          <t>Bohrlochkopf (0 m): 50,7–114,9 bar</t>
        </is>
      </c>
      <c r="J239">
        <f>Tober_V1</f>
        <v/>
      </c>
      <c r="K239">
        <f>Kopf_leer</f>
        <v/>
      </c>
      <c r="L239">
        <f>(J239-Diagramm_Tmin)/Diagramm_dT+1</f>
        <v/>
      </c>
      <c r="M239">
        <f>IF(J239="","",IF(J239&lt;Zoom_Tmin,NA(),(J239-Zoom_Tmin)/Diagramm_dT+1))</f>
        <v/>
      </c>
      <c r="N239">
        <f>IF(J239="","",IF(J239&lt;Zoom2_Tmin,NA(),(J239-Zoom2_Tmin)/Diagramm_dT+1))</f>
        <v/>
      </c>
      <c r="P239" t="n">
        <v>73.77298373446752</v>
      </c>
      <c r="Q239" t="n">
        <v>0</v>
      </c>
      <c r="R239" t="n">
        <v>176.2270162655325</v>
      </c>
    </row>
    <row r="240">
      <c r="B240" t="n">
        <v>36</v>
      </c>
      <c r="C240">
        <f>IF(MOD(B240,20)=0,TEXT(B240,"0"),"")</f>
        <v/>
      </c>
      <c r="D240" t="n">
        <v>81.45505572191325</v>
      </c>
      <c r="E240" t="n">
        <v>0</v>
      </c>
      <c r="F240" t="n">
        <v>168.5449442780867</v>
      </c>
      <c r="G240" t="n">
        <v>0</v>
      </c>
      <c r="H240" t="n">
        <v>0</v>
      </c>
      <c r="J240">
        <f>Tober_V1</f>
        <v/>
      </c>
      <c r="K240">
        <f>Kopf_voll</f>
        <v/>
      </c>
      <c r="L240">
        <f>(J240-Diagramm_Tmin)/Diagramm_dT+1</f>
        <v/>
      </c>
      <c r="M240">
        <f>IF(J240="","",IF(J240&lt;Zoom_Tmin,NA(),(J240-Zoom_Tmin)/Diagramm_dT+1))</f>
        <v/>
      </c>
      <c r="N240">
        <f>IF(J240="","",IF(J240&lt;Zoom2_Tmin,NA(),(J240-Zoom2_Tmin)/Diagramm_dT+1))</f>
        <v/>
      </c>
      <c r="P240" t="n">
        <v>73.77298373446752</v>
      </c>
      <c r="Q240" t="n">
        <v>0</v>
      </c>
      <c r="R240" t="n">
        <v>176.2270162655325</v>
      </c>
    </row>
    <row r="241">
      <c r="B241" t="n">
        <v>36.5</v>
      </c>
      <c r="C241">
        <f>IF(MOD(B241,20)=0,TEXT(B241,"0"),"")</f>
        <v/>
      </c>
      <c r="D241" t="n">
        <v>81.45505572191325</v>
      </c>
      <c r="E241" t="n">
        <v>0</v>
      </c>
      <c r="F241" t="n">
        <v>168.5449442780867</v>
      </c>
      <c r="G241" t="n">
        <v>0</v>
      </c>
      <c r="H241" t="n">
        <v>0</v>
      </c>
      <c r="M241">
        <f>IF(J241="","",IF(J241&lt;Zoom_Tmin,NA(),(J241-Zoom_Tmin)/Diagramm_dT+1))</f>
        <v/>
      </c>
      <c r="N241">
        <f>IF(J241="","",IF(J241&lt;Zoom2_Tmin,NA(),(J241-Zoom2_Tmin)/Diagramm_dT+1))</f>
        <v/>
      </c>
      <c r="P241" t="n">
        <v>73.77298373446752</v>
      </c>
      <c r="Q241" t="n">
        <v>0</v>
      </c>
      <c r="R241" t="n">
        <v>176.2270162655325</v>
      </c>
    </row>
    <row r="242">
      <c r="B242" t="n">
        <v>37</v>
      </c>
      <c r="C242">
        <f>IF(MOD(B242,20)=0,TEXT(B242,"0"),"")</f>
        <v/>
      </c>
      <c r="D242" t="n">
        <v>81.45505572191325</v>
      </c>
      <c r="E242" t="n">
        <v>0</v>
      </c>
      <c r="F242" t="n">
        <v>168.5449442780867</v>
      </c>
      <c r="G242" t="n">
        <v>0</v>
      </c>
      <c r="H242" t="n">
        <v>0</v>
      </c>
      <c r="I242" s="76" t="inlineStr">
        <is>
          <t>Beschriftung Phasengebiete K</t>
        </is>
      </c>
      <c r="J242" t="n">
        <v>-71</v>
      </c>
      <c r="K242" t="n">
        <v>150</v>
      </c>
      <c r="L242">
        <f>(J242-Diagramm_Tmin)/Diagramm_dT+1</f>
        <v/>
      </c>
      <c r="M242">
        <f>IF(J242="","",IF(J242&lt;Zoom_Tmin,NA(),(J242-Zoom_Tmin)/Diagramm_dT+1))</f>
        <v/>
      </c>
      <c r="N242">
        <f>IF(J242="","",IF(J242&lt;Zoom2_Tmin,NA(),(J242-Zoom2_Tmin)/Diagramm_dT+1))</f>
        <v/>
      </c>
      <c r="P242" t="n">
        <v>73.77298373446752</v>
      </c>
      <c r="Q242" t="n">
        <v>0</v>
      </c>
      <c r="R242" t="n">
        <v>176.2270162655325</v>
      </c>
    </row>
    <row r="243">
      <c r="B243" t="n">
        <v>37.5</v>
      </c>
      <c r="C243">
        <f>IF(MOD(B243,20)=0,TEXT(B243,"0"),"")</f>
        <v/>
      </c>
      <c r="D243" t="n">
        <v>81.45505572191325</v>
      </c>
      <c r="E243" t="n">
        <v>0</v>
      </c>
      <c r="F243" t="n">
        <v>168.5449442780867</v>
      </c>
      <c r="G243" t="n">
        <v>0</v>
      </c>
      <c r="H243" t="n">
        <v>0</v>
      </c>
      <c r="J243" t="n">
        <v>-12</v>
      </c>
      <c r="K243" t="n">
        <v>170</v>
      </c>
      <c r="L243">
        <f>(J243-Diagramm_Tmin)/Diagramm_dT+1</f>
        <v/>
      </c>
      <c r="M243">
        <f>IF(J243="","",IF(J243&lt;Zoom_Tmin,NA(),(J243-Zoom_Tmin)/Diagramm_dT+1))</f>
        <v/>
      </c>
      <c r="N243">
        <f>IF(J243="","",IF(J243&lt;Zoom2_Tmin,NA(),(J243-Zoom2_Tmin)/Diagramm_dT+1))</f>
        <v/>
      </c>
      <c r="P243" t="n">
        <v>73.77298373446752</v>
      </c>
      <c r="Q243" t="n">
        <v>0</v>
      </c>
      <c r="R243" t="n">
        <v>176.2270162655325</v>
      </c>
    </row>
    <row r="244">
      <c r="B244" t="n">
        <v>38</v>
      </c>
      <c r="C244">
        <f>IF(MOD(B244,20)=0,TEXT(B244,"0"),"")</f>
        <v/>
      </c>
      <c r="D244" t="n">
        <v>81.45505572191325</v>
      </c>
      <c r="E244" t="n">
        <v>0</v>
      </c>
      <c r="F244" t="n">
        <v>168.5449442780867</v>
      </c>
      <c r="G244" t="n">
        <v>0</v>
      </c>
      <c r="H244" t="n">
        <v>0</v>
      </c>
      <c r="J244" t="n">
        <v>78</v>
      </c>
      <c r="K244" t="n">
        <v>25</v>
      </c>
      <c r="L244">
        <f>(J244-Diagramm_Tmin)/Diagramm_dT+1</f>
        <v/>
      </c>
      <c r="M244">
        <f>IF(J244="","",IF(J244&lt;Zoom_Tmin,NA(),(J244-Zoom_Tmin)/Diagramm_dT+1))</f>
        <v/>
      </c>
      <c r="N244">
        <f>IF(J244="","",IF(J244&lt;Zoom2_Tmin,NA(),(J244-Zoom2_Tmin)/Diagramm_dT+1))</f>
        <v/>
      </c>
      <c r="P244" t="n">
        <v>73.77298373446752</v>
      </c>
      <c r="Q244" t="n">
        <v>0</v>
      </c>
      <c r="R244" t="n">
        <v>176.2270162655325</v>
      </c>
    </row>
    <row r="245">
      <c r="B245" t="n">
        <v>38.5</v>
      </c>
      <c r="C245">
        <f>IF(MOD(B245,20)=0,TEXT(B245,"0"),"")</f>
        <v/>
      </c>
      <c r="D245" t="n">
        <v>81.45505572191325</v>
      </c>
      <c r="E245" t="n">
        <v>0</v>
      </c>
      <c r="F245" t="n">
        <v>168.5449442780867</v>
      </c>
      <c r="G245" t="n">
        <v>0</v>
      </c>
      <c r="H245" t="n">
        <v>0</v>
      </c>
      <c r="J245" t="n">
        <v>78</v>
      </c>
      <c r="K245" t="n">
        <v>160</v>
      </c>
      <c r="L245">
        <f>(J245-Diagramm_Tmin)/Diagramm_dT+1</f>
        <v/>
      </c>
      <c r="M245">
        <f>IF(J245="","",IF(J245&lt;Zoom_Tmin,NA(),(J245-Zoom_Tmin)/Diagramm_dT+1))</f>
        <v/>
      </c>
      <c r="N245">
        <f>IF(J245="","",IF(J245&lt;Zoom2_Tmin,NA(),(J245-Zoom2_Tmin)/Diagramm_dT+1))</f>
        <v/>
      </c>
      <c r="P245" t="n">
        <v>73.77298373446752</v>
      </c>
      <c r="Q245" t="n">
        <v>0</v>
      </c>
      <c r="R245" t="n">
        <v>176.2270162655325</v>
      </c>
    </row>
    <row r="246">
      <c r="B246" t="n">
        <v>39</v>
      </c>
      <c r="C246">
        <f>IF(MOD(B246,20)=0,TEXT(B246,"0"),"")</f>
        <v/>
      </c>
      <c r="D246" t="n">
        <v>81.45505572191325</v>
      </c>
      <c r="E246" t="n">
        <v>0</v>
      </c>
      <c r="F246" t="n">
        <v>168.5449442780867</v>
      </c>
      <c r="G246" t="n">
        <v>0</v>
      </c>
      <c r="H246" t="n">
        <v>0</v>
      </c>
      <c r="J246" t="n">
        <v>-25</v>
      </c>
      <c r="K246" t="n">
        <v>32</v>
      </c>
      <c r="L246">
        <f>(J246-Diagramm_Tmin)/Diagramm_dT+1</f>
        <v/>
      </c>
      <c r="M246">
        <f>IF(J246="","",IF(J246&lt;Zoom_Tmin,NA(),(J246-Zoom_Tmin)/Diagramm_dT+1))</f>
        <v/>
      </c>
      <c r="N246">
        <f>IF(J246="","",IF(J246&lt;Zoom2_Tmin,NA(),(J246-Zoom2_Tmin)/Diagramm_dT+1))</f>
        <v/>
      </c>
      <c r="P246" t="n">
        <v>73.77298373446752</v>
      </c>
      <c r="Q246" t="n">
        <v>0</v>
      </c>
      <c r="R246" t="n">
        <v>176.2270162655325</v>
      </c>
    </row>
    <row r="247">
      <c r="B247" t="n">
        <v>39.5</v>
      </c>
      <c r="C247">
        <f>IF(MOD(B247,20)=0,TEXT(B247,"0"),"")</f>
        <v/>
      </c>
      <c r="D247" t="n">
        <v>81.45505572191325</v>
      </c>
      <c r="E247" t="n">
        <v>0</v>
      </c>
      <c r="F247" t="n">
        <v>168.5449442780867</v>
      </c>
      <c r="G247" t="n">
        <v>0</v>
      </c>
      <c r="H247" t="n">
        <v>0</v>
      </c>
      <c r="I247" s="76" t="inlineStr">
        <is>
          <t>Beschriftung Punkte K</t>
        </is>
      </c>
      <c r="J247" t="n">
        <v>60</v>
      </c>
      <c r="K247" t="n">
        <v>216</v>
      </c>
      <c r="L247">
        <f>(J247-Diagramm_Tmin)/Diagramm_dT+1</f>
        <v/>
      </c>
      <c r="M247">
        <f>IF(J247="","",IF(J247&lt;Zoom_Tmin,NA(),(J247-Zoom_Tmin)/Diagramm_dT+1))</f>
        <v/>
      </c>
      <c r="N247">
        <f>IF(J247="","",IF(J247&lt;Zoom2_Tmin,NA(),(J247-Zoom2_Tmin)/Diagramm_dT+1))</f>
        <v/>
      </c>
      <c r="P247" t="n">
        <v>73.77298373446752</v>
      </c>
      <c r="Q247" t="n">
        <v>0</v>
      </c>
      <c r="R247" t="n">
        <v>176.2270162655325</v>
      </c>
    </row>
    <row r="248">
      <c r="B248" t="n">
        <v>40</v>
      </c>
      <c r="C248">
        <f>IF(MOD(B248,20)=0,TEXT(B248,"0"),"")</f>
        <v/>
      </c>
      <c r="D248" t="n">
        <v>81.45505572191325</v>
      </c>
      <c r="E248" t="n">
        <v>0</v>
      </c>
      <c r="F248" t="n">
        <v>168.5449442780867</v>
      </c>
      <c r="G248" t="n">
        <v>0</v>
      </c>
      <c r="H248" t="n">
        <v>0</v>
      </c>
      <c r="J248" t="n">
        <v>60</v>
      </c>
      <c r="K248" t="n">
        <v>172</v>
      </c>
      <c r="L248">
        <f>(J248-Diagramm_Tmin)/Diagramm_dT+1</f>
        <v/>
      </c>
      <c r="M248">
        <f>IF(J248="","",IF(J248&lt;Zoom_Tmin,NA(),(J248-Zoom_Tmin)/Diagramm_dT+1))</f>
        <v/>
      </c>
      <c r="N248">
        <f>IF(J248="","",IF(J248&lt;Zoom2_Tmin,NA(),(J248-Zoom2_Tmin)/Diagramm_dT+1))</f>
        <v/>
      </c>
      <c r="P248" t="n">
        <v>73.77298373446752</v>
      </c>
      <c r="Q248" t="n">
        <v>0</v>
      </c>
      <c r="R248" t="n">
        <v>176.2270162655325</v>
      </c>
    </row>
    <row r="249">
      <c r="B249" t="n">
        <v>40.5</v>
      </c>
      <c r="C249">
        <f>IF(MOD(B249,20)=0,TEXT(B249,"0"),"")</f>
        <v/>
      </c>
      <c r="D249" t="n">
        <v>81.45505572191325</v>
      </c>
      <c r="E249" t="n">
        <v>0</v>
      </c>
      <c r="F249" t="n">
        <v>168.5449442780867</v>
      </c>
      <c r="G249" t="n">
        <v>0</v>
      </c>
      <c r="H249" t="n">
        <v>0</v>
      </c>
      <c r="J249" t="n">
        <v>58</v>
      </c>
      <c r="K249" t="n">
        <v>64</v>
      </c>
      <c r="L249">
        <f>(J249-Diagramm_Tmin)/Diagramm_dT+1</f>
        <v/>
      </c>
      <c r="M249">
        <f>IF(J249="","",IF(J249&lt;Zoom_Tmin,NA(),(J249-Zoom_Tmin)/Diagramm_dT+1))</f>
        <v/>
      </c>
      <c r="N249">
        <f>IF(J249="","",IF(J249&lt;Zoom2_Tmin,NA(),(J249-Zoom2_Tmin)/Diagramm_dT+1))</f>
        <v/>
      </c>
      <c r="P249" t="n">
        <v>73.77298373446752</v>
      </c>
      <c r="Q249" t="n">
        <v>0</v>
      </c>
      <c r="R249" t="n">
        <v>176.2270162655325</v>
      </c>
    </row>
    <row r="250">
      <c r="B250" t="n">
        <v>41</v>
      </c>
      <c r="C250">
        <f>IF(MOD(B250,20)=0,TEXT(B250,"0"),"")</f>
        <v/>
      </c>
      <c r="D250" t="n">
        <v>81.45505572191325</v>
      </c>
      <c r="E250" t="n">
        <v>0</v>
      </c>
      <c r="F250" t="n">
        <v>168.5449442780867</v>
      </c>
      <c r="G250" t="n">
        <v>0</v>
      </c>
      <c r="H250" t="n">
        <v>0</v>
      </c>
      <c r="J250" t="n">
        <v>-6</v>
      </c>
      <c r="K250" t="n">
        <v>118.9313019820893</v>
      </c>
      <c r="L250">
        <f>(J250-Diagramm_Tmin)/Diagramm_dT+1</f>
        <v/>
      </c>
      <c r="M250">
        <f>IF(J250="","",IF(J250&lt;Zoom_Tmin,NA(),(J250-Zoom_Tmin)/Diagramm_dT+1))</f>
        <v/>
      </c>
      <c r="N250">
        <f>IF(J250="","",IF(J250&lt;Zoom2_Tmin,NA(),(J250-Zoom2_Tmin)/Diagramm_dT+1))</f>
        <v/>
      </c>
      <c r="P250" t="n">
        <v>73.77298373446752</v>
      </c>
      <c r="Q250" t="n">
        <v>0</v>
      </c>
      <c r="R250" t="n">
        <v>176.2270162655325</v>
      </c>
    </row>
    <row r="251">
      <c r="B251" t="n">
        <v>41.5</v>
      </c>
      <c r="C251">
        <f>IF(MOD(B251,20)=0,TEXT(B251,"0"),"")</f>
        <v/>
      </c>
      <c r="D251" t="n">
        <v>81.45505572191325</v>
      </c>
      <c r="E251" t="n">
        <v>0</v>
      </c>
      <c r="F251" t="n">
        <v>168.5449442780867</v>
      </c>
      <c r="G251" t="n">
        <v>0</v>
      </c>
      <c r="H251" t="n">
        <v>0</v>
      </c>
      <c r="J251" t="n">
        <v>-8</v>
      </c>
      <c r="K251" t="n">
        <v>83.17759431791859</v>
      </c>
      <c r="L251">
        <f>(J251-Diagramm_Tmin)/Diagramm_dT+1</f>
        <v/>
      </c>
      <c r="M251">
        <f>IF(J251="","",IF(J251&lt;Zoom_Tmin,NA(),(J251-Zoom_Tmin)/Diagramm_dT+1))</f>
        <v/>
      </c>
      <c r="N251">
        <f>IF(J251="","",IF(J251&lt;Zoom2_Tmin,NA(),(J251-Zoom2_Tmin)/Diagramm_dT+1))</f>
        <v/>
      </c>
      <c r="P251" t="n">
        <v>73.77298373446752</v>
      </c>
      <c r="Q251" t="n">
        <v>0</v>
      </c>
      <c r="R251" t="n">
        <v>176.2270162655325</v>
      </c>
    </row>
    <row r="252">
      <c r="B252" t="n">
        <v>42</v>
      </c>
      <c r="C252">
        <f>IF(MOD(B252,20)=0,TEXT(B252,"0"),"")</f>
        <v/>
      </c>
      <c r="D252" t="n">
        <v>81.45505572191325</v>
      </c>
      <c r="E252" t="n">
        <v>0</v>
      </c>
      <c r="F252" t="n">
        <v>168.5449442780867</v>
      </c>
      <c r="G252" t="n">
        <v>0</v>
      </c>
      <c r="H252" t="n">
        <v>0</v>
      </c>
      <c r="J252" t="n">
        <v>-11</v>
      </c>
      <c r="K252" t="n">
        <v>44.70545867272649</v>
      </c>
      <c r="L252">
        <f>(J252-Diagramm_Tmin)/Diagramm_dT+1</f>
        <v/>
      </c>
      <c r="M252">
        <f>IF(J252="","",IF(J252&lt;Zoom_Tmin,NA(),(J252-Zoom_Tmin)/Diagramm_dT+1))</f>
        <v/>
      </c>
      <c r="N252">
        <f>IF(J252="","",IF(J252&lt;Zoom2_Tmin,NA(),(J252-Zoom2_Tmin)/Diagramm_dT+1))</f>
        <v/>
      </c>
      <c r="P252" t="n">
        <v>73.77298373446752</v>
      </c>
      <c r="Q252" t="n">
        <v>0</v>
      </c>
      <c r="R252" t="n">
        <v>176.2270162655325</v>
      </c>
    </row>
    <row r="253">
      <c r="B253" t="n">
        <v>42.5</v>
      </c>
      <c r="C253">
        <f>IF(MOD(B253,20)=0,TEXT(B253,"0"),"")</f>
        <v/>
      </c>
      <c r="D253" t="n">
        <v>81.45505572191325</v>
      </c>
      <c r="E253" t="n">
        <v>0</v>
      </c>
      <c r="F253" t="n">
        <v>168.5449442780867</v>
      </c>
      <c r="G253" t="n">
        <v>0</v>
      </c>
      <c r="H253" t="n">
        <v>0</v>
      </c>
      <c r="J253" t="n">
        <v>29</v>
      </c>
      <c r="K253" t="n">
        <v>100</v>
      </c>
      <c r="L253">
        <f>(J253-Diagramm_Tmin)/Diagramm_dT+1</f>
        <v/>
      </c>
      <c r="M253">
        <f>IF(J253="","",IF(J253&lt;Zoom_Tmin,NA(),(J253-Zoom_Tmin)/Diagramm_dT+1))</f>
        <v/>
      </c>
      <c r="N253">
        <f>IF(J253="","",IF(J253&lt;Zoom2_Tmin,NA(),(J253-Zoom2_Tmin)/Diagramm_dT+1))</f>
        <v/>
      </c>
      <c r="P253" t="n">
        <v>73.77298373446752</v>
      </c>
      <c r="Q253" t="n">
        <v>0</v>
      </c>
      <c r="R253" t="n">
        <v>176.2270162655325</v>
      </c>
    </row>
    <row r="254">
      <c r="B254" t="n">
        <v>43</v>
      </c>
      <c r="C254">
        <f>IF(MOD(B254,20)=0,TEXT(B254,"0"),"")</f>
        <v/>
      </c>
      <c r="D254" t="n">
        <v>81.45505572191325</v>
      </c>
      <c r="E254" t="n">
        <v>0</v>
      </c>
      <c r="F254" t="n">
        <v>168.5449442780867</v>
      </c>
      <c r="G254" t="n">
        <v>0</v>
      </c>
      <c r="H254" t="n">
        <v>0</v>
      </c>
      <c r="M254">
        <f>IF(J254="","",IF(J254&lt;Zoom_Tmin,NA(),(J254-Zoom_Tmin)/Diagramm_dT+1))</f>
        <v/>
      </c>
      <c r="N254">
        <f>IF(J254="","",IF(J254&lt;Zoom2_Tmin,NA(),(J254-Zoom2_Tmin)/Diagramm_dT+1))</f>
        <v/>
      </c>
      <c r="P254" t="n">
        <v>73.77298373446752</v>
      </c>
      <c r="Q254" t="n">
        <v>0</v>
      </c>
      <c r="R254" t="n">
        <v>176.2270162655325</v>
      </c>
    </row>
    <row r="255">
      <c r="B255" t="n">
        <v>43.5</v>
      </c>
      <c r="C255">
        <f>IF(MOD(B255,20)=0,TEXT(B255,"0"),"")</f>
        <v/>
      </c>
      <c r="D255" t="n">
        <v>81.45505572191325</v>
      </c>
      <c r="E255" t="n">
        <v>0</v>
      </c>
      <c r="F255" t="n">
        <v>168.5449442780867</v>
      </c>
      <c r="G255" t="n">
        <v>0</v>
      </c>
      <c r="H255" t="n">
        <v>0</v>
      </c>
      <c r="M255">
        <f>IF(J255="","",IF(J255&lt;Zoom_Tmin,NA(),(J255-Zoom_Tmin)/Diagramm_dT+1))</f>
        <v/>
      </c>
      <c r="N255">
        <f>IF(J255="","",IF(J255&lt;Zoom2_Tmin,NA(),(J255-Zoom2_Tmin)/Diagramm_dT+1))</f>
        <v/>
      </c>
      <c r="P255" t="n">
        <v>73.77298373446752</v>
      </c>
      <c r="Q255" t="n">
        <v>0</v>
      </c>
      <c r="R255" t="n">
        <v>176.2270162655325</v>
      </c>
    </row>
    <row r="256">
      <c r="B256" t="n">
        <v>44</v>
      </c>
      <c r="C256">
        <f>IF(MOD(B256,20)=0,TEXT(B256,"0"),"")</f>
        <v/>
      </c>
      <c r="D256" t="n">
        <v>81.45505572191325</v>
      </c>
      <c r="E256" t="n">
        <v>0</v>
      </c>
      <c r="F256" t="n">
        <v>168.5449442780867</v>
      </c>
      <c r="G256" t="n">
        <v>0</v>
      </c>
      <c r="H256" t="n">
        <v>0</v>
      </c>
      <c r="I256" s="76" t="inlineStr">
        <is>
          <t>Sättigungslinie reines CO₂ (Vergleich)</t>
        </is>
      </c>
      <c r="J256" t="n">
        <v>-56.55799999999996</v>
      </c>
      <c r="K256" t="n">
        <v>5.179643433349451</v>
      </c>
      <c r="L256">
        <f>(J256-Diagramm_Tmin)/Diagramm_dT+1</f>
        <v/>
      </c>
      <c r="M256">
        <f>IF(J256="","",IF(J256&lt;Zoom_Tmin,NA(),(J256-Zoom_Tmin)/Diagramm_dT+1))</f>
        <v/>
      </c>
      <c r="N256">
        <f>IF(J256="","",IF(J256&lt;Zoom2_Tmin,NA(),(J256-Zoom2_Tmin)/Diagramm_dT+1))</f>
        <v/>
      </c>
      <c r="P256" t="n">
        <v>73.77298373446752</v>
      </c>
      <c r="Q256" t="n">
        <v>0</v>
      </c>
      <c r="R256" t="n">
        <v>176.2270162655325</v>
      </c>
    </row>
    <row r="257">
      <c r="B257" t="n">
        <v>44.5</v>
      </c>
      <c r="C257">
        <f>IF(MOD(B257,20)=0,TEXT(B257,"0"),"")</f>
        <v/>
      </c>
      <c r="D257" t="n">
        <v>81.45505572191325</v>
      </c>
      <c r="E257" t="n">
        <v>0</v>
      </c>
      <c r="F257" t="n">
        <v>168.5449442780867</v>
      </c>
      <c r="G257" t="n">
        <v>0</v>
      </c>
      <c r="H257" t="n">
        <v>0</v>
      </c>
      <c r="J257" t="n">
        <v>-54.36961999992545</v>
      </c>
      <c r="K257" t="n">
        <v>5.690561898357319</v>
      </c>
      <c r="L257">
        <f>(J257-Diagramm_Tmin)/Diagramm_dT+1</f>
        <v/>
      </c>
      <c r="M257">
        <f>IF(J257="","",IF(J257&lt;Zoom_Tmin,NA(),(J257-Zoom_Tmin)/Diagramm_dT+1))</f>
        <v/>
      </c>
      <c r="N257">
        <f>IF(J257="","",IF(J257&lt;Zoom2_Tmin,NA(),(J257-Zoom2_Tmin)/Diagramm_dT+1))</f>
        <v/>
      </c>
      <c r="P257" t="n">
        <v>73.77298373446752</v>
      </c>
      <c r="Q257" t="n">
        <v>0</v>
      </c>
      <c r="R257" t="n">
        <v>176.2270162655325</v>
      </c>
    </row>
    <row r="258">
      <c r="B258" t="n">
        <v>45</v>
      </c>
      <c r="C258">
        <f>IF(MOD(B258,20)=0,TEXT(B258,"0"),"")</f>
        <v/>
      </c>
      <c r="D258" t="n">
        <v>81.45505572191325</v>
      </c>
      <c r="E258" t="n">
        <v>0</v>
      </c>
      <c r="F258" t="n">
        <v>168.5449442780867</v>
      </c>
      <c r="G258" t="n">
        <v>0</v>
      </c>
      <c r="H258" t="n">
        <v>0</v>
      </c>
      <c r="J258" t="n">
        <v>-52.18123999985093</v>
      </c>
      <c r="K258" t="n">
        <v>6.238592572564612</v>
      </c>
      <c r="L258">
        <f>(J258-Diagramm_Tmin)/Diagramm_dT+1</f>
        <v/>
      </c>
      <c r="M258">
        <f>IF(J258="","",IF(J258&lt;Zoom_Tmin,NA(),(J258-Zoom_Tmin)/Diagramm_dT+1))</f>
        <v/>
      </c>
      <c r="N258">
        <f>IF(J258="","",IF(J258&lt;Zoom2_Tmin,NA(),(J258-Zoom2_Tmin)/Diagramm_dT+1))</f>
        <v/>
      </c>
      <c r="P258" t="n">
        <v>73.77298373446752</v>
      </c>
      <c r="Q258" t="n">
        <v>0</v>
      </c>
      <c r="R258" t="n">
        <v>176.2270162655325</v>
      </c>
    </row>
    <row r="259">
      <c r="B259" t="n">
        <v>45.5</v>
      </c>
      <c r="C259">
        <f>IF(MOD(B259,20)=0,TEXT(B259,"0"),"")</f>
        <v/>
      </c>
      <c r="D259" t="n">
        <v>81.45505572191325</v>
      </c>
      <c r="E259" t="n">
        <v>0</v>
      </c>
      <c r="F259" t="n">
        <v>168.5449442780867</v>
      </c>
      <c r="G259" t="n">
        <v>0</v>
      </c>
      <c r="H259" t="n">
        <v>0</v>
      </c>
      <c r="J259" t="n">
        <v>-49.99285999977641</v>
      </c>
      <c r="K259" t="n">
        <v>6.825395560929695</v>
      </c>
      <c r="L259">
        <f>(J259-Diagramm_Tmin)/Diagramm_dT+1</f>
        <v/>
      </c>
      <c r="M259">
        <f>IF(J259="","",IF(J259&lt;Zoom_Tmin,NA(),(J259-Zoom_Tmin)/Diagramm_dT+1))</f>
        <v/>
      </c>
      <c r="N259">
        <f>IF(J259="","",IF(J259&lt;Zoom2_Tmin,NA(),(J259-Zoom2_Tmin)/Diagramm_dT+1))</f>
        <v/>
      </c>
      <c r="P259" t="n">
        <v>73.77298373446752</v>
      </c>
      <c r="Q259" t="n">
        <v>0</v>
      </c>
      <c r="R259" t="n">
        <v>176.2270162655325</v>
      </c>
    </row>
    <row r="260">
      <c r="B260" t="n">
        <v>46</v>
      </c>
      <c r="C260">
        <f>IF(MOD(B260,20)=0,TEXT(B260,"0"),"")</f>
        <v/>
      </c>
      <c r="D260" t="n">
        <v>81.45505572191325</v>
      </c>
      <c r="E260" t="n">
        <v>0</v>
      </c>
      <c r="F260" t="n">
        <v>168.5449442780867</v>
      </c>
      <c r="G260" t="n">
        <v>0</v>
      </c>
      <c r="H260" t="n">
        <v>0</v>
      </c>
      <c r="J260" t="n">
        <v>-47.8044799997019</v>
      </c>
      <c r="K260" t="n">
        <v>7.452652174898</v>
      </c>
      <c r="L260">
        <f>(J260-Diagramm_Tmin)/Diagramm_dT+1</f>
        <v/>
      </c>
      <c r="M260">
        <f>IF(J260="","",IF(J260&lt;Zoom_Tmin,NA(),(J260-Zoom_Tmin)/Diagramm_dT+1))</f>
        <v/>
      </c>
      <c r="N260">
        <f>IF(J260="","",IF(J260&lt;Zoom2_Tmin,NA(),(J260-Zoom2_Tmin)/Diagramm_dT+1))</f>
        <v/>
      </c>
      <c r="P260" t="n">
        <v>73.77298373446752</v>
      </c>
      <c r="Q260" t="n">
        <v>0</v>
      </c>
      <c r="R260" t="n">
        <v>176.2270162655325</v>
      </c>
    </row>
    <row r="261">
      <c r="B261" t="n">
        <v>46.5</v>
      </c>
      <c r="C261">
        <f>IF(MOD(B261,20)=0,TEXT(B261,"0"),"")</f>
        <v/>
      </c>
      <c r="D261" t="n">
        <v>81.45505572191325</v>
      </c>
      <c r="E261" t="n">
        <v>0</v>
      </c>
      <c r="F261" t="n">
        <v>168.5449442780867</v>
      </c>
      <c r="G261" t="n">
        <v>0</v>
      </c>
      <c r="H261" t="n">
        <v>0</v>
      </c>
      <c r="J261" t="n">
        <v>-45.61609999962738</v>
      </c>
      <c r="K261" t="n">
        <v>8.122064366231024</v>
      </c>
      <c r="L261">
        <f>(J261-Diagramm_Tmin)/Diagramm_dT+1</f>
        <v/>
      </c>
      <c r="M261">
        <f>IF(J261="","",IF(J261&lt;Zoom_Tmin,NA(),(J261-Zoom_Tmin)/Diagramm_dT+1))</f>
        <v/>
      </c>
      <c r="N261">
        <f>IF(J261="","",IF(J261&lt;Zoom2_Tmin,NA(),(J261-Zoom2_Tmin)/Diagramm_dT+1))</f>
        <v/>
      </c>
      <c r="P261" t="n">
        <v>73.77298373446752</v>
      </c>
      <c r="Q261" t="n">
        <v>0</v>
      </c>
      <c r="R261" t="n">
        <v>176.2270162655325</v>
      </c>
    </row>
    <row r="262">
      <c r="B262" t="n">
        <v>47</v>
      </c>
      <c r="C262">
        <f>IF(MOD(B262,20)=0,TEXT(B262,"0"),"")</f>
        <v/>
      </c>
      <c r="D262" t="n">
        <v>81.45505572191325</v>
      </c>
      <c r="E262" t="n">
        <v>0</v>
      </c>
      <c r="F262" t="n">
        <v>168.5449442780867</v>
      </c>
      <c r="G262" t="n">
        <v>0</v>
      </c>
      <c r="H262" t="n">
        <v>0</v>
      </c>
      <c r="J262" t="n">
        <v>-43.42771999955286</v>
      </c>
      <c r="K262" t="n">
        <v>8.835354320213177</v>
      </c>
      <c r="L262">
        <f>(J262-Diagramm_Tmin)/Diagramm_dT+1</f>
        <v/>
      </c>
      <c r="M262">
        <f>IF(J262="","",IF(J262&lt;Zoom_Tmin,NA(),(J262-Zoom_Tmin)/Diagramm_dT+1))</f>
        <v/>
      </c>
      <c r="N262">
        <f>IF(J262="","",IF(J262&lt;Zoom2_Tmin,NA(),(J262-Zoom2_Tmin)/Diagramm_dT+1))</f>
        <v/>
      </c>
      <c r="P262" t="n">
        <v>73.77298373446752</v>
      </c>
      <c r="Q262" t="n">
        <v>0</v>
      </c>
      <c r="R262" t="n">
        <v>176.2270162655325</v>
      </c>
    </row>
    <row r="263">
      <c r="B263" t="n">
        <v>47.5</v>
      </c>
      <c r="C263">
        <f>IF(MOD(B263,20)=0,TEXT(B263,"0"),"")</f>
        <v/>
      </c>
      <c r="D263" t="n">
        <v>81.45505572191325</v>
      </c>
      <c r="E263" t="n">
        <v>0</v>
      </c>
      <c r="F263" t="n">
        <v>168.5449442780867</v>
      </c>
      <c r="G263" t="n">
        <v>0</v>
      </c>
      <c r="H263" t="n">
        <v>0</v>
      </c>
      <c r="J263" t="n">
        <v>-41.23933999947835</v>
      </c>
      <c r="K263" t="n">
        <v>9.594264219149419</v>
      </c>
      <c r="L263">
        <f>(J263-Diagramm_Tmin)/Diagramm_dT+1</f>
        <v/>
      </c>
      <c r="M263">
        <f>IF(J263="","",IF(J263&lt;Zoom_Tmin,NA(),(J263-Zoom_Tmin)/Diagramm_dT+1))</f>
        <v/>
      </c>
      <c r="N263">
        <f>IF(J263="","",IF(J263&lt;Zoom2_Tmin,NA(),(J263-Zoom2_Tmin)/Diagramm_dT+1))</f>
        <v/>
      </c>
      <c r="P263" t="n">
        <v>73.77298373446752</v>
      </c>
      <c r="Q263" t="n">
        <v>0</v>
      </c>
      <c r="R263" t="n">
        <v>176.2270162655325</v>
      </c>
    </row>
    <row r="264">
      <c r="B264" t="n">
        <v>48</v>
      </c>
      <c r="C264">
        <f>IF(MOD(B264,20)=0,TEXT(B264,"0"),"")</f>
        <v/>
      </c>
      <c r="D264" t="n">
        <v>81.45505572191325</v>
      </c>
      <c r="E264" t="n">
        <v>0</v>
      </c>
      <c r="F264" t="n">
        <v>168.5449442780867</v>
      </c>
      <c r="G264" t="n">
        <v>0</v>
      </c>
      <c r="H264" t="n">
        <v>0</v>
      </c>
      <c r="J264" t="n">
        <v>-39.05095999940383</v>
      </c>
      <c r="K264" t="n">
        <v>10.40055618384503</v>
      </c>
      <c r="L264">
        <f>(J264-Diagramm_Tmin)/Diagramm_dT+1</f>
        <v/>
      </c>
      <c r="M264">
        <f>IF(J264="","",IF(J264&lt;Zoom_Tmin,NA(),(J264-Zoom_Tmin)/Diagramm_dT+1))</f>
        <v/>
      </c>
      <c r="N264">
        <f>IF(J264="","",IF(J264&lt;Zoom2_Tmin,NA(),(J264-Zoom2_Tmin)/Diagramm_dT+1))</f>
        <v/>
      </c>
      <c r="P264" t="n">
        <v>73.77298373446752</v>
      </c>
      <c r="Q264" t="n">
        <v>0</v>
      </c>
      <c r="R264" t="n">
        <v>176.2270162655325</v>
      </c>
    </row>
    <row r="265">
      <c r="B265" t="n">
        <v>48.5</v>
      </c>
      <c r="C265">
        <f>IF(MOD(B265,20)=0,TEXT(B265,"0"),"")</f>
        <v/>
      </c>
      <c r="D265" t="n">
        <v>81.45505572191325</v>
      </c>
      <c r="E265" t="n">
        <v>0</v>
      </c>
      <c r="F265" t="n">
        <v>168.5449442780867</v>
      </c>
      <c r="G265" t="n">
        <v>0</v>
      </c>
      <c r="H265" t="n">
        <v>0</v>
      </c>
      <c r="J265" t="n">
        <v>-36.86257999932931</v>
      </c>
      <c r="K265" t="n">
        <v>11.25601239580124</v>
      </c>
      <c r="L265">
        <f>(J265-Diagramm_Tmin)/Diagramm_dT+1</f>
        <v/>
      </c>
      <c r="M265">
        <f>IF(J265="","",IF(J265&lt;Zoom_Tmin,NA(),(J265-Zoom_Tmin)/Diagramm_dT+1))</f>
        <v/>
      </c>
      <c r="N265">
        <f>IF(J265="","",IF(J265&lt;Zoom2_Tmin,NA(),(J265-Zoom2_Tmin)/Diagramm_dT+1))</f>
        <v/>
      </c>
      <c r="P265" t="n">
        <v>73.77298373446752</v>
      </c>
      <c r="Q265" t="n">
        <v>0</v>
      </c>
      <c r="R265" t="n">
        <v>176.2270162655325</v>
      </c>
    </row>
    <row r="266">
      <c r="B266" t="n">
        <v>49</v>
      </c>
      <c r="C266">
        <f>IF(MOD(B266,20)=0,TEXT(B266,"0"),"")</f>
        <v/>
      </c>
      <c r="D266" t="n">
        <v>81.45505572191325</v>
      </c>
      <c r="E266" t="n">
        <v>0</v>
      </c>
      <c r="F266" t="n">
        <v>168.5449442780867</v>
      </c>
      <c r="G266" t="n">
        <v>0</v>
      </c>
      <c r="H266" t="n">
        <v>0</v>
      </c>
      <c r="J266" t="n">
        <v>-34.6741999992548</v>
      </c>
      <c r="K266" t="n">
        <v>12.16243539900864</v>
      </c>
      <c r="L266">
        <f>(J266-Diagramm_Tmin)/Diagramm_dT+1</f>
        <v/>
      </c>
      <c r="M266">
        <f>IF(J266="","",IF(J266&lt;Zoom_Tmin,NA(),(J266-Zoom_Tmin)/Diagramm_dT+1))</f>
        <v/>
      </c>
      <c r="N266">
        <f>IF(J266="","",IF(J266&lt;Zoom2_Tmin,NA(),(J266-Zoom2_Tmin)/Diagramm_dT+1))</f>
        <v/>
      </c>
      <c r="P266" t="n">
        <v>73.77298373446752</v>
      </c>
      <c r="Q266" t="n">
        <v>0</v>
      </c>
      <c r="R266" t="n">
        <v>176.2270162655325</v>
      </c>
    </row>
    <row r="267">
      <c r="B267" t="n">
        <v>49.5</v>
      </c>
      <c r="C267">
        <f>IF(MOD(B267,20)=0,TEXT(B267,"0"),"")</f>
        <v/>
      </c>
      <c r="D267" t="n">
        <v>81.45505572191325</v>
      </c>
      <c r="E267" t="n">
        <v>0</v>
      </c>
      <c r="F267" t="n">
        <v>168.5449442780867</v>
      </c>
      <c r="G267" t="n">
        <v>0</v>
      </c>
      <c r="H267" t="n">
        <v>0</v>
      </c>
      <c r="J267" t="n">
        <v>-32.48581999918028</v>
      </c>
      <c r="K267" t="n">
        <v>13.12164858209297</v>
      </c>
      <c r="L267">
        <f>(J267-Diagramm_Tmin)/Diagramm_dT+1</f>
        <v/>
      </c>
      <c r="M267">
        <f>IF(J267="","",IF(J267&lt;Zoom_Tmin,NA(),(J267-Zoom_Tmin)/Diagramm_dT+1))</f>
        <v/>
      </c>
      <c r="N267">
        <f>IF(J267="","",IF(J267&lt;Zoom2_Tmin,NA(),(J267-Zoom2_Tmin)/Diagramm_dT+1))</f>
        <v/>
      </c>
      <c r="P267" t="n">
        <v>73.77298373446752</v>
      </c>
      <c r="Q267" t="n">
        <v>0</v>
      </c>
      <c r="R267" t="n">
        <v>176.2270162655325</v>
      </c>
    </row>
    <row r="268">
      <c r="B268" t="n">
        <v>50</v>
      </c>
      <c r="C268">
        <f>IF(MOD(B268,20)=0,TEXT(B268,"0"),"")</f>
        <v/>
      </c>
      <c r="D268" t="n">
        <v>81.45505572191325</v>
      </c>
      <c r="E268" t="n">
        <v>0</v>
      </c>
      <c r="F268" t="n">
        <v>168.5449442780867</v>
      </c>
      <c r="G268" t="n">
        <v>0</v>
      </c>
      <c r="H268" t="n">
        <v>0</v>
      </c>
      <c r="J268" t="n">
        <v>-30.29743999910576</v>
      </c>
      <c r="K268" t="n">
        <v>14.13549685310051</v>
      </c>
      <c r="L268">
        <f>(J268-Diagramm_Tmin)/Diagramm_dT+1</f>
        <v/>
      </c>
      <c r="M268">
        <f>IF(J268="","",IF(J268&lt;Zoom_Tmin,NA(),(J268-Zoom_Tmin)/Diagramm_dT+1))</f>
        <v/>
      </c>
      <c r="N268">
        <f>IF(J268="","",IF(J268&lt;Zoom2_Tmin,NA(),(J268-Zoom2_Tmin)/Diagramm_dT+1))</f>
        <v/>
      </c>
      <c r="P268" t="n">
        <v>73.77298373446752</v>
      </c>
      <c r="Q268" t="n">
        <v>0</v>
      </c>
      <c r="R268" t="n">
        <v>176.2270162655325</v>
      </c>
    </row>
    <row r="269">
      <c r="B269" t="n">
        <v>50.5</v>
      </c>
      <c r="C269">
        <f>IF(MOD(B269,20)=0,TEXT(B269,"0"),"")</f>
        <v/>
      </c>
      <c r="D269" t="n">
        <v>81.45505572191325</v>
      </c>
      <c r="E269" t="n">
        <v>0</v>
      </c>
      <c r="F269" t="n">
        <v>168.5449442780867</v>
      </c>
      <c r="G269" t="n">
        <v>0</v>
      </c>
      <c r="H269" t="n">
        <v>0</v>
      </c>
      <c r="J269" t="n">
        <v>-28.10905999903125</v>
      </c>
      <c r="K269" t="n">
        <v>15.20584754049065</v>
      </c>
      <c r="L269">
        <f>(J269-Diagramm_Tmin)/Diagramm_dT+1</f>
        <v/>
      </c>
      <c r="M269">
        <f>IF(J269="","",IF(J269&lt;Zoom_Tmin,NA(),(J269-Zoom_Tmin)/Diagramm_dT+1))</f>
        <v/>
      </c>
      <c r="N269">
        <f>IF(J269="","",IF(J269&lt;Zoom2_Tmin,NA(),(J269-Zoom2_Tmin)/Diagramm_dT+1))</f>
        <v/>
      </c>
      <c r="P269" t="n">
        <v>73.77298373446752</v>
      </c>
      <c r="Q269" t="n">
        <v>0</v>
      </c>
      <c r="R269" t="n">
        <v>176.2270162655325</v>
      </c>
    </row>
    <row r="270">
      <c r="B270" t="n">
        <v>51</v>
      </c>
      <c r="C270">
        <f>IF(MOD(B270,20)=0,TEXT(B270,"0"),"")</f>
        <v/>
      </c>
      <c r="D270" t="n">
        <v>81.45505572191325</v>
      </c>
      <c r="E270" t="n">
        <v>0</v>
      </c>
      <c r="F270" t="n">
        <v>168.5449442780867</v>
      </c>
      <c r="G270" t="n">
        <v>0</v>
      </c>
      <c r="H270" t="n">
        <v>0</v>
      </c>
      <c r="J270" t="n">
        <v>-25.9206799989567</v>
      </c>
      <c r="K270" t="n">
        <v>16.33459157969481</v>
      </c>
      <c r="L270">
        <f>(J270-Diagramm_Tmin)/Diagramm_dT+1</f>
        <v/>
      </c>
      <c r="M270">
        <f>IF(J270="","",IF(J270&lt;Zoom_Tmin,NA(),(J270-Zoom_Tmin)/Diagramm_dT+1))</f>
        <v/>
      </c>
      <c r="N270">
        <f>IF(J270="","",IF(J270&lt;Zoom2_Tmin,NA(),(J270-Zoom2_Tmin)/Diagramm_dT+1))</f>
        <v/>
      </c>
      <c r="P270" t="n">
        <v>73.77298373446752</v>
      </c>
      <c r="Q270" t="n">
        <v>0</v>
      </c>
      <c r="R270" t="n">
        <v>176.2270162655325</v>
      </c>
    </row>
    <row r="271">
      <c r="B271" t="n">
        <v>51.5</v>
      </c>
      <c r="C271">
        <f>IF(MOD(B271,20)=0,TEXT(B271,"0"),"")</f>
        <v/>
      </c>
      <c r="D271" t="n">
        <v>81.45505572191325</v>
      </c>
      <c r="E271" t="n">
        <v>0</v>
      </c>
      <c r="F271" t="n">
        <v>168.5449442780867</v>
      </c>
      <c r="G271" t="n">
        <v>0</v>
      </c>
      <c r="H271" t="n">
        <v>0</v>
      </c>
      <c r="J271" t="n">
        <v>-23.73229999888218</v>
      </c>
      <c r="K271" t="n">
        <v>17.52364506618673</v>
      </c>
      <c r="L271">
        <f>(J271-Diagramm_Tmin)/Diagramm_dT+1</f>
        <v/>
      </c>
      <c r="M271">
        <f>IF(J271="","",IF(J271&lt;Zoom_Tmin,NA(),(J271-Zoom_Tmin)/Diagramm_dT+1))</f>
        <v/>
      </c>
      <c r="N271">
        <f>IF(J271="","",IF(J271&lt;Zoom2_Tmin,NA(),(J271-Zoom2_Tmin)/Diagramm_dT+1))</f>
        <v/>
      </c>
      <c r="P271" t="n">
        <v>73.77298373446752</v>
      </c>
      <c r="Q271" t="n">
        <v>0</v>
      </c>
      <c r="R271" t="n">
        <v>176.2270162655325</v>
      </c>
    </row>
    <row r="272">
      <c r="B272" t="n">
        <v>52</v>
      </c>
      <c r="C272">
        <f>IF(MOD(B272,20)=0,TEXT(B272,"0"),"")</f>
        <v/>
      </c>
      <c r="D272" t="n">
        <v>81.45505572191325</v>
      </c>
      <c r="E272" t="n">
        <v>0</v>
      </c>
      <c r="F272" t="n">
        <v>168.5449442780867</v>
      </c>
      <c r="G272" t="n">
        <v>0</v>
      </c>
      <c r="H272" t="n">
        <v>0</v>
      </c>
      <c r="J272" t="n">
        <v>-21.54391999880767</v>
      </c>
      <c r="K272" t="n">
        <v>18.77495126559353</v>
      </c>
      <c r="L272">
        <f>(J272-Diagramm_Tmin)/Diagramm_dT+1</f>
        <v/>
      </c>
      <c r="M272">
        <f>IF(J272="","",IF(J272&lt;Zoom_Tmin,NA(),(J272-Zoom_Tmin)/Diagramm_dT+1))</f>
        <v/>
      </c>
      <c r="N272">
        <f>IF(J272="","",IF(J272&lt;Zoom2_Tmin,NA(),(J272-Zoom2_Tmin)/Diagramm_dT+1))</f>
        <v/>
      </c>
      <c r="P272" t="n">
        <v>73.77298373446752</v>
      </c>
      <c r="Q272" t="n">
        <v>0</v>
      </c>
      <c r="R272" t="n">
        <v>176.2270162655325</v>
      </c>
    </row>
    <row r="273">
      <c r="B273" t="n">
        <v>52.5</v>
      </c>
      <c r="C273">
        <f>IF(MOD(B273,20)=0,TEXT(B273,"0"),"")</f>
        <v/>
      </c>
      <c r="D273" t="n">
        <v>81.45505572191325</v>
      </c>
      <c r="E273" t="n">
        <v>0</v>
      </c>
      <c r="F273" t="n">
        <v>168.5449442780867</v>
      </c>
      <c r="G273" t="n">
        <v>0</v>
      </c>
      <c r="H273" t="n">
        <v>0</v>
      </c>
      <c r="J273" t="n">
        <v>-19.35553999873315</v>
      </c>
      <c r="K273" t="n">
        <v>20.09048316632229</v>
      </c>
      <c r="L273">
        <f>(J273-Diagramm_Tmin)/Diagramm_dT+1</f>
        <v/>
      </c>
      <c r="M273">
        <f>IF(J273="","",IF(J273&lt;Zoom_Tmin,NA(),(J273-Zoom_Tmin)/Diagramm_dT+1))</f>
        <v/>
      </c>
      <c r="N273">
        <f>IF(J273="","",IF(J273&lt;Zoom2_Tmin,NA(),(J273-Zoom2_Tmin)/Diagramm_dT+1))</f>
        <v/>
      </c>
      <c r="P273" t="n">
        <v>73.77298373446752</v>
      </c>
      <c r="Q273" t="n">
        <v>0</v>
      </c>
      <c r="R273" t="n">
        <v>176.2270162655325</v>
      </c>
    </row>
    <row r="274">
      <c r="B274" t="n">
        <v>53</v>
      </c>
      <c r="C274">
        <f>IF(MOD(B274,20)=0,TEXT(B274,"0"),"")</f>
        <v/>
      </c>
      <c r="D274" t="n">
        <v>81.45505572191325</v>
      </c>
      <c r="E274" t="n">
        <v>0</v>
      </c>
      <c r="F274" t="n">
        <v>168.5449442780867</v>
      </c>
      <c r="G274" t="n">
        <v>0</v>
      </c>
      <c r="H274" t="n">
        <v>0</v>
      </c>
      <c r="J274" t="n">
        <v>-17.16715999865863</v>
      </c>
      <c r="K274" t="n">
        <v>21.47224664453438</v>
      </c>
      <c r="L274">
        <f>(J274-Diagramm_Tmin)/Diagramm_dT+1</f>
        <v/>
      </c>
      <c r="M274">
        <f>IF(J274="","",IF(J274&lt;Zoom_Tmin,NA(),(J274-Zoom_Tmin)/Diagramm_dT+1))</f>
        <v/>
      </c>
      <c r="N274">
        <f>IF(J274="","",IF(J274&lt;Zoom2_Tmin,NA(),(J274-Zoom2_Tmin)/Diagramm_dT+1))</f>
        <v/>
      </c>
      <c r="P274" t="n">
        <v>73.77298373446752</v>
      </c>
      <c r="Q274" t="n">
        <v>0</v>
      </c>
      <c r="R274" t="n">
        <v>176.2270162655325</v>
      </c>
    </row>
    <row r="275">
      <c r="B275" t="n">
        <v>53.5</v>
      </c>
      <c r="C275">
        <f>IF(MOD(B275,20)=0,TEXT(B275,"0"),"")</f>
        <v/>
      </c>
      <c r="D275" t="n">
        <v>81.45505572191325</v>
      </c>
      <c r="E275" t="n">
        <v>0</v>
      </c>
      <c r="F275" t="n">
        <v>168.5449442780867</v>
      </c>
      <c r="G275" t="n">
        <v>0</v>
      </c>
      <c r="H275" t="n">
        <v>0</v>
      </c>
      <c r="J275" t="n">
        <v>-14.97877999858412</v>
      </c>
      <c r="K275" t="n">
        <v>22.92228429401924</v>
      </c>
      <c r="L275">
        <f>(J275-Diagramm_Tmin)/Diagramm_dT+1</f>
        <v/>
      </c>
      <c r="M275">
        <f>IF(J275="","",IF(J275&lt;Zoom_Tmin,NA(),(J275-Zoom_Tmin)/Diagramm_dT+1))</f>
        <v/>
      </c>
      <c r="N275">
        <f>IF(J275="","",IF(J275&lt;Zoom2_Tmin,NA(),(J275-Zoom2_Tmin)/Diagramm_dT+1))</f>
        <v/>
      </c>
      <c r="P275" t="n">
        <v>73.77298373446752</v>
      </c>
      <c r="Q275" t="n">
        <v>0</v>
      </c>
      <c r="R275" t="n">
        <v>176.2270162655325</v>
      </c>
    </row>
    <row r="276">
      <c r="B276" t="n">
        <v>54</v>
      </c>
      <c r="C276">
        <f>IF(MOD(B276,20)=0,TEXT(B276,"0"),"")</f>
        <v/>
      </c>
      <c r="D276" t="n">
        <v>81.45505572191325</v>
      </c>
      <c r="E276" t="n">
        <v>0</v>
      </c>
      <c r="F276" t="n">
        <v>168.5449442780867</v>
      </c>
      <c r="G276" t="n">
        <v>0</v>
      </c>
      <c r="H276" t="n">
        <v>0</v>
      </c>
      <c r="J276" t="n">
        <v>-12.7903999985096</v>
      </c>
      <c r="K276" t="n">
        <v>24.44267996504313</v>
      </c>
      <c r="L276">
        <f>(J276-Diagramm_Tmin)/Diagramm_dT+1</f>
        <v/>
      </c>
      <c r="M276">
        <f>IF(J276="","",IF(J276&lt;Zoom_Tmin,NA(),(J276-Zoom_Tmin)/Diagramm_dT+1))</f>
        <v/>
      </c>
      <c r="N276">
        <f>IF(J276="","",IF(J276&lt;Zoom2_Tmin,NA(),(J276-Zoom2_Tmin)/Diagramm_dT+1))</f>
        <v/>
      </c>
      <c r="P276" t="n">
        <v>73.77298373446752</v>
      </c>
      <c r="Q276" t="n">
        <v>0</v>
      </c>
      <c r="R276" t="n">
        <v>176.2270162655325</v>
      </c>
    </row>
    <row r="277">
      <c r="B277" t="n">
        <v>54.5</v>
      </c>
      <c r="C277">
        <f>IF(MOD(B277,20)=0,TEXT(B277,"0"),"")</f>
        <v/>
      </c>
      <c r="D277" t="n">
        <v>81.45505572191325</v>
      </c>
      <c r="E277" t="n">
        <v>0</v>
      </c>
      <c r="F277" t="n">
        <v>168.5449442780867</v>
      </c>
      <c r="G277" t="n">
        <v>0</v>
      </c>
      <c r="H277" t="n">
        <v>0</v>
      </c>
      <c r="J277" t="n">
        <v>-10.60201999843508</v>
      </c>
      <c r="K277" t="n">
        <v>26.03556406565252</v>
      </c>
      <c r="L277">
        <f>(J277-Diagramm_Tmin)/Diagramm_dT+1</f>
        <v/>
      </c>
      <c r="M277">
        <f>IF(J277="","",IF(J277&lt;Zoom_Tmin,NA(),(J277-Zoom_Tmin)/Diagramm_dT+1))</f>
        <v/>
      </c>
      <c r="N277">
        <f>IF(J277="","",IF(J277&lt;Zoom2_Tmin,NA(),(J277-Zoom2_Tmin)/Diagramm_dT+1))</f>
        <v/>
      </c>
      <c r="P277" t="n">
        <v>73.77298373446752</v>
      </c>
      <c r="Q277" t="n">
        <v>0</v>
      </c>
      <c r="R277" t="n">
        <v>176.2270162655325</v>
      </c>
    </row>
    <row r="278">
      <c r="B278" t="n">
        <v>55</v>
      </c>
      <c r="C278">
        <f>IF(MOD(B278,20)=0,TEXT(B278,"0"),"")</f>
        <v/>
      </c>
      <c r="D278" t="n">
        <v>81.45505572191325</v>
      </c>
      <c r="E278" t="n">
        <v>0</v>
      </c>
      <c r="F278" t="n">
        <v>168.5449442780867</v>
      </c>
      <c r="G278" t="n">
        <v>0</v>
      </c>
      <c r="H278" t="n">
        <v>0</v>
      </c>
      <c r="J278" t="n">
        <v>-8.413639998360566</v>
      </c>
      <c r="K278" t="n">
        <v>27.70311971304302</v>
      </c>
      <c r="L278">
        <f>(J278-Diagramm_Tmin)/Diagramm_dT+1</f>
        <v/>
      </c>
      <c r="M278">
        <f>IF(J278="","",IF(J278&lt;Zoom_Tmin,NA(),(J278-Zoom_Tmin)/Diagramm_dT+1))</f>
        <v/>
      </c>
      <c r="N278">
        <f>IF(J278="","",IF(J278&lt;Zoom2_Tmin,NA(),(J278-Zoom2_Tmin)/Diagramm_dT+1))</f>
        <v/>
      </c>
      <c r="P278" t="n">
        <v>73.77298373446752</v>
      </c>
      <c r="Q278" t="n">
        <v>0</v>
      </c>
      <c r="R278" t="n">
        <v>176.2270162655325</v>
      </c>
    </row>
    <row r="279">
      <c r="B279" t="n">
        <v>55.5</v>
      </c>
      <c r="C279">
        <f>IF(MOD(B279,20)=0,TEXT(B279,"0"),"")</f>
        <v/>
      </c>
      <c r="D279" t="n">
        <v>81.45505572191325</v>
      </c>
      <c r="E279" t="n">
        <v>0</v>
      </c>
      <c r="F279" t="n">
        <v>168.5449442780867</v>
      </c>
      <c r="G279" t="n">
        <v>0</v>
      </c>
      <c r="H279" t="n">
        <v>0</v>
      </c>
      <c r="J279" t="n">
        <v>-6.225259998286049</v>
      </c>
      <c r="K279" t="n">
        <v>29.44758988706631</v>
      </c>
      <c r="L279">
        <f>(J279-Diagramm_Tmin)/Diagramm_dT+1</f>
        <v/>
      </c>
      <c r="M279">
        <f>IF(J279="","",IF(J279&lt;Zoom_Tmin,NA(),(J279-Zoom_Tmin)/Diagramm_dT+1))</f>
        <v/>
      </c>
      <c r="N279">
        <f>IF(J279="","",IF(J279&lt;Zoom2_Tmin,NA(),(J279-Zoom2_Tmin)/Diagramm_dT+1))</f>
        <v/>
      </c>
      <c r="P279" t="n">
        <v>73.77298373446752</v>
      </c>
      <c r="Q279" t="n">
        <v>0</v>
      </c>
      <c r="R279" t="n">
        <v>176.2270162655325</v>
      </c>
    </row>
    <row r="280">
      <c r="B280" t="n">
        <v>56</v>
      </c>
      <c r="C280">
        <f>IF(MOD(B280,20)=0,TEXT(B280,"0"),"")</f>
        <v/>
      </c>
      <c r="D280" t="n">
        <v>81.45505572191325</v>
      </c>
      <c r="E280" t="n">
        <v>0</v>
      </c>
      <c r="F280" t="n">
        <v>168.5449442780867</v>
      </c>
      <c r="G280" t="n">
        <v>0</v>
      </c>
      <c r="H280" t="n">
        <v>0</v>
      </c>
      <c r="J280" t="n">
        <v>-4.036879998211532</v>
      </c>
      <c r="K280" t="n">
        <v>31.27128583846298</v>
      </c>
      <c r="L280">
        <f>(J280-Diagramm_Tmin)/Diagramm_dT+1</f>
        <v/>
      </c>
      <c r="M280">
        <f>IF(J280="","",IF(J280&lt;Zoom_Tmin,NA(),(J280-Zoom_Tmin)/Diagramm_dT+1))</f>
        <v/>
      </c>
      <c r="N280">
        <f>IF(J280="","",IF(J280&lt;Zoom2_Tmin,NA(),(J280-Zoom2_Tmin)/Diagramm_dT+1))</f>
        <v/>
      </c>
      <c r="P280" t="n">
        <v>73.77298373446752</v>
      </c>
      <c r="Q280" t="n">
        <v>0</v>
      </c>
      <c r="R280" t="n">
        <v>176.2270162655325</v>
      </c>
    </row>
    <row r="281">
      <c r="B281" t="n">
        <v>56.5</v>
      </c>
      <c r="C281">
        <f>IF(MOD(B281,20)=0,TEXT(B281,"0"),"")</f>
        <v/>
      </c>
      <c r="D281" t="n">
        <v>81.45505572191325</v>
      </c>
      <c r="E281" t="n">
        <v>0</v>
      </c>
      <c r="F281" t="n">
        <v>168.5449442780867</v>
      </c>
      <c r="G281" t="n">
        <v>0</v>
      </c>
      <c r="H281" t="n">
        <v>0</v>
      </c>
      <c r="J281" t="n">
        <v>-1.848499998137015</v>
      </c>
      <c r="K281" t="n">
        <v>33.17659714645595</v>
      </c>
      <c r="L281">
        <f>(J281-Diagramm_Tmin)/Diagramm_dT+1</f>
        <v/>
      </c>
      <c r="M281">
        <f>IF(J281="","",IF(J281&lt;Zoom_Tmin,NA(),(J281-Zoom_Tmin)/Diagramm_dT+1))</f>
        <v/>
      </c>
      <c r="N281">
        <f>IF(J281="","",IF(J281&lt;Zoom2_Tmin,NA(),(J281-Zoom2_Tmin)/Diagramm_dT+1))</f>
        <v/>
      </c>
      <c r="P281" t="n">
        <v>73.77298373446752</v>
      </c>
      <c r="Q281" t="n">
        <v>0</v>
      </c>
      <c r="R281" t="n">
        <v>176.2270162655325</v>
      </c>
    </row>
    <row r="282">
      <c r="B282" t="n">
        <v>57</v>
      </c>
      <c r="C282">
        <f>IF(MOD(B282,20)=0,TEXT(B282,"0"),"")</f>
        <v/>
      </c>
      <c r="D282" t="n">
        <v>81.45505572191325</v>
      </c>
      <c r="E282" t="n">
        <v>0</v>
      </c>
      <c r="F282" t="n">
        <v>168.5449442780867</v>
      </c>
      <c r="G282" t="n">
        <v>0</v>
      </c>
      <c r="H282" t="n">
        <v>0</v>
      </c>
      <c r="J282" t="n">
        <v>0.3398800019375017</v>
      </c>
      <c r="K282" t="n">
        <v>35.16600400447688</v>
      </c>
      <c r="L282">
        <f>(J282-Diagramm_Tmin)/Diagramm_dT+1</f>
        <v/>
      </c>
      <c r="M282">
        <f>IF(J282="","",IF(J282&lt;Zoom_Tmin,NA(),(J282-Zoom_Tmin)/Diagramm_dT+1))</f>
        <v/>
      </c>
      <c r="N282">
        <f>IF(J282="","",IF(J282&lt;Zoom2_Tmin,NA(),(J282-Zoom2_Tmin)/Diagramm_dT+1))</f>
        <v/>
      </c>
      <c r="P282" t="n">
        <v>73.77298373446752</v>
      </c>
      <c r="Q282" t="n">
        <v>0</v>
      </c>
      <c r="R282" t="n">
        <v>176.2270162655325</v>
      </c>
    </row>
    <row r="283">
      <c r="B283" t="n">
        <v>57.5</v>
      </c>
      <c r="C283">
        <f>IF(MOD(B283,20)=0,TEXT(B283,"0"),"")</f>
        <v/>
      </c>
      <c r="D283" t="n">
        <v>81.45505572191325</v>
      </c>
      <c r="E283" t="n">
        <v>0</v>
      </c>
      <c r="F283" t="n">
        <v>168.5449442780867</v>
      </c>
      <c r="G283" t="n">
        <v>0</v>
      </c>
      <c r="H283" t="n">
        <v>0</v>
      </c>
      <c r="J283" t="n">
        <v>2.528260002012019</v>
      </c>
      <c r="K283" t="n">
        <v>37.24209252468288</v>
      </c>
      <c r="L283">
        <f>(J283-Diagramm_Tmin)/Diagramm_dT+1</f>
        <v/>
      </c>
      <c r="M283">
        <f>IF(J283="","",IF(J283&lt;Zoom_Tmin,NA(),(J283-Zoom_Tmin)/Diagramm_dT+1))</f>
        <v/>
      </c>
      <c r="N283">
        <f>IF(J283="","",IF(J283&lt;Zoom2_Tmin,NA(),(J283-Zoom2_Tmin)/Diagramm_dT+1))</f>
        <v/>
      </c>
      <c r="P283" t="n">
        <v>73.77298373446752</v>
      </c>
      <c r="Q283" t="n">
        <v>0</v>
      </c>
      <c r="R283" t="n">
        <v>176.2270162655325</v>
      </c>
    </row>
    <row r="284">
      <c r="B284" t="n">
        <v>58</v>
      </c>
      <c r="C284">
        <f>IF(MOD(B284,20)=0,TEXT(B284,"0"),"")</f>
        <v/>
      </c>
      <c r="D284" t="n">
        <v>81.45505572191325</v>
      </c>
      <c r="E284" t="n">
        <v>0</v>
      </c>
      <c r="F284" t="n">
        <v>168.5449442780867</v>
      </c>
      <c r="G284" t="n">
        <v>0</v>
      </c>
      <c r="H284" t="n">
        <v>0</v>
      </c>
      <c r="J284" t="n">
        <v>4.716640002086535</v>
      </c>
      <c r="K284" t="n">
        <v>39.40757405146131</v>
      </c>
      <c r="L284">
        <f>(J284-Diagramm_Tmin)/Diagramm_dT+1</f>
        <v/>
      </c>
      <c r="M284">
        <f>IF(J284="","",IF(J284&lt;Zoom_Tmin,NA(),(J284-Zoom_Tmin)/Diagramm_dT+1))</f>
        <v/>
      </c>
      <c r="N284">
        <f>IF(J284="","",IF(J284&lt;Zoom2_Tmin,NA(),(J284-Zoom2_Tmin)/Diagramm_dT+1))</f>
        <v/>
      </c>
      <c r="P284" t="n">
        <v>73.77298373446752</v>
      </c>
      <c r="Q284" t="n">
        <v>0</v>
      </c>
      <c r="R284" t="n">
        <v>176.2270162655325</v>
      </c>
    </row>
    <row r="285">
      <c r="B285" t="n">
        <v>58.5</v>
      </c>
      <c r="C285">
        <f>IF(MOD(B285,20)=0,TEXT(B285,"0"),"")</f>
        <v/>
      </c>
      <c r="D285" t="n">
        <v>81.45505572191325</v>
      </c>
      <c r="E285" t="n">
        <v>0</v>
      </c>
      <c r="F285" t="n">
        <v>168.5449442780867</v>
      </c>
      <c r="G285" t="n">
        <v>0</v>
      </c>
      <c r="H285" t="n">
        <v>0</v>
      </c>
      <c r="J285" t="n">
        <v>6.905020002161052</v>
      </c>
      <c r="K285" t="n">
        <v>41.66530960207515</v>
      </c>
      <c r="L285">
        <f>(J285-Diagramm_Tmin)/Diagramm_dT+1</f>
        <v/>
      </c>
      <c r="M285">
        <f>IF(J285="","",IF(J285&lt;Zoom_Tmin,NA(),(J285-Zoom_Tmin)/Diagramm_dT+1))</f>
        <v/>
      </c>
      <c r="N285">
        <f>IF(J285="","",IF(J285&lt;Zoom2_Tmin,NA(),(J285-Zoom2_Tmin)/Diagramm_dT+1))</f>
        <v/>
      </c>
      <c r="P285" t="n">
        <v>73.77298373446752</v>
      </c>
      <c r="Q285" t="n">
        <v>0</v>
      </c>
      <c r="R285" t="n">
        <v>176.2270162655325</v>
      </c>
    </row>
    <row r="286">
      <c r="B286" t="n">
        <v>59</v>
      </c>
      <c r="C286">
        <f>IF(MOD(B286,20)=0,TEXT(B286,"0"),"")</f>
        <v/>
      </c>
      <c r="D286" t="n">
        <v>81.45505572191325</v>
      </c>
      <c r="E286" t="n">
        <v>0</v>
      </c>
      <c r="F286" t="n">
        <v>168.5449442780867</v>
      </c>
      <c r="G286" t="n">
        <v>0</v>
      </c>
      <c r="H286" t="n">
        <v>0</v>
      </c>
      <c r="J286" t="n">
        <v>9.093400002235569</v>
      </c>
      <c r="K286" t="n">
        <v>44.01834059574273</v>
      </c>
      <c r="L286">
        <f>(J286-Diagramm_Tmin)/Diagramm_dT+1</f>
        <v/>
      </c>
      <c r="M286">
        <f>IF(J286="","",IF(J286&lt;Zoom_Tmin,NA(),(J286-Zoom_Tmin)/Diagramm_dT+1))</f>
        <v/>
      </c>
      <c r="N286">
        <f>IF(J286="","",IF(J286&lt;Zoom2_Tmin,NA(),(J286-Zoom2_Tmin)/Diagramm_dT+1))</f>
        <v/>
      </c>
      <c r="P286" t="n">
        <v>73.77298373446752</v>
      </c>
      <c r="Q286" t="n">
        <v>0</v>
      </c>
      <c r="R286" t="n">
        <v>176.2270162655325</v>
      </c>
    </row>
    <row r="287">
      <c r="B287" t="n">
        <v>59.5</v>
      </c>
      <c r="C287">
        <f>IF(MOD(B287,20)=0,TEXT(B287,"0"),"")</f>
        <v/>
      </c>
      <c r="D287" t="n">
        <v>81.45505572191325</v>
      </c>
      <c r="E287" t="n">
        <v>0</v>
      </c>
      <c r="F287" t="n">
        <v>168.5449442780867</v>
      </c>
      <c r="G287" t="n">
        <v>0</v>
      </c>
      <c r="H287" t="n">
        <v>0</v>
      </c>
      <c r="J287" t="n">
        <v>11.28178000231009</v>
      </c>
      <c r="K287" t="n">
        <v>46.46992720935107</v>
      </c>
      <c r="L287">
        <f>(J287-Diagramm_Tmin)/Diagramm_dT+1</f>
        <v/>
      </c>
      <c r="M287">
        <f>IF(J287="","",IF(J287&lt;Zoom_Tmin,NA(),(J287-Zoom_Tmin)/Diagramm_dT+1))</f>
        <v/>
      </c>
      <c r="N287">
        <f>IF(J287="","",IF(J287&lt;Zoom2_Tmin,NA(),(J287-Zoom2_Tmin)/Diagramm_dT+1))</f>
        <v/>
      </c>
      <c r="P287" t="n">
        <v>73.77298373446752</v>
      </c>
      <c r="Q287" t="n">
        <v>0</v>
      </c>
      <c r="R287" t="n">
        <v>176.2270162655325</v>
      </c>
    </row>
    <row r="288">
      <c r="B288" t="n">
        <v>60</v>
      </c>
      <c r="C288">
        <f>IF(MOD(B288,20)=0,TEXT(B288,"0"),"")</f>
        <v/>
      </c>
      <c r="D288" t="n">
        <v>81.45505572191325</v>
      </c>
      <c r="E288" t="n">
        <v>0</v>
      </c>
      <c r="F288" t="n">
        <v>168.5449442780867</v>
      </c>
      <c r="G288" t="n">
        <v>0</v>
      </c>
      <c r="H288" t="n">
        <v>0</v>
      </c>
      <c r="J288" t="n">
        <v>13.4701600023846</v>
      </c>
      <c r="K288" t="n">
        <v>49.02359681033084</v>
      </c>
      <c r="L288">
        <f>(J288-Diagramm_Tmin)/Diagramm_dT+1</f>
        <v/>
      </c>
      <c r="M288">
        <f>IF(J288="","",IF(J288&lt;Zoom_Tmin,NA(),(J288-Zoom_Tmin)/Diagramm_dT+1))</f>
        <v/>
      </c>
      <c r="N288">
        <f>IF(J288="","",IF(J288&lt;Zoom2_Tmin,NA(),(J288-Zoom2_Tmin)/Diagramm_dT+1))</f>
        <v/>
      </c>
      <c r="P288" t="n">
        <v>73.77298373446752</v>
      </c>
      <c r="Q288" t="n">
        <v>0</v>
      </c>
      <c r="R288" t="n">
        <v>176.2270162655325</v>
      </c>
    </row>
    <row r="289">
      <c r="B289" t="n">
        <v>60.5</v>
      </c>
      <c r="C289">
        <f>IF(MOD(B289,20)=0,TEXT(B289,"0"),"")</f>
        <v/>
      </c>
      <c r="D289" t="n">
        <v>81.45505572191325</v>
      </c>
      <c r="E289" t="n">
        <v>0</v>
      </c>
      <c r="F289" t="n">
        <v>168.5449442780867</v>
      </c>
      <c r="G289" t="n">
        <v>0</v>
      </c>
      <c r="H289" t="n">
        <v>0</v>
      </c>
      <c r="J289" t="n">
        <v>15.65854000245912</v>
      </c>
      <c r="K289" t="n">
        <v>51.68320877589514</v>
      </c>
      <c r="L289">
        <f>(J289-Diagramm_Tmin)/Diagramm_dT+1</f>
        <v/>
      </c>
      <c r="M289">
        <f>IF(J289="","",IF(J289&lt;Zoom_Tmin,NA(),(J289-Zoom_Tmin)/Diagramm_dT+1))</f>
        <v/>
      </c>
      <c r="N289">
        <f>IF(J289="","",IF(J289&lt;Zoom2_Tmin,NA(),(J289-Zoom2_Tmin)/Diagramm_dT+1))</f>
        <v/>
      </c>
      <c r="P289" t="n">
        <v>73.77298373446752</v>
      </c>
      <c r="Q289" t="n">
        <v>0</v>
      </c>
      <c r="R289" t="n">
        <v>176.2270162655325</v>
      </c>
    </row>
    <row r="290">
      <c r="B290" t="n">
        <v>61</v>
      </c>
      <c r="C290">
        <f>IF(MOD(B290,20)=0,TEXT(B290,"0"),"")</f>
        <v/>
      </c>
      <c r="D290" t="n">
        <v>81.45505572191325</v>
      </c>
      <c r="E290" t="n">
        <v>0</v>
      </c>
      <c r="F290" t="n">
        <v>168.5449442780867</v>
      </c>
      <c r="G290" t="n">
        <v>0</v>
      </c>
      <c r="H290" t="n">
        <v>0</v>
      </c>
      <c r="J290" t="n">
        <v>17.84692000253364</v>
      </c>
      <c r="K290" t="n">
        <v>54.45305144637702</v>
      </c>
      <c r="L290">
        <f>(J290-Diagramm_Tmin)/Diagramm_dT+1</f>
        <v/>
      </c>
      <c r="M290">
        <f>IF(J290="","",IF(J290&lt;Zoom_Tmin,NA(),(J290-Zoom_Tmin)/Diagramm_dT+1))</f>
        <v/>
      </c>
      <c r="N290">
        <f>IF(J290="","",IF(J290&lt;Zoom2_Tmin,NA(),(J290-Zoom2_Tmin)/Diagramm_dT+1))</f>
        <v/>
      </c>
      <c r="P290" t="n">
        <v>73.77298373446752</v>
      </c>
      <c r="Q290" t="n">
        <v>0</v>
      </c>
      <c r="R290" t="n">
        <v>176.2270162655325</v>
      </c>
    </row>
    <row r="291">
      <c r="B291" t="n">
        <v>61.5</v>
      </c>
      <c r="C291">
        <f>IF(MOD(B291,20)=0,TEXT(B291,"0"),"")</f>
        <v/>
      </c>
      <c r="D291" t="n">
        <v>81.45505572191325</v>
      </c>
      <c r="E291" t="n">
        <v>0</v>
      </c>
      <c r="F291" t="n">
        <v>168.5449442780867</v>
      </c>
      <c r="G291" t="n">
        <v>0</v>
      </c>
      <c r="H291" t="n">
        <v>0</v>
      </c>
      <c r="J291" t="n">
        <v>20.03530000260815</v>
      </c>
      <c r="K291" t="n">
        <v>57.3380041212648</v>
      </c>
      <c r="L291">
        <f>(J291-Diagramm_Tmin)/Diagramm_dT+1</f>
        <v/>
      </c>
      <c r="M291">
        <f>IF(J291="","",IF(J291&lt;Zoom_Tmin,NA(),(J291-Zoom_Tmin)/Diagramm_dT+1))</f>
        <v/>
      </c>
      <c r="N291">
        <f>IF(J291="","",IF(J291&lt;Zoom2_Tmin,NA(),(J291-Zoom2_Tmin)/Diagramm_dT+1))</f>
        <v/>
      </c>
      <c r="P291" t="n">
        <v>73.77298373446752</v>
      </c>
      <c r="Q291" t="n">
        <v>0</v>
      </c>
      <c r="R291" t="n">
        <v>176.2270162655325</v>
      </c>
    </row>
    <row r="292">
      <c r="B292" t="n">
        <v>62</v>
      </c>
      <c r="C292">
        <f>IF(MOD(B292,20)=0,TEXT(B292,"0"),"")</f>
        <v/>
      </c>
      <c r="D292" t="n">
        <v>81.45505572191325</v>
      </c>
      <c r="E292" t="n">
        <v>0</v>
      </c>
      <c r="F292" t="n">
        <v>168.5449442780867</v>
      </c>
      <c r="G292" t="n">
        <v>0</v>
      </c>
      <c r="H292" t="n">
        <v>0</v>
      </c>
      <c r="J292" t="n">
        <v>22.22368000268267</v>
      </c>
      <c r="K292" t="n">
        <v>60.34381817233083</v>
      </c>
      <c r="L292">
        <f>(J292-Diagramm_Tmin)/Diagramm_dT+1</f>
        <v/>
      </c>
      <c r="M292">
        <f>IF(J292="","",IF(J292&lt;Zoom_Tmin,NA(),(J292-Zoom_Tmin)/Diagramm_dT+1))</f>
        <v/>
      </c>
      <c r="N292">
        <f>IF(J292="","",IF(J292&lt;Zoom2_Tmin,NA(),(J292-Zoom2_Tmin)/Diagramm_dT+1))</f>
        <v/>
      </c>
      <c r="P292" t="n">
        <v>73.77298373446752</v>
      </c>
      <c r="Q292" t="n">
        <v>0</v>
      </c>
      <c r="R292" t="n">
        <v>176.2270162655325</v>
      </c>
    </row>
    <row r="293">
      <c r="B293" t="n">
        <v>62.5</v>
      </c>
      <c r="C293">
        <f>IF(MOD(B293,20)=0,TEXT(B293,"0"),"")</f>
        <v/>
      </c>
      <c r="D293" t="n">
        <v>81.45505572191325</v>
      </c>
      <c r="E293" t="n">
        <v>0</v>
      </c>
      <c r="F293" t="n">
        <v>168.5449442780867</v>
      </c>
      <c r="G293" t="n">
        <v>0</v>
      </c>
      <c r="H293" t="n">
        <v>0</v>
      </c>
      <c r="J293" t="n">
        <v>24.41206000275719</v>
      </c>
      <c r="K293" t="n">
        <v>63.4775854036277</v>
      </c>
      <c r="L293">
        <f>(J293-Diagramm_Tmin)/Diagramm_dT+1</f>
        <v/>
      </c>
      <c r="M293">
        <f>IF(J293="","",IF(J293&lt;Zoom_Tmin,NA(),(J293-Zoom_Tmin)/Diagramm_dT+1))</f>
        <v/>
      </c>
      <c r="N293">
        <f>IF(J293="","",IF(J293&lt;Zoom2_Tmin,NA(),(J293-Zoom2_Tmin)/Diagramm_dT+1))</f>
        <v/>
      </c>
      <c r="P293" t="n">
        <v>73.77298373446752</v>
      </c>
      <c r="Q293" t="n">
        <v>0</v>
      </c>
      <c r="R293" t="n">
        <v>176.2270162655325</v>
      </c>
    </row>
    <row r="294">
      <c r="B294" t="n">
        <v>63</v>
      </c>
      <c r="C294">
        <f>IF(MOD(B294,20)=0,TEXT(B294,"0"),"")</f>
        <v/>
      </c>
      <c r="D294" t="n">
        <v>81.45505572191325</v>
      </c>
      <c r="E294" t="n">
        <v>0</v>
      </c>
      <c r="F294" t="n">
        <v>168.5449442780867</v>
      </c>
      <c r="G294" t="n">
        <v>0</v>
      </c>
      <c r="H294" t="n">
        <v>0</v>
      </c>
      <c r="J294" t="n">
        <v>26.6004400028317</v>
      </c>
      <c r="K294" t="n">
        <v>66.74852424856364</v>
      </c>
      <c r="L294">
        <f>(J294-Diagramm_Tmin)/Diagramm_dT+1</f>
        <v/>
      </c>
      <c r="M294">
        <f>IF(J294="","",IF(J294&lt;Zoom_Tmin,NA(),(J294-Zoom_Tmin)/Diagramm_dT+1))</f>
        <v/>
      </c>
      <c r="N294">
        <f>IF(J294="","",IF(J294&lt;Zoom2_Tmin,NA(),(J294-Zoom2_Tmin)/Diagramm_dT+1))</f>
        <v/>
      </c>
      <c r="P294" t="n">
        <v>73.77298373446752</v>
      </c>
      <c r="Q294" t="n">
        <v>0</v>
      </c>
      <c r="R294" t="n">
        <v>176.2270162655325</v>
      </c>
    </row>
    <row r="295">
      <c r="B295" t="n">
        <v>63.5</v>
      </c>
      <c r="C295">
        <f>IF(MOD(B295,20)=0,TEXT(B295,"0"),"")</f>
        <v/>
      </c>
      <c r="D295" t="n">
        <v>81.45505572191325</v>
      </c>
      <c r="E295" t="n">
        <v>0</v>
      </c>
      <c r="F295" t="n">
        <v>168.5449442780867</v>
      </c>
      <c r="G295" t="n">
        <v>0</v>
      </c>
      <c r="H295" t="n">
        <v>0</v>
      </c>
      <c r="J295" t="n">
        <v>28.78882000290622</v>
      </c>
      <c r="K295" t="n">
        <v>70.16998005950322</v>
      </c>
      <c r="L295">
        <f>(J295-Diagramm_Tmin)/Diagramm_dT+1</f>
        <v/>
      </c>
      <c r="M295">
        <f>IF(J295="","",IF(J295&lt;Zoom_Tmin,NA(),(J295-Zoom_Tmin)/Diagramm_dT+1))</f>
        <v/>
      </c>
      <c r="N295">
        <f>IF(J295="","",IF(J295&lt;Zoom2_Tmin,NA(),(J295-Zoom2_Tmin)/Diagramm_dT+1))</f>
        <v/>
      </c>
      <c r="P295" t="n">
        <v>73.77298373446752</v>
      </c>
      <c r="Q295" t="n">
        <v>0</v>
      </c>
      <c r="R295" t="n">
        <v>176.2270162655325</v>
      </c>
    </row>
    <row r="296">
      <c r="B296" t="n">
        <v>64</v>
      </c>
      <c r="C296">
        <f>IF(MOD(B296,20)=0,TEXT(B296,"0"),"")</f>
        <v/>
      </c>
      <c r="D296" t="n">
        <v>81.45505572191325</v>
      </c>
      <c r="E296" t="n">
        <v>0</v>
      </c>
      <c r="F296" t="n">
        <v>168.5449442780867</v>
      </c>
      <c r="G296" t="n">
        <v>0</v>
      </c>
      <c r="H296" t="n">
        <v>0</v>
      </c>
      <c r="J296" t="n">
        <v>30.97720000298074</v>
      </c>
      <c r="K296" t="n">
        <v>73.77127810884261</v>
      </c>
      <c r="L296">
        <f>(J296-Diagramm_Tmin)/Diagramm_dT+1</f>
        <v/>
      </c>
      <c r="M296">
        <f>IF(J296="","",IF(J296&lt;Zoom_Tmin,NA(),(J296-Zoom_Tmin)/Diagramm_dT+1))</f>
        <v/>
      </c>
      <c r="N296">
        <f>IF(J296="","",IF(J296&lt;Zoom2_Tmin,NA(),(J296-Zoom2_Tmin)/Diagramm_dT+1))</f>
        <v/>
      </c>
      <c r="P296" t="n">
        <v>73.77298373446752</v>
      </c>
      <c r="Q296" t="n">
        <v>0</v>
      </c>
      <c r="R296" t="n">
        <v>176.2270162655325</v>
      </c>
    </row>
    <row r="297">
      <c r="B297" t="n">
        <v>64.5</v>
      </c>
      <c r="C297">
        <f>IF(MOD(B297,20)=0,TEXT(B297,"0"),"")</f>
        <v/>
      </c>
      <c r="D297" t="n">
        <v>81.45505572191325</v>
      </c>
      <c r="E297" t="n">
        <v>0</v>
      </c>
      <c r="F297" t="n">
        <v>168.5449442780867</v>
      </c>
      <c r="G297" t="n">
        <v>0</v>
      </c>
      <c r="H297" t="n">
        <v>0</v>
      </c>
      <c r="M297">
        <f>IF(J297="","",IF(J297&lt;Zoom_Tmin,NA(),(J297-Zoom_Tmin)/Diagramm_dT+1))</f>
        <v/>
      </c>
      <c r="N297">
        <f>IF(J297="","",IF(J297&lt;Zoom2_Tmin,NA(),(J297-Zoom2_Tmin)/Diagramm_dT+1))</f>
        <v/>
      </c>
      <c r="P297" t="n">
        <v>73.77298373446752</v>
      </c>
      <c r="Q297" t="n">
        <v>0</v>
      </c>
      <c r="R297" t="n">
        <v>176.2270162655325</v>
      </c>
    </row>
    <row r="298">
      <c r="B298" t="n">
        <v>65</v>
      </c>
      <c r="C298">
        <f>IF(MOD(B298,20)=0,TEXT(B298,"0"),"")</f>
        <v/>
      </c>
      <c r="D298" t="n">
        <v>81.45505572191325</v>
      </c>
      <c r="E298" t="n">
        <v>0</v>
      </c>
      <c r="F298" t="n">
        <v>168.5449442780867</v>
      </c>
      <c r="G298" t="n">
        <v>0</v>
      </c>
      <c r="H298" t="n">
        <v>0</v>
      </c>
      <c r="I298" s="76" t="inlineStr">
        <is>
          <t>Blasenlinie + 3 bar (sicher flüssig)</t>
        </is>
      </c>
      <c r="J298" t="n">
        <v>-56.55799999999996</v>
      </c>
      <c r="K298" t="n">
        <v>54.24917885891172</v>
      </c>
      <c r="L298">
        <f>(J298-Diagramm_Tmin)/Diagramm_dT+1</f>
        <v/>
      </c>
      <c r="M298">
        <f>IF(J298="","",IF(J298&lt;Zoom_Tmin,NA(),(J298-Zoom_Tmin)/Diagramm_dT+1))</f>
        <v/>
      </c>
      <c r="N298">
        <f>IF(J298="","",IF(J298&lt;Zoom2_Tmin,NA(),(J298-Zoom2_Tmin)/Diagramm_dT+1))</f>
        <v/>
      </c>
      <c r="P298" t="n">
        <v>73.77298373446752</v>
      </c>
      <c r="Q298" t="n">
        <v>0</v>
      </c>
      <c r="R298" t="n">
        <v>176.2270162655325</v>
      </c>
    </row>
    <row r="299">
      <c r="B299" t="n">
        <v>65.5</v>
      </c>
      <c r="C299">
        <f>IF(MOD(B299,20)=0,TEXT(B299,"0"),"")</f>
        <v/>
      </c>
      <c r="D299" t="n">
        <v>81.45505572191325</v>
      </c>
      <c r="E299" t="n">
        <v>0</v>
      </c>
      <c r="F299" t="n">
        <v>168.5449442780867</v>
      </c>
      <c r="G299" t="n">
        <v>0</v>
      </c>
      <c r="H299" t="n">
        <v>0</v>
      </c>
      <c r="J299" t="n">
        <v>-53.64739447388706</v>
      </c>
      <c r="K299" t="n">
        <v>52.66436340757607</v>
      </c>
      <c r="L299">
        <f>(J299-Diagramm_Tmin)/Diagramm_dT+1</f>
        <v/>
      </c>
      <c r="M299">
        <f>IF(J299="","",IF(J299&lt;Zoom_Tmin,NA(),(J299-Zoom_Tmin)/Diagramm_dT+1))</f>
        <v/>
      </c>
      <c r="N299">
        <f>IF(J299="","",IF(J299&lt;Zoom2_Tmin,NA(),(J299-Zoom2_Tmin)/Diagramm_dT+1))</f>
        <v/>
      </c>
      <c r="P299" t="n">
        <v>73.77298373446752</v>
      </c>
      <c r="Q299" t="n">
        <v>0</v>
      </c>
      <c r="R299" t="n">
        <v>176.2270162655325</v>
      </c>
    </row>
    <row r="300">
      <c r="B300" t="n">
        <v>66</v>
      </c>
      <c r="C300">
        <f>IF(MOD(B300,20)=0,TEXT(B300,"0"),"")</f>
        <v/>
      </c>
      <c r="D300" t="n">
        <v>81.45505572191325</v>
      </c>
      <c r="E300" t="n">
        <v>0</v>
      </c>
      <c r="F300" t="n">
        <v>168.5449442780867</v>
      </c>
      <c r="G300" t="n">
        <v>0</v>
      </c>
      <c r="H300" t="n">
        <v>0</v>
      </c>
      <c r="J300" t="n">
        <v>-50.73678894777416</v>
      </c>
      <c r="K300" t="n">
        <v>51.40003231788009</v>
      </c>
      <c r="L300">
        <f>(J300-Diagramm_Tmin)/Diagramm_dT+1</f>
        <v/>
      </c>
      <c r="M300">
        <f>IF(J300="","",IF(J300&lt;Zoom_Tmin,NA(),(J300-Zoom_Tmin)/Diagramm_dT+1))</f>
        <v/>
      </c>
      <c r="N300">
        <f>IF(J300="","",IF(J300&lt;Zoom2_Tmin,NA(),(J300-Zoom2_Tmin)/Diagramm_dT+1))</f>
        <v/>
      </c>
      <c r="P300" t="n">
        <v>73.77298373446752</v>
      </c>
      <c r="Q300" t="n">
        <v>0</v>
      </c>
      <c r="R300" t="n">
        <v>176.2270162655325</v>
      </c>
    </row>
    <row r="301">
      <c r="B301" t="n">
        <v>66.5</v>
      </c>
      <c r="C301">
        <f>IF(MOD(B301,20)=0,TEXT(B301,"0"),"")</f>
        <v/>
      </c>
      <c r="D301" t="n">
        <v>81.45505572191325</v>
      </c>
      <c r="E301" t="n">
        <v>0</v>
      </c>
      <c r="F301" t="n">
        <v>168.5449442780867</v>
      </c>
      <c r="G301" t="n">
        <v>0</v>
      </c>
      <c r="H301" t="n">
        <v>0</v>
      </c>
      <c r="J301" t="n">
        <v>-47.82618342166126</v>
      </c>
      <c r="K301" t="n">
        <v>50.42203962948366</v>
      </c>
      <c r="L301">
        <f>(J301-Diagramm_Tmin)/Diagramm_dT+1</f>
        <v/>
      </c>
      <c r="M301">
        <f>IF(J301="","",IF(J301&lt;Zoom_Tmin,NA(),(J301-Zoom_Tmin)/Diagramm_dT+1))</f>
        <v/>
      </c>
      <c r="N301">
        <f>IF(J301="","",IF(J301&lt;Zoom2_Tmin,NA(),(J301-Zoom2_Tmin)/Diagramm_dT+1))</f>
        <v/>
      </c>
      <c r="P301" t="n">
        <v>73.77298373446752</v>
      </c>
      <c r="Q301" t="n">
        <v>0</v>
      </c>
      <c r="R301" t="n">
        <v>176.2270162655325</v>
      </c>
    </row>
    <row r="302">
      <c r="B302" t="n">
        <v>67</v>
      </c>
      <c r="C302">
        <f>IF(MOD(B302,20)=0,TEXT(B302,"0"),"")</f>
        <v/>
      </c>
      <c r="D302" t="n">
        <v>81.45505572191325</v>
      </c>
      <c r="E302" t="n">
        <v>0</v>
      </c>
      <c r="F302" t="n">
        <v>168.5449442780867</v>
      </c>
      <c r="G302" t="n">
        <v>0</v>
      </c>
      <c r="H302" t="n">
        <v>0</v>
      </c>
      <c r="J302" t="n">
        <v>-44.91557789554835</v>
      </c>
      <c r="K302" t="n">
        <v>49.70305646201983</v>
      </c>
      <c r="L302">
        <f>(J302-Diagramm_Tmin)/Diagramm_dT+1</f>
        <v/>
      </c>
      <c r="M302">
        <f>IF(J302="","",IF(J302&lt;Zoom_Tmin,NA(),(J302-Zoom_Tmin)/Diagramm_dT+1))</f>
        <v/>
      </c>
      <c r="N302">
        <f>IF(J302="","",IF(J302&lt;Zoom2_Tmin,NA(),(J302-Zoom2_Tmin)/Diagramm_dT+1))</f>
        <v/>
      </c>
      <c r="P302" t="n">
        <v>73.77298373446752</v>
      </c>
      <c r="Q302" t="n">
        <v>0</v>
      </c>
      <c r="R302" t="n">
        <v>176.2270162655325</v>
      </c>
    </row>
    <row r="303">
      <c r="B303" t="n">
        <v>67.5</v>
      </c>
      <c r="C303">
        <f>IF(MOD(B303,20)=0,TEXT(B303,"0"),"")</f>
        <v/>
      </c>
      <c r="D303" t="n">
        <v>81.45505572191325</v>
      </c>
      <c r="E303" t="n">
        <v>0</v>
      </c>
      <c r="F303" t="n">
        <v>168.5449442780867</v>
      </c>
      <c r="G303" t="n">
        <v>0</v>
      </c>
      <c r="H303" t="n">
        <v>0</v>
      </c>
      <c r="J303" t="n">
        <v>-42.00497236943545</v>
      </c>
      <c r="K303" t="n">
        <v>49.22114565556122</v>
      </c>
      <c r="L303">
        <f>(J303-Diagramm_Tmin)/Diagramm_dT+1</f>
        <v/>
      </c>
      <c r="M303">
        <f>IF(J303="","",IF(J303&lt;Zoom_Tmin,NA(),(J303-Zoom_Tmin)/Diagramm_dT+1))</f>
        <v/>
      </c>
      <c r="N303">
        <f>IF(J303="","",IF(J303&lt;Zoom2_Tmin,NA(),(J303-Zoom2_Tmin)/Diagramm_dT+1))</f>
        <v/>
      </c>
      <c r="P303" t="n">
        <v>73.77298373446752</v>
      </c>
      <c r="Q303" t="n">
        <v>0</v>
      </c>
      <c r="R303" t="n">
        <v>176.2270162655325</v>
      </c>
    </row>
    <row r="304">
      <c r="B304" t="n">
        <v>68</v>
      </c>
      <c r="C304">
        <f>IF(MOD(B304,20)=0,TEXT(B304,"0"),"")</f>
        <v/>
      </c>
      <c r="D304" t="n">
        <v>81.45505572191325</v>
      </c>
      <c r="E304" t="n">
        <v>0</v>
      </c>
      <c r="F304" t="n">
        <v>168.5449442780867</v>
      </c>
      <c r="G304" t="n">
        <v>0</v>
      </c>
      <c r="H304" t="n">
        <v>0</v>
      </c>
      <c r="J304" t="n">
        <v>-39.09436684332255</v>
      </c>
      <c r="K304" t="n">
        <v>48.95910117009728</v>
      </c>
      <c r="L304">
        <f>(J304-Diagramm_Tmin)/Diagramm_dT+1</f>
        <v/>
      </c>
      <c r="M304">
        <f>IF(J304="","",IF(J304&lt;Zoom_Tmin,NA(),(J304-Zoom_Tmin)/Diagramm_dT+1))</f>
        <v/>
      </c>
      <c r="N304">
        <f>IF(J304="","",IF(J304&lt;Zoom2_Tmin,NA(),(J304-Zoom2_Tmin)/Diagramm_dT+1))</f>
        <v/>
      </c>
      <c r="P304" t="n">
        <v>73.77298373446752</v>
      </c>
      <c r="Q304" t="n">
        <v>0</v>
      </c>
      <c r="R304" t="n">
        <v>176.2270162655325</v>
      </c>
    </row>
    <row r="305">
      <c r="B305" t="n">
        <v>68.5</v>
      </c>
      <c r="C305">
        <f>IF(MOD(B305,20)=0,TEXT(B305,"0"),"")</f>
        <v/>
      </c>
      <c r="D305" t="n">
        <v>81.45505572191325</v>
      </c>
      <c r="E305" t="n">
        <v>0</v>
      </c>
      <c r="F305" t="n">
        <v>168.5449442780867</v>
      </c>
      <c r="G305" t="n">
        <v>0</v>
      </c>
      <c r="H305" t="n">
        <v>0</v>
      </c>
      <c r="J305" t="n">
        <v>-36.18376131720964</v>
      </c>
      <c r="K305" t="n">
        <v>48.90282899472241</v>
      </c>
      <c r="L305">
        <f>(J305-Diagramm_Tmin)/Diagramm_dT+1</f>
        <v/>
      </c>
      <c r="M305">
        <f>IF(J305="","",IF(J305&lt;Zoom_Tmin,NA(),(J305-Zoom_Tmin)/Diagramm_dT+1))</f>
        <v/>
      </c>
      <c r="N305">
        <f>IF(J305="","",IF(J305&lt;Zoom2_Tmin,NA(),(J305-Zoom2_Tmin)/Diagramm_dT+1))</f>
        <v/>
      </c>
      <c r="P305" t="n">
        <v>73.77298373446752</v>
      </c>
      <c r="Q305" t="n">
        <v>0</v>
      </c>
      <c r="R305" t="n">
        <v>176.2270162655325</v>
      </c>
    </row>
    <row r="306">
      <c r="B306" t="n">
        <v>69</v>
      </c>
      <c r="C306">
        <f>IF(MOD(B306,20)=0,TEXT(B306,"0"),"")</f>
        <v/>
      </c>
      <c r="D306" t="n">
        <v>81.45505572191325</v>
      </c>
      <c r="E306" t="n">
        <v>0</v>
      </c>
      <c r="F306" t="n">
        <v>168.5449442780867</v>
      </c>
      <c r="G306" t="n">
        <v>0</v>
      </c>
      <c r="H306" t="n">
        <v>0</v>
      </c>
      <c r="J306" t="n">
        <v>-33.27315579109674</v>
      </c>
      <c r="K306" t="n">
        <v>49.0402377293031</v>
      </c>
      <c r="L306">
        <f>(J306-Diagramm_Tmin)/Diagramm_dT+1</f>
        <v/>
      </c>
      <c r="M306">
        <f>IF(J306="","",IF(J306&lt;Zoom_Tmin,NA(),(J306-Zoom_Tmin)/Diagramm_dT+1))</f>
        <v/>
      </c>
      <c r="N306">
        <f>IF(J306="","",IF(J306&lt;Zoom2_Tmin,NA(),(J306-Zoom2_Tmin)/Diagramm_dT+1))</f>
        <v/>
      </c>
      <c r="P306" t="n">
        <v>73.77298373446752</v>
      </c>
      <c r="Q306" t="n">
        <v>0</v>
      </c>
      <c r="R306" t="n">
        <v>176.2270162655325</v>
      </c>
    </row>
    <row r="307">
      <c r="B307" t="n">
        <v>69.5</v>
      </c>
      <c r="C307">
        <f>IF(MOD(B307,20)=0,TEXT(B307,"0"),"")</f>
        <v/>
      </c>
      <c r="D307" t="n">
        <v>81.45505572191325</v>
      </c>
      <c r="E307" t="n">
        <v>0</v>
      </c>
      <c r="F307" t="n">
        <v>168.5449442780867</v>
      </c>
      <c r="G307" t="n">
        <v>0</v>
      </c>
      <c r="H307" t="n">
        <v>0</v>
      </c>
      <c r="J307" t="n">
        <v>-30.36255026498384</v>
      </c>
      <c r="K307" t="n">
        <v>49.36214636338971</v>
      </c>
      <c r="L307">
        <f>(J307-Diagramm_Tmin)/Diagramm_dT+1</f>
        <v/>
      </c>
      <c r="M307">
        <f>IF(J307="","",IF(J307&lt;Zoom_Tmin,NA(),(J307-Zoom_Tmin)/Diagramm_dT+1))</f>
        <v/>
      </c>
      <c r="N307">
        <f>IF(J307="","",IF(J307&lt;Zoom2_Tmin,NA(),(J307-Zoom2_Tmin)/Diagramm_dT+1))</f>
        <v/>
      </c>
      <c r="P307" t="n">
        <v>73.77298373446752</v>
      </c>
      <c r="Q307" t="n">
        <v>0</v>
      </c>
      <c r="R307" t="n">
        <v>176.2270162655325</v>
      </c>
    </row>
    <row r="308">
      <c r="B308" t="n">
        <v>70</v>
      </c>
      <c r="C308">
        <f>IF(MOD(B308,20)=0,TEXT(B308,"0"),"")</f>
        <v/>
      </c>
      <c r="D308" t="n">
        <v>81.45505572191325</v>
      </c>
      <c r="E308" t="n">
        <v>0</v>
      </c>
      <c r="F308" t="n">
        <v>168.5449442780867</v>
      </c>
      <c r="G308" t="n">
        <v>0</v>
      </c>
      <c r="H308" t="n">
        <v>0</v>
      </c>
      <c r="J308" t="n">
        <v>-27.45194473887094</v>
      </c>
      <c r="K308" t="n">
        <v>49.8611734711924</v>
      </c>
      <c r="L308">
        <f>(J308-Diagramm_Tmin)/Diagramm_dT+1</f>
        <v/>
      </c>
      <c r="M308">
        <f>IF(J308="","",IF(J308&lt;Zoom_Tmin,NA(),(J308-Zoom_Tmin)/Diagramm_dT+1))</f>
        <v/>
      </c>
      <c r="N308">
        <f>IF(J308="","",IF(J308&lt;Zoom2_Tmin,NA(),(J308-Zoom2_Tmin)/Diagramm_dT+1))</f>
        <v/>
      </c>
      <c r="P308" t="n">
        <v>73.77298373446752</v>
      </c>
      <c r="Q308" t="n">
        <v>0</v>
      </c>
      <c r="R308" t="n">
        <v>176.2270162655325</v>
      </c>
    </row>
    <row r="309">
      <c r="B309" t="n">
        <v>70.5</v>
      </c>
      <c r="C309">
        <f>IF(MOD(B309,20)=0,TEXT(B309,"0"),"")</f>
        <v/>
      </c>
      <c r="D309" t="n">
        <v>81.45505572191325</v>
      </c>
      <c r="E309" t="n">
        <v>0</v>
      </c>
      <c r="F309" t="n">
        <v>168.5449442780867</v>
      </c>
      <c r="G309" t="n">
        <v>0</v>
      </c>
      <c r="H309" t="n">
        <v>0</v>
      </c>
      <c r="J309" t="n">
        <v>-24.54133921275803</v>
      </c>
      <c r="K309" t="n">
        <v>50.53139792839856</v>
      </c>
      <c r="L309">
        <f>(J309-Diagramm_Tmin)/Diagramm_dT+1</f>
        <v/>
      </c>
      <c r="M309">
        <f>IF(J309="","",IF(J309&lt;Zoom_Tmin,NA(),(J309-Zoom_Tmin)/Diagramm_dT+1))</f>
        <v/>
      </c>
      <c r="N309">
        <f>IF(J309="","",IF(J309&lt;Zoom2_Tmin,NA(),(J309-Zoom2_Tmin)/Diagramm_dT+1))</f>
        <v/>
      </c>
      <c r="P309" t="n">
        <v>73.77298373446752</v>
      </c>
      <c r="Q309" t="n">
        <v>0</v>
      </c>
      <c r="R309" t="n">
        <v>176.2270162655325</v>
      </c>
    </row>
    <row r="310">
      <c r="B310" t="n">
        <v>71</v>
      </c>
      <c r="C310">
        <f>IF(MOD(B310,20)=0,TEXT(B310,"0"),"")</f>
        <v/>
      </c>
      <c r="D310" t="n">
        <v>81.45505572191325</v>
      </c>
      <c r="E310" t="n">
        <v>0</v>
      </c>
      <c r="F310" t="n">
        <v>168.5449442780867</v>
      </c>
      <c r="G310" t="n">
        <v>0</v>
      </c>
      <c r="H310" t="n">
        <v>0</v>
      </c>
      <c r="J310" t="n">
        <v>-21.63073368664513</v>
      </c>
      <c r="K310" t="n">
        <v>51.36876534196105</v>
      </c>
      <c r="L310">
        <f>(J310-Diagramm_Tmin)/Diagramm_dT+1</f>
        <v/>
      </c>
      <c r="M310">
        <f>IF(J310="","",IF(J310&lt;Zoom_Tmin,NA(),(J310-Zoom_Tmin)/Diagramm_dT+1))</f>
        <v/>
      </c>
      <c r="N310">
        <f>IF(J310="","",IF(J310&lt;Zoom2_Tmin,NA(),(J310-Zoom2_Tmin)/Diagramm_dT+1))</f>
        <v/>
      </c>
      <c r="P310" t="n">
        <v>73.77298373446752</v>
      </c>
      <c r="Q310" t="n">
        <v>0</v>
      </c>
      <c r="R310" t="n">
        <v>176.2270162655325</v>
      </c>
    </row>
    <row r="311">
      <c r="B311" t="n">
        <v>71.5</v>
      </c>
      <c r="C311">
        <f>IF(MOD(B311,20)=0,TEXT(B311,"0"),"")</f>
        <v/>
      </c>
      <c r="D311" t="n">
        <v>81.45505572191325</v>
      </c>
      <c r="E311" t="n">
        <v>0</v>
      </c>
      <c r="F311" t="n">
        <v>168.5449442780867</v>
      </c>
      <c r="G311" t="n">
        <v>0</v>
      </c>
      <c r="H311" t="n">
        <v>0</v>
      </c>
      <c r="J311" t="n">
        <v>-18.72012816053223</v>
      </c>
      <c r="K311" t="n">
        <v>52.36888976233109</v>
      </c>
      <c r="L311">
        <f>(J311-Diagramm_Tmin)/Diagramm_dT+1</f>
        <v/>
      </c>
      <c r="M311">
        <f>IF(J311="","",IF(J311&lt;Zoom_Tmin,NA(),(J311-Zoom_Tmin)/Diagramm_dT+1))</f>
        <v/>
      </c>
      <c r="N311">
        <f>IF(J311="","",IF(J311&lt;Zoom2_Tmin,NA(),(J311-Zoom2_Tmin)/Diagramm_dT+1))</f>
        <v/>
      </c>
      <c r="P311" t="n">
        <v>73.77298373446752</v>
      </c>
      <c r="Q311" t="n">
        <v>0</v>
      </c>
      <c r="R311" t="n">
        <v>176.2270162655325</v>
      </c>
    </row>
    <row r="312">
      <c r="B312" t="n">
        <v>72</v>
      </c>
      <c r="C312">
        <f>IF(MOD(B312,20)=0,TEXT(B312,"0"),"")</f>
        <v/>
      </c>
      <c r="D312" t="n">
        <v>81.45505572191325</v>
      </c>
      <c r="E312" t="n">
        <v>0</v>
      </c>
      <c r="F312" t="n">
        <v>168.5449442780867</v>
      </c>
      <c r="G312" t="n">
        <v>0</v>
      </c>
      <c r="H312" t="n">
        <v>0</v>
      </c>
      <c r="J312" t="n">
        <v>-15.80952263441932</v>
      </c>
      <c r="K312" t="n">
        <v>53.52851865008916</v>
      </c>
      <c r="L312">
        <f>(J312-Diagramm_Tmin)/Diagramm_dT+1</f>
        <v/>
      </c>
      <c r="M312">
        <f>IF(J312="","",IF(J312&lt;Zoom_Tmin,NA(),(J312-Zoom_Tmin)/Diagramm_dT+1))</f>
        <v/>
      </c>
      <c r="N312">
        <f>IF(J312="","",IF(J312&lt;Zoom2_Tmin,NA(),(J312-Zoom2_Tmin)/Diagramm_dT+1))</f>
        <v/>
      </c>
      <c r="P312" t="n">
        <v>73.77298373446752</v>
      </c>
      <c r="Q312" t="n">
        <v>0</v>
      </c>
      <c r="R312" t="n">
        <v>176.2270162655325</v>
      </c>
    </row>
    <row r="313">
      <c r="B313" t="n">
        <v>72.5</v>
      </c>
      <c r="C313">
        <f>IF(MOD(B313,20)=0,TEXT(B313,"0"),"")</f>
        <v/>
      </c>
      <c r="D313" t="n">
        <v>81.45505572191325</v>
      </c>
      <c r="E313" t="n">
        <v>0</v>
      </c>
      <c r="F313" t="n">
        <v>168.5449442780867</v>
      </c>
      <c r="G313" t="n">
        <v>0</v>
      </c>
      <c r="H313" t="n">
        <v>0</v>
      </c>
      <c r="J313" t="n">
        <v>-12.89891710830642</v>
      </c>
      <c r="K313" t="n">
        <v>54.84510101452951</v>
      </c>
      <c r="L313">
        <f>(J313-Diagramm_Tmin)/Diagramm_dT+1</f>
        <v/>
      </c>
      <c r="M313">
        <f>IF(J313="","",IF(J313&lt;Zoom_Tmin,NA(),(J313-Zoom_Tmin)/Diagramm_dT+1))</f>
        <v/>
      </c>
      <c r="N313">
        <f>IF(J313="","",IF(J313&lt;Zoom2_Tmin,NA(),(J313-Zoom2_Tmin)/Diagramm_dT+1))</f>
        <v/>
      </c>
      <c r="P313" t="n">
        <v>73.77298373446752</v>
      </c>
      <c r="Q313" t="n">
        <v>0</v>
      </c>
      <c r="R313" t="n">
        <v>176.2270162655325</v>
      </c>
    </row>
    <row r="314">
      <c r="B314" t="n">
        <v>73</v>
      </c>
      <c r="C314">
        <f>IF(MOD(B314,20)=0,TEXT(B314,"0"),"")</f>
        <v/>
      </c>
      <c r="D314" t="n">
        <v>81.45505572191325</v>
      </c>
      <c r="E314" t="n">
        <v>0</v>
      </c>
      <c r="F314" t="n">
        <v>168.5449442780867</v>
      </c>
      <c r="G314" t="n">
        <v>0</v>
      </c>
      <c r="H314" t="n">
        <v>0</v>
      </c>
      <c r="J314" t="n">
        <v>-9.988311582193518</v>
      </c>
      <c r="K314" t="n">
        <v>56.31646800207412</v>
      </c>
      <c r="L314">
        <f>(J314-Diagramm_Tmin)/Diagramm_dT+1</f>
        <v/>
      </c>
      <c r="M314">
        <f>IF(J314="","",IF(J314&lt;Zoom_Tmin,NA(),(J314-Zoom_Tmin)/Diagramm_dT+1))</f>
        <v/>
      </c>
      <c r="N314">
        <f>IF(J314="","",IF(J314&lt;Zoom2_Tmin,NA(),(J314-Zoom2_Tmin)/Diagramm_dT+1))</f>
        <v/>
      </c>
      <c r="P314" t="n">
        <v>73.77298373446752</v>
      </c>
      <c r="Q314" t="n">
        <v>0</v>
      </c>
      <c r="R314" t="n">
        <v>176.2270162655325</v>
      </c>
    </row>
    <row r="315">
      <c r="B315" t="n">
        <v>73.5</v>
      </c>
      <c r="C315">
        <f>IF(MOD(B315,20)=0,TEXT(B315,"0"),"")</f>
        <v/>
      </c>
      <c r="D315" t="n">
        <v>81.45505572191325</v>
      </c>
      <c r="E315" t="n">
        <v>0</v>
      </c>
      <c r="F315" t="n">
        <v>168.5449442780867</v>
      </c>
      <c r="G315" t="n">
        <v>0</v>
      </c>
      <c r="H315" t="n">
        <v>0</v>
      </c>
      <c r="J315" t="n">
        <v>-7.077706056080615</v>
      </c>
      <c r="K315" t="n">
        <v>57.94087290076713</v>
      </c>
      <c r="L315">
        <f>(J315-Diagramm_Tmin)/Diagramm_dT+1</f>
        <v/>
      </c>
      <c r="M315">
        <f>IF(J315="","",IF(J315&lt;Zoom_Tmin,NA(),(J315-Zoom_Tmin)/Diagramm_dT+1))</f>
        <v/>
      </c>
      <c r="N315">
        <f>IF(J315="","",IF(J315&lt;Zoom2_Tmin,NA(),(J315-Zoom2_Tmin)/Diagramm_dT+1))</f>
        <v/>
      </c>
      <c r="P315" t="n">
        <v>73.77298373446752</v>
      </c>
      <c r="Q315" t="n">
        <v>0</v>
      </c>
      <c r="R315" t="n">
        <v>176.2270162655325</v>
      </c>
    </row>
    <row r="316">
      <c r="B316" t="n">
        <v>74</v>
      </c>
      <c r="C316">
        <f>IF(MOD(B316,20)=0,TEXT(B316,"0"),"")</f>
        <v/>
      </c>
      <c r="D316" t="n">
        <v>81.45505572191325</v>
      </c>
      <c r="E316" t="n">
        <v>0</v>
      </c>
      <c r="F316" t="n">
        <v>168.5449442780867</v>
      </c>
      <c r="G316" t="n">
        <v>0</v>
      </c>
      <c r="H316" t="n">
        <v>0</v>
      </c>
      <c r="J316" t="n">
        <v>-4.167100529967712</v>
      </c>
      <c r="K316" t="n">
        <v>59.71693263341051</v>
      </c>
      <c r="L316">
        <f>(J316-Diagramm_Tmin)/Diagramm_dT+1</f>
        <v/>
      </c>
      <c r="M316">
        <f>IF(J316="","",IF(J316&lt;Zoom_Tmin,NA(),(J316-Zoom_Tmin)/Diagramm_dT+1))</f>
        <v/>
      </c>
      <c r="N316">
        <f>IF(J316="","",IF(J316&lt;Zoom2_Tmin,NA(),(J316-Zoom2_Tmin)/Diagramm_dT+1))</f>
        <v/>
      </c>
      <c r="P316" t="n">
        <v>73.77298373446752</v>
      </c>
      <c r="Q316" t="n">
        <v>0</v>
      </c>
      <c r="R316" t="n">
        <v>176.2270162655325</v>
      </c>
    </row>
    <row r="317">
      <c r="B317" t="n">
        <v>74.5</v>
      </c>
      <c r="C317">
        <f>IF(MOD(B317,20)=0,TEXT(B317,"0"),"")</f>
        <v/>
      </c>
      <c r="D317" t="n">
        <v>81.45505572191325</v>
      </c>
      <c r="E317" t="n">
        <v>0</v>
      </c>
      <c r="F317" t="n">
        <v>168.5449442780867</v>
      </c>
      <c r="G317" t="n">
        <v>0</v>
      </c>
      <c r="H317" t="n">
        <v>0</v>
      </c>
      <c r="J317" t="n">
        <v>-1.256495003854809</v>
      </c>
      <c r="K317" t="n">
        <v>61.64210341984655</v>
      </c>
      <c r="L317">
        <f>(J317-Diagramm_Tmin)/Diagramm_dT+1</f>
        <v/>
      </c>
      <c r="M317">
        <f>IF(J317="","",IF(J317&lt;Zoom_Tmin,NA(),(J317-Zoom_Tmin)/Diagramm_dT+1))</f>
        <v/>
      </c>
      <c r="N317">
        <f>IF(J317="","",IF(J317&lt;Zoom2_Tmin,NA(),(J317-Zoom2_Tmin)/Diagramm_dT+1))</f>
        <v/>
      </c>
      <c r="P317" t="n">
        <v>73.77298373446752</v>
      </c>
      <c r="Q317" t="n">
        <v>0</v>
      </c>
      <c r="R317" t="n">
        <v>176.2270162655325</v>
      </c>
    </row>
    <row r="318">
      <c r="B318" t="n">
        <v>75</v>
      </c>
      <c r="C318">
        <f>IF(MOD(B318,20)=0,TEXT(B318,"0"),"")</f>
        <v/>
      </c>
      <c r="D318" t="n">
        <v>81.45505572191325</v>
      </c>
      <c r="E318" t="n">
        <v>0</v>
      </c>
      <c r="F318" t="n">
        <v>168.5449442780867</v>
      </c>
      <c r="G318" t="n">
        <v>0</v>
      </c>
      <c r="H318" t="n">
        <v>0</v>
      </c>
      <c r="J318" t="n">
        <v>1.654110522258094</v>
      </c>
      <c r="K318" t="n">
        <v>63.71401451613437</v>
      </c>
      <c r="L318">
        <f>(J318-Diagramm_Tmin)/Diagramm_dT+1</f>
        <v/>
      </c>
      <c r="M318">
        <f>IF(J318="","",IF(J318&lt;Zoom_Tmin,NA(),(J318-Zoom_Tmin)/Diagramm_dT+1))</f>
        <v/>
      </c>
      <c r="N318">
        <f>IF(J318="","",IF(J318&lt;Zoom2_Tmin,NA(),(J318-Zoom2_Tmin)/Diagramm_dT+1))</f>
        <v/>
      </c>
      <c r="P318" t="n">
        <v>73.77298373446752</v>
      </c>
      <c r="Q318" t="n">
        <v>0</v>
      </c>
      <c r="R318" t="n">
        <v>176.2270162655325</v>
      </c>
    </row>
    <row r="319">
      <c r="B319" t="n">
        <v>75.5</v>
      </c>
      <c r="C319">
        <f>IF(MOD(B319,20)=0,TEXT(B319,"0"),"")</f>
        <v/>
      </c>
      <c r="D319" t="n">
        <v>81.45505572191325</v>
      </c>
      <c r="E319" t="n">
        <v>0</v>
      </c>
      <c r="F319" t="n">
        <v>168.5449442780867</v>
      </c>
      <c r="G319" t="n">
        <v>0</v>
      </c>
      <c r="H319" t="n">
        <v>0</v>
      </c>
      <c r="J319" t="n">
        <v>4.564716048370997</v>
      </c>
      <c r="K319" t="n">
        <v>65.92921182906787</v>
      </c>
      <c r="L319">
        <f>(J319-Diagramm_Tmin)/Diagramm_dT+1</f>
        <v/>
      </c>
      <c r="M319">
        <f>IF(J319="","",IF(J319&lt;Zoom_Tmin,NA(),(J319-Zoom_Tmin)/Diagramm_dT+1))</f>
        <v/>
      </c>
      <c r="N319">
        <f>IF(J319="","",IF(J319&lt;Zoom2_Tmin,NA(),(J319-Zoom2_Tmin)/Diagramm_dT+1))</f>
        <v/>
      </c>
      <c r="P319" t="n">
        <v>73.77298373446752</v>
      </c>
      <c r="Q319" t="n">
        <v>0</v>
      </c>
      <c r="R319" t="n">
        <v>176.2270162655325</v>
      </c>
    </row>
    <row r="320">
      <c r="B320" t="n">
        <v>76</v>
      </c>
      <c r="C320">
        <f>IF(MOD(B320,20)=0,TEXT(B320,"0"),"")</f>
        <v/>
      </c>
      <c r="D320" t="n">
        <v>81.45505572191325</v>
      </c>
      <c r="E320" t="n">
        <v>0</v>
      </c>
      <c r="F320" t="n">
        <v>168.5449442780867</v>
      </c>
      <c r="G320" t="n">
        <v>0</v>
      </c>
      <c r="H320" t="n">
        <v>0</v>
      </c>
      <c r="J320" t="n">
        <v>7.4753215744839</v>
      </c>
      <c r="K320" t="n">
        <v>68.28223362356275</v>
      </c>
      <c r="L320">
        <f>(J320-Diagramm_Tmin)/Diagramm_dT+1</f>
        <v/>
      </c>
      <c r="M320">
        <f>IF(J320="","",IF(J320&lt;Zoom_Tmin,NA(),(J320-Zoom_Tmin)/Diagramm_dT+1))</f>
        <v/>
      </c>
      <c r="N320">
        <f>IF(J320="","",IF(J320&lt;Zoom2_Tmin,NA(),(J320-Zoom2_Tmin)/Diagramm_dT+1))</f>
        <v/>
      </c>
      <c r="P320" t="n">
        <v>73.77298373446752</v>
      </c>
      <c r="Q320" t="n">
        <v>0</v>
      </c>
      <c r="R320" t="n">
        <v>176.2270162655325</v>
      </c>
    </row>
    <row r="321">
      <c r="B321" t="n">
        <v>76.5</v>
      </c>
      <c r="C321">
        <f>IF(MOD(B321,20)=0,TEXT(B321,"0"),"")</f>
        <v/>
      </c>
      <c r="D321" t="n">
        <v>81.45505572191325</v>
      </c>
      <c r="E321" t="n">
        <v>0</v>
      </c>
      <c r="F321" t="n">
        <v>168.5449442780867</v>
      </c>
      <c r="G321" t="n">
        <v>0</v>
      </c>
      <c r="H321" t="n">
        <v>0</v>
      </c>
      <c r="J321" t="n">
        <v>10.3859271005968</v>
      </c>
      <c r="K321" t="n">
        <v>70.76495485254775</v>
      </c>
      <c r="L321">
        <f>(J321-Diagramm_Tmin)/Diagramm_dT+1</f>
        <v/>
      </c>
      <c r="M321">
        <f>IF(J321="","",IF(J321&lt;Zoom_Tmin,NA(),(J321-Zoom_Tmin)/Diagramm_dT+1))</f>
        <v/>
      </c>
      <c r="N321">
        <f>IF(J321="","",IF(J321&lt;Zoom2_Tmin,NA(),(J321-Zoom2_Tmin)/Diagramm_dT+1))</f>
        <v/>
      </c>
      <c r="P321" t="n">
        <v>73.77298373446752</v>
      </c>
      <c r="Q321" t="n">
        <v>0</v>
      </c>
      <c r="R321" t="n">
        <v>176.2270162655325</v>
      </c>
    </row>
    <row r="322">
      <c r="B322" t="n">
        <v>77</v>
      </c>
      <c r="C322">
        <f>IF(MOD(B322,20)=0,TEXT(B322,"0"),"")</f>
        <v/>
      </c>
      <c r="D322" t="n">
        <v>81.45505572191325</v>
      </c>
      <c r="E322" t="n">
        <v>0</v>
      </c>
      <c r="F322" t="n">
        <v>168.5449442780867</v>
      </c>
      <c r="G322" t="n">
        <v>0</v>
      </c>
      <c r="H322" t="n">
        <v>0</v>
      </c>
      <c r="J322" t="n">
        <v>13.29653262670971</v>
      </c>
      <c r="K322" t="n">
        <v>73.36451331030369</v>
      </c>
      <c r="L322">
        <f>(J322-Diagramm_Tmin)/Diagramm_dT+1</f>
        <v/>
      </c>
      <c r="M322">
        <f>IF(J322="","",IF(J322&lt;Zoom_Tmin,NA(),(J322-Zoom_Tmin)/Diagramm_dT+1))</f>
        <v/>
      </c>
      <c r="N322">
        <f>IF(J322="","",IF(J322&lt;Zoom2_Tmin,NA(),(J322-Zoom2_Tmin)/Diagramm_dT+1))</f>
        <v/>
      </c>
      <c r="P322" t="n">
        <v>73.77298373446752</v>
      </c>
      <c r="Q322" t="n">
        <v>0</v>
      </c>
      <c r="R322" t="n">
        <v>176.2270162655325</v>
      </c>
    </row>
    <row r="323">
      <c r="B323" t="n">
        <v>77.5</v>
      </c>
      <c r="C323">
        <f>IF(MOD(B323,20)=0,TEXT(B323,"0"),"")</f>
        <v/>
      </c>
      <c r="D323" t="n">
        <v>81.45505572191325</v>
      </c>
      <c r="E323" t="n">
        <v>0</v>
      </c>
      <c r="F323" t="n">
        <v>168.5449442780867</v>
      </c>
      <c r="G323" t="n">
        <v>0</v>
      </c>
      <c r="H323" t="n">
        <v>0</v>
      </c>
      <c r="J323" t="n">
        <v>16.20713815282261</v>
      </c>
      <c r="K323" t="n">
        <v>76.06158761144769</v>
      </c>
      <c r="L323">
        <f>(J323-Diagramm_Tmin)/Diagramm_dT+1</f>
        <v/>
      </c>
      <c r="M323">
        <f>IF(J323="","",IF(J323&lt;Zoom_Tmin,NA(),(J323-Zoom_Tmin)/Diagramm_dT+1))</f>
        <v/>
      </c>
      <c r="N323">
        <f>IF(J323="","",IF(J323&lt;Zoom2_Tmin,NA(),(J323-Zoom2_Tmin)/Diagramm_dT+1))</f>
        <v/>
      </c>
      <c r="P323" t="n">
        <v>73.77298373446752</v>
      </c>
      <c r="Q323" t="n">
        <v>0</v>
      </c>
      <c r="R323" t="n">
        <v>176.2270162655325</v>
      </c>
    </row>
    <row r="324">
      <c r="B324" t="n">
        <v>78</v>
      </c>
      <c r="C324">
        <f>IF(MOD(B324,20)=0,TEXT(B324,"0"),"")</f>
        <v/>
      </c>
      <c r="D324" t="n">
        <v>81.45505572191325</v>
      </c>
      <c r="E324" t="n">
        <v>0</v>
      </c>
      <c r="F324" t="n">
        <v>168.5449442780867</v>
      </c>
      <c r="G324" t="n">
        <v>0</v>
      </c>
      <c r="H324" t="n">
        <v>0</v>
      </c>
      <c r="J324" t="n">
        <v>19.11774367893551</v>
      </c>
      <c r="K324" t="n">
        <v>78.81922862244744</v>
      </c>
      <c r="L324">
        <f>(J324-Diagramm_Tmin)/Diagramm_dT+1</f>
        <v/>
      </c>
      <c r="M324">
        <f>IF(J324="","",IF(J324&lt;Zoom_Tmin,NA(),(J324-Zoom_Tmin)/Diagramm_dT+1))</f>
        <v/>
      </c>
      <c r="N324">
        <f>IF(J324="","",IF(J324&lt;Zoom2_Tmin,NA(),(J324-Zoom2_Tmin)/Diagramm_dT+1))</f>
        <v/>
      </c>
      <c r="P324" t="n">
        <v>73.77298373446752</v>
      </c>
      <c r="Q324" t="n">
        <v>0</v>
      </c>
      <c r="R324" t="n">
        <v>176.2270162655325</v>
      </c>
    </row>
    <row r="325">
      <c r="B325" t="n">
        <v>78.5</v>
      </c>
      <c r="C325">
        <f>IF(MOD(B325,20)=0,TEXT(B325,"0"),"")</f>
        <v/>
      </c>
      <c r="D325" t="n">
        <v>81.45505572191325</v>
      </c>
      <c r="E325" t="n">
        <v>0</v>
      </c>
      <c r="F325" t="n">
        <v>168.5449442780867</v>
      </c>
      <c r="G325" t="n">
        <v>0</v>
      </c>
      <c r="H325" t="n">
        <v>0</v>
      </c>
      <c r="J325" t="n">
        <v>22.02834920504841</v>
      </c>
      <c r="K325" t="n">
        <v>81.50737939841081</v>
      </c>
      <c r="L325">
        <f>(J325-Diagramm_Tmin)/Diagramm_dT+1</f>
        <v/>
      </c>
      <c r="M325">
        <f>IF(J325="","",IF(J325&lt;Zoom_Tmin,NA(),(J325-Zoom_Tmin)/Diagramm_dT+1))</f>
        <v/>
      </c>
      <c r="N325">
        <f>IF(J325="","",IF(J325&lt;Zoom2_Tmin,NA(),(J325-Zoom2_Tmin)/Diagramm_dT+1))</f>
        <v/>
      </c>
      <c r="P325" t="n">
        <v>73.77298373446752</v>
      </c>
      <c r="Q325" t="n">
        <v>0</v>
      </c>
      <c r="R325" t="n">
        <v>176.2270162655325</v>
      </c>
    </row>
    <row r="326">
      <c r="B326" t="n">
        <v>79</v>
      </c>
      <c r="C326">
        <f>IF(MOD(B326,20)=0,TEXT(B326,"0"),"")</f>
        <v/>
      </c>
      <c r="D326" t="n">
        <v>81.45505572191325</v>
      </c>
      <c r="E326" t="n">
        <v>0</v>
      </c>
      <c r="F326" t="n">
        <v>168.5449442780867</v>
      </c>
      <c r="G326" t="n">
        <v>0</v>
      </c>
      <c r="H326" t="n">
        <v>0</v>
      </c>
      <c r="J326" t="n">
        <v>24.93895473116132</v>
      </c>
      <c r="K326" t="n">
        <v>84.00638618349222</v>
      </c>
      <c r="L326">
        <f>(J326-Diagramm_Tmin)/Diagramm_dT+1</f>
        <v/>
      </c>
      <c r="M326">
        <f>IF(J326="","",IF(J326&lt;Zoom_Tmin,NA(),(J326-Zoom_Tmin)/Diagramm_dT+1))</f>
        <v/>
      </c>
      <c r="N326">
        <f>IF(J326="","",IF(J326&lt;Zoom2_Tmin,NA(),(J326-Zoom2_Tmin)/Diagramm_dT+1))</f>
        <v/>
      </c>
      <c r="P326" t="n">
        <v>73.77298373446752</v>
      </c>
      <c r="Q326" t="n">
        <v>0</v>
      </c>
      <c r="R326" t="n">
        <v>176.2270162655325</v>
      </c>
    </row>
    <row r="327">
      <c r="B327" t="n">
        <v>79.5</v>
      </c>
      <c r="C327">
        <f>IF(MOD(B327,20)=0,TEXT(B327,"0"),"")</f>
        <v/>
      </c>
      <c r="D327" t="n">
        <v>81.45505572191325</v>
      </c>
      <c r="E327" t="n">
        <v>0</v>
      </c>
      <c r="F327" t="n">
        <v>168.5449442780867</v>
      </c>
      <c r="G327" t="n">
        <v>0</v>
      </c>
      <c r="H327" t="n">
        <v>0</v>
      </c>
      <c r="J327" t="n">
        <v>27.84956025727422</v>
      </c>
      <c r="K327" t="n">
        <v>84.68534440677382</v>
      </c>
      <c r="L327">
        <f>(J327-Diagramm_Tmin)/Diagramm_dT+1</f>
        <v/>
      </c>
      <c r="M327">
        <f>IF(J327="","",IF(J327&lt;Zoom_Tmin,NA(),(J327-Zoom_Tmin)/Diagramm_dT+1))</f>
        <v/>
      </c>
      <c r="N327">
        <f>IF(J327="","",IF(J327&lt;Zoom2_Tmin,NA(),(J327-Zoom2_Tmin)/Diagramm_dT+1))</f>
        <v/>
      </c>
      <c r="P327" t="n">
        <v>73.77298373446752</v>
      </c>
      <c r="Q327" t="n">
        <v>0</v>
      </c>
      <c r="R327" t="n">
        <v>176.2270162655325</v>
      </c>
    </row>
    <row r="328">
      <c r="B328" t="n">
        <v>80</v>
      </c>
      <c r="C328">
        <f>IF(MOD(B328,20)=0,TEXT(B328,"0"),"")</f>
        <v/>
      </c>
      <c r="D328" t="n">
        <v>81.45505572191325</v>
      </c>
      <c r="E328" t="n">
        <v>0</v>
      </c>
      <c r="F328" t="n">
        <v>168.5449442780867</v>
      </c>
      <c r="G328" t="n">
        <v>0</v>
      </c>
      <c r="H328" t="n">
        <v>0</v>
      </c>
      <c r="M328">
        <f>IF(J328="","",IF(J328&lt;Zoom_Tmin,NA(),(J328-Zoom_Tmin)/Diagramm_dT+1))</f>
        <v/>
      </c>
      <c r="N328">
        <f>IF(J328="","",IF(J328&lt;Zoom2_Tmin,NA(),(J328-Zoom2_Tmin)/Diagramm_dT+1))</f>
        <v/>
      </c>
      <c r="P328" t="n">
        <v>73.77298373446752</v>
      </c>
      <c r="Q328" t="n">
        <v>0</v>
      </c>
      <c r="R328" t="n">
        <v>176.2270162655325</v>
      </c>
    </row>
    <row r="329">
      <c r="B329" t="n">
        <v>80.5</v>
      </c>
      <c r="C329">
        <f>IF(MOD(B329,20)=0,TEXT(B329,"0"),"")</f>
        <v/>
      </c>
      <c r="D329" t="n">
        <v>81.45505572191325</v>
      </c>
      <c r="E329" t="n">
        <v>0</v>
      </c>
      <c r="F329" t="n">
        <v>168.5449442780867</v>
      </c>
      <c r="G329" t="n">
        <v>0</v>
      </c>
      <c r="H329" t="n">
        <v>0</v>
      </c>
      <c r="I329" s="76" t="inlineStr">
        <is>
          <t>Taulinie − 3 bar (sicher gasförmig)</t>
        </is>
      </c>
      <c r="J329" t="n">
        <v>-56.55799999999996</v>
      </c>
      <c r="K329" t="n">
        <v>2.478005125992963</v>
      </c>
      <c r="L329">
        <f>(J329-Diagramm_Tmin)/Diagramm_dT+1</f>
        <v/>
      </c>
      <c r="M329">
        <f>IF(J329="","",IF(J329&lt;Zoom_Tmin,NA(),(J329-Zoom_Tmin)/Diagramm_dT+1))</f>
        <v/>
      </c>
      <c r="N329">
        <f>IF(J329="","",IF(J329&lt;Zoom2_Tmin,NA(),(J329-Zoom2_Tmin)/Diagramm_dT+1))</f>
        <v/>
      </c>
      <c r="P329" t="n">
        <v>73.77298373446752</v>
      </c>
      <c r="Q329" t="n">
        <v>0</v>
      </c>
      <c r="R329" t="n">
        <v>176.2270162655325</v>
      </c>
    </row>
    <row r="330">
      <c r="B330" t="n">
        <v>81</v>
      </c>
      <c r="C330">
        <f>IF(MOD(B330,20)=0,TEXT(B330,"0"),"")</f>
        <v/>
      </c>
      <c r="D330" t="n">
        <v>81.45505572191325</v>
      </c>
      <c r="E330" t="n">
        <v>0</v>
      </c>
      <c r="F330" t="n">
        <v>168.5449442780867</v>
      </c>
      <c r="G330" t="n">
        <v>0</v>
      </c>
      <c r="H330" t="n">
        <v>0</v>
      </c>
      <c r="J330" t="n">
        <v>-53.63898881551319</v>
      </c>
      <c r="K330" t="n">
        <v>3.210459933267534</v>
      </c>
      <c r="L330">
        <f>(J330-Diagramm_Tmin)/Diagramm_dT+1</f>
        <v/>
      </c>
      <c r="M330">
        <f>IF(J330="","",IF(J330&lt;Zoom_Tmin,NA(),(J330-Zoom_Tmin)/Diagramm_dT+1))</f>
        <v/>
      </c>
      <c r="N330">
        <f>IF(J330="","",IF(J330&lt;Zoom2_Tmin,NA(),(J330-Zoom2_Tmin)/Diagramm_dT+1))</f>
        <v/>
      </c>
      <c r="P330" t="n">
        <v>73.77298373446752</v>
      </c>
      <c r="Q330" t="n">
        <v>0</v>
      </c>
      <c r="R330" t="n">
        <v>176.2270162655325</v>
      </c>
    </row>
    <row r="331">
      <c r="B331" t="n">
        <v>81.5</v>
      </c>
      <c r="C331">
        <f>IF(MOD(B331,20)=0,TEXT(B331,"0"),"")</f>
        <v/>
      </c>
      <c r="D331" t="n">
        <v>81.45505572191325</v>
      </c>
      <c r="E331" t="n">
        <v>0</v>
      </c>
      <c r="F331" t="n">
        <v>168.5449442780867</v>
      </c>
      <c r="G331" t="n">
        <v>0</v>
      </c>
      <c r="H331" t="n">
        <v>0</v>
      </c>
      <c r="J331" t="n">
        <v>-50.71997763102641</v>
      </c>
      <c r="K331" t="n">
        <v>4.014734598378878</v>
      </c>
      <c r="L331">
        <f>(J331-Diagramm_Tmin)/Diagramm_dT+1</f>
        <v/>
      </c>
      <c r="M331">
        <f>IF(J331="","",IF(J331&lt;Zoom_Tmin,NA(),(J331-Zoom_Tmin)/Diagramm_dT+1))</f>
        <v/>
      </c>
      <c r="N331">
        <f>IF(J331="","",IF(J331&lt;Zoom2_Tmin,NA(),(J331-Zoom2_Tmin)/Diagramm_dT+1))</f>
        <v/>
      </c>
      <c r="P331" t="n">
        <v>73.77298373446752</v>
      </c>
      <c r="Q331" t="n">
        <v>0</v>
      </c>
      <c r="R331" t="n">
        <v>176.2270162655325</v>
      </c>
    </row>
    <row r="332">
      <c r="B332" t="n">
        <v>82</v>
      </c>
      <c r="C332">
        <f>IF(MOD(B332,20)=0,TEXT(B332,"0"),"")</f>
        <v/>
      </c>
      <c r="D332" t="n">
        <v>81.45505572191325</v>
      </c>
      <c r="E332" t="n">
        <v>0</v>
      </c>
      <c r="F332" t="n">
        <v>168.5449442780867</v>
      </c>
      <c r="G332" t="n">
        <v>0</v>
      </c>
      <c r="H332" t="n">
        <v>0</v>
      </c>
      <c r="J332" t="n">
        <v>-47.80096644653964</v>
      </c>
      <c r="K332" t="n">
        <v>4.894981804675645</v>
      </c>
      <c r="L332">
        <f>(J332-Diagramm_Tmin)/Diagramm_dT+1</f>
        <v/>
      </c>
      <c r="M332">
        <f>IF(J332="","",IF(J332&lt;Zoom_Tmin,NA(),(J332-Zoom_Tmin)/Diagramm_dT+1))</f>
        <v/>
      </c>
      <c r="N332">
        <f>IF(J332="","",IF(J332&lt;Zoom2_Tmin,NA(),(J332-Zoom2_Tmin)/Diagramm_dT+1))</f>
        <v/>
      </c>
      <c r="P332" t="n">
        <v>73.77298373446752</v>
      </c>
      <c r="Q332" t="n">
        <v>0</v>
      </c>
      <c r="R332" t="n">
        <v>176.2270162655325</v>
      </c>
    </row>
    <row r="333">
      <c r="B333" t="n">
        <v>82.5</v>
      </c>
      <c r="C333">
        <f>IF(MOD(B333,20)=0,TEXT(B333,"0"),"")</f>
        <v/>
      </c>
      <c r="D333" t="n">
        <v>81.45505572191325</v>
      </c>
      <c r="E333" t="n">
        <v>0</v>
      </c>
      <c r="F333" t="n">
        <v>168.5449442780867</v>
      </c>
      <c r="G333" t="n">
        <v>0</v>
      </c>
      <c r="H333" t="n">
        <v>0</v>
      </c>
      <c r="J333" t="n">
        <v>-44.88195526205286</v>
      </c>
      <c r="K333" t="n">
        <v>5.85642459629506</v>
      </c>
      <c r="L333">
        <f>(J333-Diagramm_Tmin)/Diagramm_dT+1</f>
        <v/>
      </c>
      <c r="M333">
        <f>IF(J333="","",IF(J333&lt;Zoom_Tmin,NA(),(J333-Zoom_Tmin)/Diagramm_dT+1))</f>
        <v/>
      </c>
      <c r="N333">
        <f>IF(J333="","",IF(J333&lt;Zoom2_Tmin,NA(),(J333-Zoom2_Tmin)/Diagramm_dT+1))</f>
        <v/>
      </c>
      <c r="P333" t="n">
        <v>73.77298373446752</v>
      </c>
      <c r="Q333" t="n">
        <v>0</v>
      </c>
      <c r="R333" t="n">
        <v>176.2270162655325</v>
      </c>
    </row>
    <row r="334">
      <c r="B334" t="n">
        <v>83</v>
      </c>
      <c r="C334">
        <f>IF(MOD(B334,20)=0,TEXT(B334,"0"),"")</f>
        <v/>
      </c>
      <c r="D334" t="n">
        <v>81.45505572191325</v>
      </c>
      <c r="E334" t="n">
        <v>0</v>
      </c>
      <c r="F334" t="n">
        <v>168.5449442780867</v>
      </c>
      <c r="G334" t="n">
        <v>0</v>
      </c>
      <c r="H334" t="n">
        <v>0</v>
      </c>
      <c r="J334" t="n">
        <v>-41.96294407756609</v>
      </c>
      <c r="K334" t="n">
        <v>6.9029427794702</v>
      </c>
      <c r="L334">
        <f>(J334-Diagramm_Tmin)/Diagramm_dT+1</f>
        <v/>
      </c>
      <c r="M334">
        <f>IF(J334="","",IF(J334&lt;Zoom_Tmin,NA(),(J334-Zoom_Tmin)/Diagramm_dT+1))</f>
        <v/>
      </c>
      <c r="N334">
        <f>IF(J334="","",IF(J334&lt;Zoom2_Tmin,NA(),(J334-Zoom2_Tmin)/Diagramm_dT+1))</f>
        <v/>
      </c>
      <c r="P334" t="n">
        <v>73.77298373446752</v>
      </c>
      <c r="Q334" t="n">
        <v>0</v>
      </c>
      <c r="R334" t="n">
        <v>176.2270162655325</v>
      </c>
    </row>
    <row r="335">
      <c r="B335" t="n">
        <v>83.5</v>
      </c>
      <c r="C335">
        <f>IF(MOD(B335,20)=0,TEXT(B335,"0"),"")</f>
        <v/>
      </c>
      <c r="D335" t="n">
        <v>81.45505572191325</v>
      </c>
      <c r="E335" t="n">
        <v>0</v>
      </c>
      <c r="F335" t="n">
        <v>168.5449442780867</v>
      </c>
      <c r="G335" t="n">
        <v>0</v>
      </c>
      <c r="H335" t="n">
        <v>0</v>
      </c>
      <c r="J335" t="n">
        <v>-39.04393289307932</v>
      </c>
      <c r="K335" t="n">
        <v>8.039494770148478</v>
      </c>
      <c r="L335">
        <f>(J335-Diagramm_Tmin)/Diagramm_dT+1</f>
        <v/>
      </c>
      <c r="M335">
        <f>IF(J335="","",IF(J335&lt;Zoom_Tmin,NA(),(J335-Zoom_Tmin)/Diagramm_dT+1))</f>
        <v/>
      </c>
      <c r="N335">
        <f>IF(J335="","",IF(J335&lt;Zoom2_Tmin,NA(),(J335-Zoom2_Tmin)/Diagramm_dT+1))</f>
        <v/>
      </c>
      <c r="P335" t="n">
        <v>73.77298373446752</v>
      </c>
      <c r="Q335" t="n">
        <v>0</v>
      </c>
      <c r="R335" t="n">
        <v>176.2270162655325</v>
      </c>
    </row>
    <row r="336">
      <c r="B336" t="n">
        <v>84</v>
      </c>
      <c r="C336">
        <f>IF(MOD(B336,20)=0,TEXT(B336,"0"),"")</f>
        <v/>
      </c>
      <c r="D336" t="n">
        <v>81.45505572191325</v>
      </c>
      <c r="E336" t="n">
        <v>0</v>
      </c>
      <c r="F336" t="n">
        <v>168.5449442780867</v>
      </c>
      <c r="G336" t="n">
        <v>0</v>
      </c>
      <c r="H336" t="n">
        <v>0</v>
      </c>
      <c r="J336" t="n">
        <v>-36.12492170859254</v>
      </c>
      <c r="K336" t="n">
        <v>9.271309156113892</v>
      </c>
      <c r="L336">
        <f>(J336-Diagramm_Tmin)/Diagramm_dT+1</f>
        <v/>
      </c>
      <c r="M336">
        <f>IF(J336="","",IF(J336&lt;Zoom_Tmin,NA(),(J336-Zoom_Tmin)/Diagramm_dT+1))</f>
        <v/>
      </c>
      <c r="N336">
        <f>IF(J336="","",IF(J336&lt;Zoom2_Tmin,NA(),(J336-Zoom2_Tmin)/Diagramm_dT+1))</f>
        <v/>
      </c>
      <c r="P336" t="n">
        <v>73.77298373446752</v>
      </c>
      <c r="Q336" t="n">
        <v>0</v>
      </c>
      <c r="R336" t="n">
        <v>176.2270162655325</v>
      </c>
    </row>
    <row r="337">
      <c r="B337" t="n">
        <v>84.5</v>
      </c>
      <c r="C337">
        <f>IF(MOD(B337,20)=0,TEXT(B337,"0"),"")</f>
        <v/>
      </c>
      <c r="D337" t="n">
        <v>81.45505572191325</v>
      </c>
      <c r="E337" t="n">
        <v>0</v>
      </c>
      <c r="F337" t="n">
        <v>168.5449442780867</v>
      </c>
      <c r="G337" t="n">
        <v>0</v>
      </c>
      <c r="H337" t="n">
        <v>0</v>
      </c>
      <c r="J337" t="n">
        <v>-33.20591052410576</v>
      </c>
      <c r="K337" t="n">
        <v>10.60308538905982</v>
      </c>
      <c r="L337">
        <f>(J337-Diagramm_Tmin)/Diagramm_dT+1</f>
        <v/>
      </c>
      <c r="M337">
        <f>IF(J337="","",IF(J337&lt;Zoom_Tmin,NA(),(J337-Zoom_Tmin)/Diagramm_dT+1))</f>
        <v/>
      </c>
      <c r="N337">
        <f>IF(J337="","",IF(J337&lt;Zoom2_Tmin,NA(),(J337-Zoom2_Tmin)/Diagramm_dT+1))</f>
        <v/>
      </c>
      <c r="P337" t="n">
        <v>73.77298373446752</v>
      </c>
      <c r="Q337" t="n">
        <v>0</v>
      </c>
      <c r="R337" t="n">
        <v>176.2270162655325</v>
      </c>
    </row>
    <row r="338">
      <c r="B338" t="n">
        <v>85</v>
      </c>
      <c r="C338">
        <f>IF(MOD(B338,20)=0,TEXT(B338,"0"),"")</f>
        <v/>
      </c>
      <c r="D338" t="n">
        <v>81.45505572191325</v>
      </c>
      <c r="E338" t="n">
        <v>0</v>
      </c>
      <c r="F338" t="n">
        <v>168.5449442780867</v>
      </c>
      <c r="G338" t="n">
        <v>0</v>
      </c>
      <c r="H338" t="n">
        <v>0</v>
      </c>
      <c r="J338" t="n">
        <v>-30.28689933961898</v>
      </c>
      <c r="K338" t="n">
        <v>12.03985217241843</v>
      </c>
      <c r="L338">
        <f>(J338-Diagramm_Tmin)/Diagramm_dT+1</f>
        <v/>
      </c>
      <c r="M338">
        <f>IF(J338="","",IF(J338&lt;Zoom_Tmin,NA(),(J338-Zoom_Tmin)/Diagramm_dT+1))</f>
        <v/>
      </c>
      <c r="N338">
        <f>IF(J338="","",IF(J338&lt;Zoom2_Tmin,NA(),(J338-Zoom2_Tmin)/Diagramm_dT+1))</f>
        <v/>
      </c>
      <c r="P338" t="n">
        <v>73.77298373446752</v>
      </c>
      <c r="Q338" t="n">
        <v>0</v>
      </c>
      <c r="R338" t="n">
        <v>176.2270162655325</v>
      </c>
    </row>
    <row r="339">
      <c r="B339" t="n">
        <v>85.5</v>
      </c>
      <c r="C339">
        <f>IF(MOD(B339,20)=0,TEXT(B339,"0"),"")</f>
        <v/>
      </c>
      <c r="D339" t="n">
        <v>81.45505572191325</v>
      </c>
      <c r="E339" t="n">
        <v>0</v>
      </c>
      <c r="F339" t="n">
        <v>168.5449442780867</v>
      </c>
      <c r="G339" t="n">
        <v>0</v>
      </c>
      <c r="H339" t="n">
        <v>0</v>
      </c>
      <c r="J339" t="n">
        <v>-27.36788815513221</v>
      </c>
      <c r="K339" t="n">
        <v>13.58687376595299</v>
      </c>
      <c r="L339">
        <f>(J339-Diagramm_Tmin)/Diagramm_dT+1</f>
        <v/>
      </c>
      <c r="M339">
        <f>IF(J339="","",IF(J339&lt;Zoom_Tmin,NA(),(J339-Zoom_Tmin)/Diagramm_dT+1))</f>
        <v/>
      </c>
      <c r="N339">
        <f>IF(J339="","",IF(J339&lt;Zoom2_Tmin,NA(),(J339-Zoom2_Tmin)/Diagramm_dT+1))</f>
        <v/>
      </c>
      <c r="P339" t="n">
        <v>73.77298373446752</v>
      </c>
      <c r="Q339" t="n">
        <v>0</v>
      </c>
      <c r="R339" t="n">
        <v>176.2270162655325</v>
      </c>
    </row>
    <row r="340">
      <c r="B340" t="n">
        <v>86</v>
      </c>
      <c r="C340">
        <f>IF(MOD(B340,20)=0,TEXT(B340,"0"),"")</f>
        <v/>
      </c>
      <c r="D340" t="n">
        <v>81.45505572191325</v>
      </c>
      <c r="E340" t="n">
        <v>0</v>
      </c>
      <c r="F340" t="n">
        <v>168.5449442780867</v>
      </c>
      <c r="G340" t="n">
        <v>0</v>
      </c>
      <c r="H340" t="n">
        <v>0</v>
      </c>
      <c r="J340" t="n">
        <v>-24.44887697064544</v>
      </c>
      <c r="K340" t="n">
        <v>15.24959293690453</v>
      </c>
      <c r="L340">
        <f>(J340-Diagramm_Tmin)/Diagramm_dT+1</f>
        <v/>
      </c>
      <c r="M340">
        <f>IF(J340="","",IF(J340&lt;Zoom_Tmin,NA(),(J340-Zoom_Tmin)/Diagramm_dT+1))</f>
        <v/>
      </c>
      <c r="N340">
        <f>IF(J340="","",IF(J340&lt;Zoom2_Tmin,NA(),(J340-Zoom2_Tmin)/Diagramm_dT+1))</f>
        <v/>
      </c>
      <c r="P340" t="n">
        <v>73.77298373446752</v>
      </c>
      <c r="Q340" t="n">
        <v>0</v>
      </c>
      <c r="R340" t="n">
        <v>176.2270162655325</v>
      </c>
    </row>
    <row r="341">
      <c r="B341" t="n">
        <v>86.5</v>
      </c>
      <c r="C341">
        <f>IF(MOD(B341,20)=0,TEXT(B341,"0"),"")</f>
        <v/>
      </c>
      <c r="D341" t="n">
        <v>81.45505572191325</v>
      </c>
      <c r="E341" t="n">
        <v>0</v>
      </c>
      <c r="F341" t="n">
        <v>168.5449442780867</v>
      </c>
      <c r="G341" t="n">
        <v>0</v>
      </c>
      <c r="H341" t="n">
        <v>0</v>
      </c>
      <c r="J341" t="n">
        <v>-21.52986578615866</v>
      </c>
      <c r="K341" t="n">
        <v>17.03365872715964</v>
      </c>
      <c r="L341">
        <f>(J341-Diagramm_Tmin)/Diagramm_dT+1</f>
        <v/>
      </c>
      <c r="M341">
        <f>IF(J341="","",IF(J341&lt;Zoom_Tmin,NA(),(J341-Zoom_Tmin)/Diagramm_dT+1))</f>
        <v/>
      </c>
      <c r="N341">
        <f>IF(J341="","",IF(J341&lt;Zoom2_Tmin,NA(),(J341-Zoom2_Tmin)/Diagramm_dT+1))</f>
        <v/>
      </c>
      <c r="P341" t="n">
        <v>73.77298373446752</v>
      </c>
      <c r="Q341" t="n">
        <v>0</v>
      </c>
      <c r="R341" t="n">
        <v>176.2270162655325</v>
      </c>
    </row>
    <row r="342">
      <c r="B342" t="n">
        <v>87</v>
      </c>
      <c r="C342">
        <f>IF(MOD(B342,20)=0,TEXT(B342,"0"),"")</f>
        <v/>
      </c>
      <c r="D342" t="n">
        <v>81.45505572191325</v>
      </c>
      <c r="E342" t="n">
        <v>0</v>
      </c>
      <c r="F342" t="n">
        <v>168.5449442780867</v>
      </c>
      <c r="G342" t="n">
        <v>0</v>
      </c>
      <c r="H342" t="n">
        <v>0</v>
      </c>
      <c r="J342" t="n">
        <v>-18.61085460167188</v>
      </c>
      <c r="K342" t="n">
        <v>18.94537681716593</v>
      </c>
      <c r="L342">
        <f>(J342-Diagramm_Tmin)/Diagramm_dT+1</f>
        <v/>
      </c>
      <c r="M342">
        <f>IF(J342="","",IF(J342&lt;Zoom_Tmin,NA(),(J342-Zoom_Tmin)/Diagramm_dT+1))</f>
        <v/>
      </c>
      <c r="N342">
        <f>IF(J342="","",IF(J342&lt;Zoom2_Tmin,NA(),(J342-Zoom2_Tmin)/Diagramm_dT+1))</f>
        <v/>
      </c>
      <c r="P342" t="n">
        <v>73.77298373446752</v>
      </c>
      <c r="Q342" t="n">
        <v>0</v>
      </c>
      <c r="R342" t="n">
        <v>176.2270162655325</v>
      </c>
    </row>
    <row r="343">
      <c r="B343" t="n">
        <v>87.5</v>
      </c>
      <c r="C343">
        <f>IF(MOD(B343,20)=0,TEXT(B343,"0"),"")</f>
        <v/>
      </c>
      <c r="D343" t="n">
        <v>81.45505572191325</v>
      </c>
      <c r="E343" t="n">
        <v>0</v>
      </c>
      <c r="F343" t="n">
        <v>168.5449442780867</v>
      </c>
      <c r="G343" t="n">
        <v>0</v>
      </c>
      <c r="H343" t="n">
        <v>0</v>
      </c>
      <c r="J343" t="n">
        <v>-15.69184341718511</v>
      </c>
      <c r="K343" t="n">
        <v>20.99078566513366</v>
      </c>
      <c r="L343">
        <f>(J343-Diagramm_Tmin)/Diagramm_dT+1</f>
        <v/>
      </c>
      <c r="M343">
        <f>IF(J343="","",IF(J343&lt;Zoom_Tmin,NA(),(J343-Zoom_Tmin)/Diagramm_dT+1))</f>
        <v/>
      </c>
      <c r="N343">
        <f>IF(J343="","",IF(J343&lt;Zoom2_Tmin,NA(),(J343-Zoom2_Tmin)/Diagramm_dT+1))</f>
        <v/>
      </c>
      <c r="P343" t="n">
        <v>73.77298373446752</v>
      </c>
      <c r="Q343" t="n">
        <v>0</v>
      </c>
      <c r="R343" t="n">
        <v>176.2270162655325</v>
      </c>
    </row>
    <row r="344">
      <c r="B344" t="n">
        <v>88</v>
      </c>
      <c r="C344">
        <f>IF(MOD(B344,20)=0,TEXT(B344,"0"),"")</f>
        <v/>
      </c>
      <c r="D344" t="n">
        <v>81.45505572191325</v>
      </c>
      <c r="E344" t="n">
        <v>0</v>
      </c>
      <c r="F344" t="n">
        <v>168.5449442780867</v>
      </c>
      <c r="G344" t="n">
        <v>0</v>
      </c>
      <c r="H344" t="n">
        <v>0</v>
      </c>
      <c r="J344" t="n">
        <v>-12.77283223269833</v>
      </c>
      <c r="K344" t="n">
        <v>23.17620876257201</v>
      </c>
      <c r="L344">
        <f>(J344-Diagramm_Tmin)/Diagramm_dT+1</f>
        <v/>
      </c>
      <c r="M344">
        <f>IF(J344="","",IF(J344&lt;Zoom_Tmin,NA(),(J344-Zoom_Tmin)/Diagramm_dT+1))</f>
        <v/>
      </c>
      <c r="N344">
        <f>IF(J344="","",IF(J344&lt;Zoom2_Tmin,NA(),(J344-Zoom2_Tmin)/Diagramm_dT+1))</f>
        <v/>
      </c>
      <c r="P344" t="n">
        <v>73.77298373446752</v>
      </c>
      <c r="Q344" t="n">
        <v>0</v>
      </c>
      <c r="R344" t="n">
        <v>176.2270162655325</v>
      </c>
    </row>
    <row r="345">
      <c r="B345" t="n">
        <v>88.5</v>
      </c>
      <c r="C345">
        <f>IF(MOD(B345,20)=0,TEXT(B345,"0"),"")</f>
        <v/>
      </c>
      <c r="D345" t="n">
        <v>81.45505572191325</v>
      </c>
      <c r="E345" t="n">
        <v>0</v>
      </c>
      <c r="F345" t="n">
        <v>168.5449442780867</v>
      </c>
      <c r="G345" t="n">
        <v>0</v>
      </c>
      <c r="H345" t="n">
        <v>0</v>
      </c>
      <c r="J345" t="n">
        <v>-9.853821048211557</v>
      </c>
      <c r="K345" t="n">
        <v>25.50860739324004</v>
      </c>
      <c r="L345">
        <f>(J345-Diagramm_Tmin)/Diagramm_dT+1</f>
        <v/>
      </c>
      <c r="M345">
        <f>IF(J345="","",IF(J345&lt;Zoom_Tmin,NA(),(J345-Zoom_Tmin)/Diagramm_dT+1))</f>
        <v/>
      </c>
      <c r="N345">
        <f>IF(J345="","",IF(J345&lt;Zoom2_Tmin,NA(),(J345-Zoom2_Tmin)/Diagramm_dT+1))</f>
        <v/>
      </c>
      <c r="P345" t="n">
        <v>73.77298373446752</v>
      </c>
      <c r="Q345" t="n">
        <v>0</v>
      </c>
      <c r="R345" t="n">
        <v>176.2270162655325</v>
      </c>
    </row>
    <row r="346">
      <c r="B346" t="n">
        <v>89</v>
      </c>
      <c r="C346">
        <f>IF(MOD(B346,20)=0,TEXT(B346,"0"),"")</f>
        <v/>
      </c>
      <c r="D346" t="n">
        <v>81.45505572191325</v>
      </c>
      <c r="E346" t="n">
        <v>0</v>
      </c>
      <c r="F346" t="n">
        <v>168.5449442780867</v>
      </c>
      <c r="G346" t="n">
        <v>0</v>
      </c>
      <c r="H346" t="n">
        <v>0</v>
      </c>
      <c r="J346" t="n">
        <v>-6.93480986372478</v>
      </c>
      <c r="K346" t="n">
        <v>27.99547422830758</v>
      </c>
      <c r="L346">
        <f>(J346-Diagramm_Tmin)/Diagramm_dT+1</f>
        <v/>
      </c>
      <c r="M346">
        <f>IF(J346="","",IF(J346&lt;Zoom_Tmin,NA(),(J346-Zoom_Tmin)/Diagramm_dT+1))</f>
        <v/>
      </c>
      <c r="N346">
        <f>IF(J346="","",IF(J346&lt;Zoom2_Tmin,NA(),(J346-Zoom2_Tmin)/Diagramm_dT+1))</f>
        <v/>
      </c>
      <c r="P346" t="n">
        <v>73.77298373446752</v>
      </c>
      <c r="Q346" t="n">
        <v>0</v>
      </c>
      <c r="R346" t="n">
        <v>176.2270162655325</v>
      </c>
    </row>
    <row r="347">
      <c r="B347" t="n">
        <v>89.5</v>
      </c>
      <c r="C347">
        <f>IF(MOD(B347,20)=0,TEXT(B347,"0"),"")</f>
        <v/>
      </c>
      <c r="D347" t="n">
        <v>81.45505572191325</v>
      </c>
      <c r="E347" t="n">
        <v>0</v>
      </c>
      <c r="F347" t="n">
        <v>168.5449442780867</v>
      </c>
      <c r="G347" t="n">
        <v>0</v>
      </c>
      <c r="H347" t="n">
        <v>0</v>
      </c>
      <c r="J347" t="n">
        <v>-4.015798679238003</v>
      </c>
      <c r="K347" t="n">
        <v>30.64497351876961</v>
      </c>
      <c r="L347">
        <f>(J347-Diagramm_Tmin)/Diagramm_dT+1</f>
        <v/>
      </c>
      <c r="M347">
        <f>IF(J347="","",IF(J347&lt;Zoom_Tmin,NA(),(J347-Zoom_Tmin)/Diagramm_dT+1))</f>
        <v/>
      </c>
      <c r="N347">
        <f>IF(J347="","",IF(J347&lt;Zoom2_Tmin,NA(),(J347-Zoom2_Tmin)/Diagramm_dT+1))</f>
        <v/>
      </c>
      <c r="P347" t="n">
        <v>73.77298373446752</v>
      </c>
      <c r="Q347" t="n">
        <v>0</v>
      </c>
      <c r="R347" t="n">
        <v>176.2270162655325</v>
      </c>
    </row>
    <row r="348">
      <c r="B348" t="n">
        <v>90</v>
      </c>
      <c r="C348">
        <f>IF(MOD(B348,20)=0,TEXT(B348,"0"),"")</f>
        <v/>
      </c>
      <c r="D348" t="n">
        <v>81.45505572191325</v>
      </c>
      <c r="E348" t="n">
        <v>0</v>
      </c>
      <c r="F348" t="n">
        <v>168.5449442780867</v>
      </c>
      <c r="G348" t="n">
        <v>0</v>
      </c>
      <c r="H348" t="n">
        <v>0</v>
      </c>
      <c r="J348" t="n">
        <v>-1.096787494751233</v>
      </c>
      <c r="K348" t="n">
        <v>33.46655020844924</v>
      </c>
      <c r="L348">
        <f>(J348-Diagramm_Tmin)/Diagramm_dT+1</f>
        <v/>
      </c>
      <c r="M348">
        <f>IF(J348="","",IF(J348&lt;Zoom_Tmin,NA(),(J348-Zoom_Tmin)/Diagramm_dT+1))</f>
        <v/>
      </c>
      <c r="N348">
        <f>IF(J348="","",IF(J348&lt;Zoom2_Tmin,NA(),(J348-Zoom2_Tmin)/Diagramm_dT+1))</f>
        <v/>
      </c>
      <c r="P348" t="n">
        <v>73.77298373446752</v>
      </c>
      <c r="Q348" t="n">
        <v>0</v>
      </c>
      <c r="R348" t="n">
        <v>176.2270162655325</v>
      </c>
    </row>
    <row r="349">
      <c r="B349" t="n">
        <v>90.5</v>
      </c>
      <c r="C349">
        <f>IF(MOD(B349,20)=0,TEXT(B349,"0"),"")</f>
        <v/>
      </c>
      <c r="D349" t="n">
        <v>81.45505572191325</v>
      </c>
      <c r="E349" t="n">
        <v>0</v>
      </c>
      <c r="F349" t="n">
        <v>168.5449442780867</v>
      </c>
      <c r="G349" t="n">
        <v>0</v>
      </c>
      <c r="H349" t="n">
        <v>0</v>
      </c>
      <c r="J349" t="n">
        <v>1.822223689735544</v>
      </c>
      <c r="K349" t="n">
        <v>36.47050262011326</v>
      </c>
      <c r="L349">
        <f>(J349-Diagramm_Tmin)/Diagramm_dT+1</f>
        <v/>
      </c>
      <c r="M349">
        <f>IF(J349="","",IF(J349&lt;Zoom_Tmin,NA(),(J349-Zoom_Tmin)/Diagramm_dT+1))</f>
        <v/>
      </c>
      <c r="N349">
        <f>IF(J349="","",IF(J349&lt;Zoom2_Tmin,NA(),(J349-Zoom2_Tmin)/Diagramm_dT+1))</f>
        <v/>
      </c>
      <c r="P349" t="n">
        <v>73.77298373446752</v>
      </c>
      <c r="Q349" t="n">
        <v>0</v>
      </c>
      <c r="R349" t="n">
        <v>176.2270162655325</v>
      </c>
    </row>
    <row r="350">
      <c r="B350" t="n">
        <v>91</v>
      </c>
      <c r="C350">
        <f>IF(MOD(B350,20)=0,TEXT(B350,"0"),"")</f>
        <v/>
      </c>
      <c r="D350" t="n">
        <v>81.45505572191325</v>
      </c>
      <c r="E350" t="n">
        <v>0</v>
      </c>
      <c r="F350" t="n">
        <v>168.5449442780867</v>
      </c>
      <c r="G350" t="n">
        <v>0</v>
      </c>
      <c r="H350" t="n">
        <v>0</v>
      </c>
      <c r="J350" t="n">
        <v>4.741234874222322</v>
      </c>
      <c r="K350" t="n">
        <v>39.66817869041365</v>
      </c>
      <c r="L350">
        <f>(J350-Diagramm_Tmin)/Diagramm_dT+1</f>
        <v/>
      </c>
      <c r="M350">
        <f>IF(J350="","",IF(J350&lt;Zoom_Tmin,NA(),(J350-Zoom_Tmin)/Diagramm_dT+1))</f>
        <v/>
      </c>
      <c r="N350">
        <f>IF(J350="","",IF(J350&lt;Zoom2_Tmin,NA(),(J350-Zoom2_Tmin)/Diagramm_dT+1))</f>
        <v/>
      </c>
      <c r="P350" t="n">
        <v>73.77298373446752</v>
      </c>
      <c r="Q350" t="n">
        <v>0</v>
      </c>
      <c r="R350" t="n">
        <v>176.2270162655325</v>
      </c>
    </row>
    <row r="351">
      <c r="B351" t="n">
        <v>91.5</v>
      </c>
      <c r="C351">
        <f>IF(MOD(B351,20)=0,TEXT(B351,"0"),"")</f>
        <v/>
      </c>
      <c r="D351" t="n">
        <v>81.45505572191325</v>
      </c>
      <c r="E351" t="n">
        <v>0</v>
      </c>
      <c r="F351" t="n">
        <v>168.5449442780867</v>
      </c>
      <c r="G351" t="n">
        <v>0</v>
      </c>
      <c r="H351" t="n">
        <v>0</v>
      </c>
      <c r="J351" t="n">
        <v>7.660246058709092</v>
      </c>
      <c r="K351" t="n">
        <v>43.07358757694386</v>
      </c>
      <c r="L351">
        <f>(J351-Diagramm_Tmin)/Diagramm_dT+1</f>
        <v/>
      </c>
      <c r="M351">
        <f>IF(J351="","",IF(J351&lt;Zoom_Tmin,NA(),(J351-Zoom_Tmin)/Diagramm_dT+1))</f>
        <v/>
      </c>
      <c r="N351">
        <f>IF(J351="","",IF(J351&lt;Zoom2_Tmin,NA(),(J351-Zoom2_Tmin)/Diagramm_dT+1))</f>
        <v/>
      </c>
      <c r="P351" t="n">
        <v>73.77298373446752</v>
      </c>
      <c r="Q351" t="n">
        <v>0</v>
      </c>
      <c r="R351" t="n">
        <v>176.2270162655325</v>
      </c>
    </row>
    <row r="352">
      <c r="B352" t="n">
        <v>92</v>
      </c>
      <c r="C352">
        <f>IF(MOD(B352,20)=0,TEXT(B352,"0"),"")</f>
        <v/>
      </c>
      <c r="D352" t="n">
        <v>81.45505572191325</v>
      </c>
      <c r="E352" t="n">
        <v>0</v>
      </c>
      <c r="F352" t="n">
        <v>168.5449442780867</v>
      </c>
      <c r="G352" t="n">
        <v>0</v>
      </c>
      <c r="H352" t="n">
        <v>0</v>
      </c>
      <c r="J352" t="n">
        <v>10.57925724319587</v>
      </c>
      <c r="K352" t="n">
        <v>46.70390866160441</v>
      </c>
      <c r="L352">
        <f>(J352-Diagramm_Tmin)/Diagramm_dT+1</f>
        <v/>
      </c>
      <c r="M352">
        <f>IF(J352="","",IF(J352&lt;Zoom_Tmin,NA(),(J352-Zoom_Tmin)/Diagramm_dT+1))</f>
        <v/>
      </c>
      <c r="N352">
        <f>IF(J352="","",IF(J352&lt;Zoom2_Tmin,NA(),(J352-Zoom2_Tmin)/Diagramm_dT+1))</f>
        <v/>
      </c>
      <c r="P352" t="n">
        <v>73.77298373446752</v>
      </c>
      <c r="Q352" t="n">
        <v>0</v>
      </c>
      <c r="R352" t="n">
        <v>176.2270162655325</v>
      </c>
    </row>
    <row r="353">
      <c r="B353" t="n">
        <v>92.5</v>
      </c>
      <c r="C353">
        <f>IF(MOD(B353,20)=0,TEXT(B353,"0"),"")</f>
        <v/>
      </c>
      <c r="D353" t="n">
        <v>81.45505572191325</v>
      </c>
      <c r="E353" t="n">
        <v>0</v>
      </c>
      <c r="F353" t="n">
        <v>168.5449442780867</v>
      </c>
      <c r="G353" t="n">
        <v>0</v>
      </c>
      <c r="H353" t="n">
        <v>0</v>
      </c>
      <c r="J353" t="n">
        <v>13.49826842768265</v>
      </c>
      <c r="K353" t="n">
        <v>50.58211318954023</v>
      </c>
      <c r="L353">
        <f>(J353-Diagramm_Tmin)/Diagramm_dT+1</f>
        <v/>
      </c>
      <c r="M353">
        <f>IF(J353="","",IF(J353&lt;Zoom_Tmin,NA(),(J353-Zoom_Tmin)/Diagramm_dT+1))</f>
        <v/>
      </c>
      <c r="N353">
        <f>IF(J353="","",IF(J353&lt;Zoom2_Tmin,NA(),(J353-Zoom2_Tmin)/Diagramm_dT+1))</f>
        <v/>
      </c>
      <c r="P353" t="n">
        <v>73.77298373446752</v>
      </c>
      <c r="Q353" t="n">
        <v>0</v>
      </c>
      <c r="R353" t="n">
        <v>176.2270162655325</v>
      </c>
    </row>
    <row r="354">
      <c r="B354" t="n">
        <v>93</v>
      </c>
      <c r="C354">
        <f>IF(MOD(B354,20)=0,TEXT(B354,"0"),"")</f>
        <v/>
      </c>
      <c r="D354" t="n">
        <v>81.45505572191325</v>
      </c>
      <c r="E354" t="n">
        <v>0</v>
      </c>
      <c r="F354" t="n">
        <v>168.5449442780867</v>
      </c>
      <c r="G354" t="n">
        <v>0</v>
      </c>
      <c r="H354" t="n">
        <v>0</v>
      </c>
      <c r="J354" t="n">
        <v>16.41727961216942</v>
      </c>
      <c r="K354" t="n">
        <v>54.7395978717767</v>
      </c>
      <c r="L354">
        <f>(J354-Diagramm_Tmin)/Diagramm_dT+1</f>
        <v/>
      </c>
      <c r="M354">
        <f>IF(J354="","",IF(J354&lt;Zoom_Tmin,NA(),(J354-Zoom_Tmin)/Diagramm_dT+1))</f>
        <v/>
      </c>
      <c r="N354">
        <f>IF(J354="","",IF(J354&lt;Zoom2_Tmin,NA(),(J354-Zoom2_Tmin)/Diagramm_dT+1))</f>
        <v/>
      </c>
      <c r="P354" t="n">
        <v>73.77298373446752</v>
      </c>
      <c r="Q354" t="n">
        <v>0</v>
      </c>
      <c r="R354" t="n">
        <v>176.2270162655325</v>
      </c>
    </row>
    <row r="355">
      <c r="B355" t="n">
        <v>93.5</v>
      </c>
      <c r="C355">
        <f>IF(MOD(B355,20)=0,TEXT(B355,"0"),"")</f>
        <v/>
      </c>
      <c r="D355" t="n">
        <v>81.45505572191325</v>
      </c>
      <c r="E355" t="n">
        <v>0</v>
      </c>
      <c r="F355" t="n">
        <v>168.5449442780867</v>
      </c>
      <c r="G355" t="n">
        <v>0</v>
      </c>
      <c r="H355" t="n">
        <v>0</v>
      </c>
      <c r="J355" t="n">
        <v>19.3362907966562</v>
      </c>
      <c r="K355" t="n">
        <v>59.2952471735175</v>
      </c>
      <c r="L355">
        <f>(J355-Diagramm_Tmin)/Diagramm_dT+1</f>
        <v/>
      </c>
      <c r="M355">
        <f>IF(J355="","",IF(J355&lt;Zoom_Tmin,NA(),(J355-Zoom_Tmin)/Diagramm_dT+1))</f>
        <v/>
      </c>
      <c r="N355">
        <f>IF(J355="","",IF(J355&lt;Zoom2_Tmin,NA(),(J355-Zoom2_Tmin)/Diagramm_dT+1))</f>
        <v/>
      </c>
      <c r="P355" t="n">
        <v>73.77298373446752</v>
      </c>
      <c r="Q355" t="n">
        <v>0</v>
      </c>
      <c r="R355" t="n">
        <v>176.2270162655325</v>
      </c>
    </row>
    <row r="356">
      <c r="B356" t="n">
        <v>94</v>
      </c>
      <c r="C356">
        <f>IF(MOD(B356,20)=0,TEXT(B356,"0"),"")</f>
        <v/>
      </c>
      <c r="D356" t="n">
        <v>81.45505572191325</v>
      </c>
      <c r="E356" t="n">
        <v>0</v>
      </c>
      <c r="F356" t="n">
        <v>168.5449442780867</v>
      </c>
      <c r="G356" t="n">
        <v>0</v>
      </c>
      <c r="H356" t="n">
        <v>0</v>
      </c>
      <c r="J356" t="n">
        <v>22.25530198114298</v>
      </c>
      <c r="K356" t="n">
        <v>64.1560728573801</v>
      </c>
      <c r="L356">
        <f>(J356-Diagramm_Tmin)/Diagramm_dT+1</f>
        <v/>
      </c>
      <c r="M356">
        <f>IF(J356="","",IF(J356&lt;Zoom_Tmin,NA(),(J356-Zoom_Tmin)/Diagramm_dT+1))</f>
        <v/>
      </c>
      <c r="N356">
        <f>IF(J356="","",IF(J356&lt;Zoom2_Tmin,NA(),(J356-Zoom2_Tmin)/Diagramm_dT+1))</f>
        <v/>
      </c>
      <c r="P356" t="n">
        <v>73.77298373446752</v>
      </c>
      <c r="Q356" t="n">
        <v>0</v>
      </c>
      <c r="R356" t="n">
        <v>176.2270162655325</v>
      </c>
    </row>
    <row r="357">
      <c r="B357" t="n">
        <v>94.5</v>
      </c>
      <c r="C357">
        <f>IF(MOD(B357,20)=0,TEXT(B357,"0"),"")</f>
        <v/>
      </c>
      <c r="D357" t="n">
        <v>81.45505572191325</v>
      </c>
      <c r="E357" t="n">
        <v>0</v>
      </c>
      <c r="F357" t="n">
        <v>168.5449442780867</v>
      </c>
      <c r="G357" t="n">
        <v>0</v>
      </c>
      <c r="H357" t="n">
        <v>0</v>
      </c>
      <c r="J357" t="n">
        <v>25.17431316562974</v>
      </c>
      <c r="K357" t="n">
        <v>69.69300557809946</v>
      </c>
      <c r="L357">
        <f>(J357-Diagramm_Tmin)/Diagramm_dT+1</f>
        <v/>
      </c>
      <c r="M357">
        <f>IF(J357="","",IF(J357&lt;Zoom_Tmin,NA(),(J357-Zoom_Tmin)/Diagramm_dT+1))</f>
        <v/>
      </c>
      <c r="N357">
        <f>IF(J357="","",IF(J357&lt;Zoom2_Tmin,NA(),(J357-Zoom2_Tmin)/Diagramm_dT+1))</f>
        <v/>
      </c>
      <c r="P357" t="n">
        <v>73.77298373446752</v>
      </c>
      <c r="Q357" t="n">
        <v>0</v>
      </c>
      <c r="R357" t="n">
        <v>176.2270162655325</v>
      </c>
    </row>
    <row r="358">
      <c r="B358" t="n">
        <v>95</v>
      </c>
      <c r="C358">
        <f>IF(MOD(B358,20)=0,TEXT(B358,"0"),"")</f>
        <v/>
      </c>
      <c r="D358" t="n">
        <v>81.45505572191325</v>
      </c>
      <c r="E358" t="n">
        <v>0</v>
      </c>
      <c r="F358" t="n">
        <v>168.5449442780867</v>
      </c>
      <c r="G358" t="n">
        <v>0</v>
      </c>
      <c r="H358" t="n">
        <v>0</v>
      </c>
      <c r="J358" t="n">
        <v>28.09332435011652</v>
      </c>
      <c r="K358" t="n">
        <v>77.89647376266871</v>
      </c>
      <c r="L358">
        <f>(J358-Diagramm_Tmin)/Diagramm_dT+1</f>
        <v/>
      </c>
      <c r="M358">
        <f>IF(J358="","",IF(J358&lt;Zoom_Tmin,NA(),(J358-Zoom_Tmin)/Diagramm_dT+1))</f>
        <v/>
      </c>
      <c r="N358">
        <f>IF(J358="","",IF(J358&lt;Zoom2_Tmin,NA(),(J358-Zoom2_Tmin)/Diagramm_dT+1))</f>
        <v/>
      </c>
      <c r="P358" t="n">
        <v>73.77298373446752</v>
      </c>
      <c r="Q358" t="n">
        <v>0</v>
      </c>
      <c r="R358" t="n">
        <v>176.2270162655325</v>
      </c>
    </row>
    <row r="359">
      <c r="B359" t="n">
        <v>95.5</v>
      </c>
      <c r="C359">
        <f>IF(MOD(B359,20)=0,TEXT(B359,"0"),"")</f>
        <v/>
      </c>
      <c r="D359" t="n">
        <v>81.45505572191325</v>
      </c>
      <c r="E359" t="n">
        <v>0</v>
      </c>
      <c r="F359" t="n">
        <v>168.5449442780867</v>
      </c>
      <c r="G359" t="n">
        <v>0</v>
      </c>
      <c r="H359" t="n">
        <v>0</v>
      </c>
      <c r="M359">
        <f>IF(J359="","",IF(J359&lt;Zoom_Tmin,NA(),(J359-Zoom_Tmin)/Diagramm_dT+1))</f>
        <v/>
      </c>
      <c r="N359">
        <f>IF(J359="","",IF(J359&lt;Zoom2_Tmin,NA(),(J359-Zoom2_Tmin)/Diagramm_dT+1))</f>
        <v/>
      </c>
      <c r="P359" t="n">
        <v>73.77298373446752</v>
      </c>
      <c r="Q359" t="n">
        <v>0</v>
      </c>
      <c r="R359" t="n">
        <v>176.2270162655325</v>
      </c>
    </row>
    <row r="360">
      <c r="B360" t="n">
        <v>96</v>
      </c>
      <c r="C360">
        <f>IF(MOD(B360,20)=0,TEXT(B360,"0"),"")</f>
        <v/>
      </c>
      <c r="D360" t="n">
        <v>81.45505572191325</v>
      </c>
      <c r="E360" t="n">
        <v>0</v>
      </c>
      <c r="F360" t="n">
        <v>168.5449442780867</v>
      </c>
      <c r="G360" t="n">
        <v>0</v>
      </c>
      <c r="H360" t="n">
        <v>0</v>
      </c>
      <c r="I360" s="50" t="n"/>
      <c r="M360">
        <f>IF(J360="","",IF(J360&lt;Zoom_Tmin,NA(),(J360-Zoom_Tmin)/Diagramm_dT+1))</f>
        <v/>
      </c>
      <c r="N360">
        <f>IF(J360="","",IF(J360&lt;Zoom2_Tmin,NA(),(J360-Zoom2_Tmin)/Diagramm_dT+1))</f>
        <v/>
      </c>
      <c r="P360" t="n">
        <v>73.77298373446752</v>
      </c>
      <c r="Q360" t="n">
        <v>0</v>
      </c>
      <c r="R360" t="n">
        <v>176.2270162655325</v>
      </c>
    </row>
    <row r="361">
      <c r="B361" t="n">
        <v>96.5</v>
      </c>
      <c r="C361">
        <f>IF(MOD(B361,20)=0,TEXT(B361,"0"),"")</f>
        <v/>
      </c>
      <c r="D361" t="n">
        <v>81.45505572191325</v>
      </c>
      <c r="E361" t="n">
        <v>0</v>
      </c>
      <c r="F361" t="n">
        <v>168.5449442780867</v>
      </c>
      <c r="G361" t="n">
        <v>0</v>
      </c>
      <c r="H361" t="n">
        <v>0</v>
      </c>
      <c r="M361">
        <f>IF(J361="","",IF(J361&lt;Zoom_Tmin,NA(),(J361-Zoom_Tmin)/Diagramm_dT+1))</f>
        <v/>
      </c>
      <c r="N361">
        <f>IF(J361="","",IF(J361&lt;Zoom2_Tmin,NA(),(J361-Zoom2_Tmin)/Diagramm_dT+1))</f>
        <v/>
      </c>
      <c r="P361" t="n">
        <v>73.77298373446752</v>
      </c>
      <c r="Q361" t="n">
        <v>0</v>
      </c>
      <c r="R361" t="n">
        <v>176.2270162655325</v>
      </c>
    </row>
    <row r="362">
      <c r="B362" t="n">
        <v>97</v>
      </c>
      <c r="C362">
        <f>IF(MOD(B362,20)=0,TEXT(B362,"0"),"")</f>
        <v/>
      </c>
      <c r="D362" t="n">
        <v>81.45505572191325</v>
      </c>
      <c r="E362" t="n">
        <v>0</v>
      </c>
      <c r="F362" t="n">
        <v>168.5449442780867</v>
      </c>
      <c r="G362" t="n">
        <v>0</v>
      </c>
      <c r="H362" t="n">
        <v>0</v>
      </c>
      <c r="M362">
        <f>IF(J362="","",IF(J362&lt;Zoom_Tmin,NA(),(J362-Zoom_Tmin)/Diagramm_dT+1))</f>
        <v/>
      </c>
      <c r="N362">
        <f>IF(J362="","",IF(J362&lt;Zoom2_Tmin,NA(),(J362-Zoom2_Tmin)/Diagramm_dT+1))</f>
        <v/>
      </c>
      <c r="P362" t="n">
        <v>73.77298373446752</v>
      </c>
      <c r="Q362" t="n">
        <v>0</v>
      </c>
      <c r="R362" t="n">
        <v>176.2270162655325</v>
      </c>
    </row>
    <row r="363">
      <c r="B363" t="n">
        <v>97.5</v>
      </c>
      <c r="C363">
        <f>IF(MOD(B363,20)=0,TEXT(B363,"0"),"")</f>
        <v/>
      </c>
      <c r="D363" t="n">
        <v>81.45505572191325</v>
      </c>
      <c r="E363" t="n">
        <v>0</v>
      </c>
      <c r="F363" t="n">
        <v>168.5449442780867</v>
      </c>
      <c r="G363" t="n">
        <v>0</v>
      </c>
      <c r="H363" t="n">
        <v>0</v>
      </c>
      <c r="M363">
        <f>IF(J363="","",IF(J363&lt;Zoom_Tmin,NA(),(J363-Zoom_Tmin)/Diagramm_dT+1))</f>
        <v/>
      </c>
      <c r="N363">
        <f>IF(J363="","",IF(J363&lt;Zoom2_Tmin,NA(),(J363-Zoom2_Tmin)/Diagramm_dT+1))</f>
        <v/>
      </c>
      <c r="P363" t="n">
        <v>73.77298373446752</v>
      </c>
      <c r="Q363" t="n">
        <v>0</v>
      </c>
      <c r="R363" t="n">
        <v>176.2270162655325</v>
      </c>
    </row>
    <row r="364">
      <c r="B364" t="n">
        <v>98</v>
      </c>
      <c r="C364">
        <f>IF(MOD(B364,20)=0,TEXT(B364,"0"),"")</f>
        <v/>
      </c>
      <c r="D364" t="n">
        <v>81.45505572191325</v>
      </c>
      <c r="E364" t="n">
        <v>0</v>
      </c>
      <c r="F364" t="n">
        <v>168.5449442780867</v>
      </c>
      <c r="G364" t="n">
        <v>0</v>
      </c>
      <c r="H364" t="n">
        <v>0</v>
      </c>
      <c r="M364">
        <f>IF(J364="","",IF(J364&lt;Zoom_Tmin,NA(),(J364-Zoom_Tmin)/Diagramm_dT+1))</f>
        <v/>
      </c>
      <c r="N364">
        <f>IF(J364="","",IF(J364&lt;Zoom2_Tmin,NA(),(J364-Zoom2_Tmin)/Diagramm_dT+1))</f>
        <v/>
      </c>
      <c r="P364" t="n">
        <v>73.77298373446752</v>
      </c>
      <c r="Q364" t="n">
        <v>0</v>
      </c>
      <c r="R364" t="n">
        <v>176.2270162655325</v>
      </c>
    </row>
    <row r="365">
      <c r="B365" t="n">
        <v>98.5</v>
      </c>
      <c r="C365">
        <f>IF(MOD(B365,20)=0,TEXT(B365,"0"),"")</f>
        <v/>
      </c>
      <c r="D365" t="n">
        <v>81.45505572191325</v>
      </c>
      <c r="E365" t="n">
        <v>0</v>
      </c>
      <c r="F365" t="n">
        <v>168.5449442780867</v>
      </c>
      <c r="G365" t="n">
        <v>0</v>
      </c>
      <c r="H365" t="n">
        <v>0</v>
      </c>
      <c r="M365">
        <f>IF(J365="","",IF(J365&lt;Zoom_Tmin,NA(),(J365-Zoom_Tmin)/Diagramm_dT+1))</f>
        <v/>
      </c>
      <c r="N365">
        <f>IF(J365="","",IF(J365&lt;Zoom2_Tmin,NA(),(J365-Zoom2_Tmin)/Diagramm_dT+1))</f>
        <v/>
      </c>
      <c r="P365" t="n">
        <v>73.77298373446752</v>
      </c>
      <c r="Q365" t="n">
        <v>0</v>
      </c>
      <c r="R365" t="n">
        <v>176.2270162655325</v>
      </c>
    </row>
    <row r="366">
      <c r="B366" t="n">
        <v>99</v>
      </c>
      <c r="C366">
        <f>IF(MOD(B366,20)=0,TEXT(B366,"0"),"")</f>
        <v/>
      </c>
      <c r="D366" t="n">
        <v>81.45505572191325</v>
      </c>
      <c r="E366" t="n">
        <v>0</v>
      </c>
      <c r="F366" t="n">
        <v>168.5449442780867</v>
      </c>
      <c r="G366" t="n">
        <v>0</v>
      </c>
      <c r="H366" t="n">
        <v>0</v>
      </c>
      <c r="M366">
        <f>IF(J366="","",IF(J366&lt;Zoom_Tmin,NA(),(J366-Zoom_Tmin)/Diagramm_dT+1))</f>
        <v/>
      </c>
      <c r="N366">
        <f>IF(J366="","",IF(J366&lt;Zoom2_Tmin,NA(),(J366-Zoom2_Tmin)/Diagramm_dT+1))</f>
        <v/>
      </c>
      <c r="P366" t="n">
        <v>73.77298373446752</v>
      </c>
      <c r="Q366" t="n">
        <v>0</v>
      </c>
      <c r="R366" t="n">
        <v>176.2270162655325</v>
      </c>
    </row>
    <row r="367">
      <c r="B367" t="n">
        <v>99.5</v>
      </c>
      <c r="C367">
        <f>IF(MOD(B367,20)=0,TEXT(B367,"0"),"")</f>
        <v/>
      </c>
      <c r="D367" t="n">
        <v>81.45505572191325</v>
      </c>
      <c r="E367" t="n">
        <v>0</v>
      </c>
      <c r="F367" t="n">
        <v>168.5449442780867</v>
      </c>
      <c r="G367" t="n">
        <v>0</v>
      </c>
      <c r="H367" t="n">
        <v>0</v>
      </c>
      <c r="I367" s="50" t="inlineStr">
        <is>
          <t>ρ = 500 kg/m³ (Gemisch): rechts davon zu dünn für eine Pumpe</t>
        </is>
      </c>
      <c r="J367" t="n">
        <v>28.42567178017664</v>
      </c>
      <c r="K367" t="n">
        <v>84</v>
      </c>
      <c r="L367">
        <f>(J367-Diagramm_Tmin)/Diagramm_dT+1</f>
        <v/>
      </c>
      <c r="M367">
        <f>IF(J367="","",IF(J367&lt;Zoom_Tmin,NA(),(J367-Zoom_Tmin)/Diagramm_dT+1))</f>
        <v/>
      </c>
      <c r="N367">
        <f>IF(J367="","",IF(J367&lt;Zoom2_Tmin,NA(),(J367-Zoom2_Tmin)/Diagramm_dT+1))</f>
        <v/>
      </c>
      <c r="P367" t="n">
        <v>73.77298373446752</v>
      </c>
      <c r="Q367" t="n">
        <v>0</v>
      </c>
      <c r="R367" t="n">
        <v>176.2270162655325</v>
      </c>
    </row>
    <row r="368">
      <c r="B368" t="n">
        <v>100</v>
      </c>
      <c r="C368">
        <f>IF(MOD(B368,20)=0,TEXT(B368,"0"),"")</f>
        <v/>
      </c>
      <c r="D368" t="n">
        <v>81.45505572191325</v>
      </c>
      <c r="E368" t="n">
        <v>0</v>
      </c>
      <c r="F368" t="n">
        <v>168.5449442780867</v>
      </c>
      <c r="G368" t="n">
        <v>0</v>
      </c>
      <c r="H368" t="n">
        <v>0</v>
      </c>
      <c r="J368" t="n">
        <v>30.50174918964978</v>
      </c>
      <c r="K368" t="n">
        <v>88</v>
      </c>
      <c r="L368">
        <f>(J368-Diagramm_Tmin)/Diagramm_dT+1</f>
        <v/>
      </c>
      <c r="M368">
        <f>IF(J368="","",IF(J368&lt;Zoom_Tmin,NA(),(J368-Zoom_Tmin)/Diagramm_dT+1))</f>
        <v/>
      </c>
      <c r="N368">
        <f>IF(J368="","",IF(J368&lt;Zoom2_Tmin,NA(),(J368-Zoom2_Tmin)/Diagramm_dT+1))</f>
        <v/>
      </c>
      <c r="P368" t="n">
        <v>73.77298373446752</v>
      </c>
      <c r="Q368" t="n">
        <v>0</v>
      </c>
      <c r="R368" t="n">
        <v>176.2270162655325</v>
      </c>
    </row>
    <row r="369">
      <c r="B369" t="n">
        <v>100.5</v>
      </c>
      <c r="C369">
        <f>IF(MOD(B369,20)=0,TEXT(B369,"0"),"")</f>
        <v/>
      </c>
      <c r="D369" t="n">
        <v>81.45505572191325</v>
      </c>
      <c r="E369" t="n">
        <v>0</v>
      </c>
      <c r="F369" t="n">
        <v>168.5449442780867</v>
      </c>
      <c r="G369" t="n">
        <v>0</v>
      </c>
      <c r="H369" t="n">
        <v>0</v>
      </c>
      <c r="J369" t="n">
        <v>32.56354699316808</v>
      </c>
      <c r="K369" t="n">
        <v>92</v>
      </c>
      <c r="L369">
        <f>(J369-Diagramm_Tmin)/Diagramm_dT+1</f>
        <v/>
      </c>
      <c r="M369">
        <f>IF(J369="","",IF(J369&lt;Zoom_Tmin,NA(),(J369-Zoom_Tmin)/Diagramm_dT+1))</f>
        <v/>
      </c>
      <c r="N369">
        <f>IF(J369="","",IF(J369&lt;Zoom2_Tmin,NA(),(J369-Zoom2_Tmin)/Diagramm_dT+1))</f>
        <v/>
      </c>
      <c r="P369" t="n">
        <v>73.77298373446752</v>
      </c>
      <c r="Q369" t="n">
        <v>0</v>
      </c>
      <c r="R369" t="n">
        <v>176.2270162655325</v>
      </c>
    </row>
    <row r="370">
      <c r="B370" t="n">
        <v>101</v>
      </c>
      <c r="C370">
        <f>IF(MOD(B370,20)=0,TEXT(B370,"0"),"")</f>
        <v/>
      </c>
      <c r="D370" t="n">
        <v>81.45505572191325</v>
      </c>
      <c r="E370" t="n">
        <v>0</v>
      </c>
      <c r="F370" t="n">
        <v>168.5449442780867</v>
      </c>
      <c r="G370" t="n">
        <v>0</v>
      </c>
      <c r="H370" t="n">
        <v>0</v>
      </c>
      <c r="J370" t="n">
        <v>34.61483537303369</v>
      </c>
      <c r="K370" t="n">
        <v>96</v>
      </c>
      <c r="L370">
        <f>(J370-Diagramm_Tmin)/Diagramm_dT+1</f>
        <v/>
      </c>
      <c r="M370">
        <f>IF(J370="","",IF(J370&lt;Zoom_Tmin,NA(),(J370-Zoom_Tmin)/Diagramm_dT+1))</f>
        <v/>
      </c>
      <c r="N370">
        <f>IF(J370="","",IF(J370&lt;Zoom2_Tmin,NA(),(J370-Zoom2_Tmin)/Diagramm_dT+1))</f>
        <v/>
      </c>
      <c r="P370" t="n">
        <v>73.77298373446752</v>
      </c>
      <c r="Q370" t="n">
        <v>0</v>
      </c>
      <c r="R370" t="n">
        <v>176.2270162655325</v>
      </c>
    </row>
    <row r="371">
      <c r="B371" t="n">
        <v>101.5</v>
      </c>
      <c r="C371">
        <f>IF(MOD(B371,20)=0,TEXT(B371,"0"),"")</f>
        <v/>
      </c>
      <c r="D371" t="n">
        <v>81.45505572191325</v>
      </c>
      <c r="E371" t="n">
        <v>0</v>
      </c>
      <c r="F371" t="n">
        <v>168.5449442780867</v>
      </c>
      <c r="G371" t="n">
        <v>0</v>
      </c>
      <c r="H371" t="n">
        <v>0</v>
      </c>
      <c r="J371" t="n">
        <v>36.65517272610223</v>
      </c>
      <c r="K371" t="n">
        <v>100</v>
      </c>
      <c r="L371">
        <f>(J371-Diagramm_Tmin)/Diagramm_dT+1</f>
        <v/>
      </c>
      <c r="M371">
        <f>IF(J371="","",IF(J371&lt;Zoom_Tmin,NA(),(J371-Zoom_Tmin)/Diagramm_dT+1))</f>
        <v/>
      </c>
      <c r="N371">
        <f>IF(J371="","",IF(J371&lt;Zoom2_Tmin,NA(),(J371-Zoom2_Tmin)/Diagramm_dT+1))</f>
        <v/>
      </c>
      <c r="P371" t="n">
        <v>73.77298373446752</v>
      </c>
      <c r="Q371" t="n">
        <v>0</v>
      </c>
      <c r="R371" t="n">
        <v>176.2270162655325</v>
      </c>
    </row>
    <row r="372">
      <c r="B372" t="n">
        <v>102</v>
      </c>
      <c r="C372">
        <f>IF(MOD(B372,20)=0,TEXT(B372,"0"),"")</f>
        <v/>
      </c>
      <c r="D372" t="n">
        <v>81.45505572191325</v>
      </c>
      <c r="E372" t="n">
        <v>0</v>
      </c>
      <c r="F372" t="n">
        <v>168.5449442780867</v>
      </c>
      <c r="G372" t="n">
        <v>0</v>
      </c>
      <c r="H372" t="n">
        <v>0</v>
      </c>
      <c r="J372" t="n">
        <v>38.6892527055473</v>
      </c>
      <c r="K372" t="n">
        <v>104</v>
      </c>
      <c r="L372">
        <f>(J372-Diagramm_Tmin)/Diagramm_dT+1</f>
        <v/>
      </c>
      <c r="M372">
        <f>IF(J372="","",IF(J372&lt;Zoom_Tmin,NA(),(J372-Zoom_Tmin)/Diagramm_dT+1))</f>
        <v/>
      </c>
      <c r="N372">
        <f>IF(J372="","",IF(J372&lt;Zoom2_Tmin,NA(),(J372-Zoom2_Tmin)/Diagramm_dT+1))</f>
        <v/>
      </c>
      <c r="P372" t="n">
        <v>73.77298373446752</v>
      </c>
      <c r="Q372" t="n">
        <v>0</v>
      </c>
      <c r="R372" t="n">
        <v>176.2270162655325</v>
      </c>
    </row>
    <row r="373">
      <c r="B373" t="n">
        <v>102.5</v>
      </c>
      <c r="C373">
        <f>IF(MOD(B373,20)=0,TEXT(B373,"0"),"")</f>
        <v/>
      </c>
      <c r="D373" t="n">
        <v>81.45505572191325</v>
      </c>
      <c r="E373" t="n">
        <v>0</v>
      </c>
      <c r="F373" t="n">
        <v>168.5449442780867</v>
      </c>
      <c r="G373" t="n">
        <v>0</v>
      </c>
      <c r="H373" t="n">
        <v>0</v>
      </c>
      <c r="J373" t="n">
        <v>40.71690295096671</v>
      </c>
      <c r="K373" t="n">
        <v>108</v>
      </c>
      <c r="L373">
        <f>(J373-Diagramm_Tmin)/Diagramm_dT+1</f>
        <v/>
      </c>
      <c r="M373">
        <f>IF(J373="","",IF(J373&lt;Zoom_Tmin,NA(),(J373-Zoom_Tmin)/Diagramm_dT+1))</f>
        <v/>
      </c>
      <c r="N373">
        <f>IF(J373="","",IF(J373&lt;Zoom2_Tmin,NA(),(J373-Zoom2_Tmin)/Diagramm_dT+1))</f>
        <v/>
      </c>
      <c r="P373" t="n">
        <v>73.77298373446752</v>
      </c>
      <c r="Q373" t="n">
        <v>0</v>
      </c>
      <c r="R373" t="n">
        <v>176.2270162655325</v>
      </c>
    </row>
    <row r="374">
      <c r="B374" t="n">
        <v>103</v>
      </c>
      <c r="C374">
        <f>IF(MOD(B374,20)=0,TEXT(B374,"0"),"")</f>
        <v/>
      </c>
      <c r="D374" t="n">
        <v>81.45505572191325</v>
      </c>
      <c r="E374" t="n">
        <v>0</v>
      </c>
      <c r="F374" t="n">
        <v>168.5449442780867</v>
      </c>
      <c r="G374" t="n">
        <v>0</v>
      </c>
      <c r="H374" t="n">
        <v>0</v>
      </c>
      <c r="J374" t="n">
        <v>42.73624270983876</v>
      </c>
      <c r="K374" t="n">
        <v>112</v>
      </c>
      <c r="L374">
        <f>(J374-Diagramm_Tmin)/Diagramm_dT+1</f>
        <v/>
      </c>
      <c r="M374">
        <f>IF(J374="","",IF(J374&lt;Zoom_Tmin,NA(),(J374-Zoom_Tmin)/Diagramm_dT+1))</f>
        <v/>
      </c>
      <c r="N374">
        <f>IF(J374="","",IF(J374&lt;Zoom2_Tmin,NA(),(J374-Zoom2_Tmin)/Diagramm_dT+1))</f>
        <v/>
      </c>
      <c r="P374" t="n">
        <v>73.77298373446752</v>
      </c>
      <c r="Q374" t="n">
        <v>0</v>
      </c>
      <c r="R374" t="n">
        <v>176.2270162655325</v>
      </c>
    </row>
    <row r="375">
      <c r="B375" t="n">
        <v>103.5</v>
      </c>
      <c r="C375">
        <f>IF(MOD(B375,20)=0,TEXT(B375,"0"),"")</f>
        <v/>
      </c>
      <c r="D375" t="n">
        <v>81.45505572191325</v>
      </c>
      <c r="E375" t="n">
        <v>0</v>
      </c>
      <c r="F375" t="n">
        <v>168.5449442780867</v>
      </c>
      <c r="G375" t="n">
        <v>0</v>
      </c>
      <c r="H375" t="n">
        <v>0</v>
      </c>
      <c r="J375" t="n">
        <v>44.75192151114434</v>
      </c>
      <c r="K375" t="n">
        <v>116</v>
      </c>
      <c r="L375">
        <f>(J375-Diagramm_Tmin)/Diagramm_dT+1</f>
        <v/>
      </c>
      <c r="M375">
        <f>IF(J375="","",IF(J375&lt;Zoom_Tmin,NA(),(J375-Zoom_Tmin)/Diagramm_dT+1))</f>
        <v/>
      </c>
      <c r="N375">
        <f>IF(J375="","",IF(J375&lt;Zoom2_Tmin,NA(),(J375-Zoom2_Tmin)/Diagramm_dT+1))</f>
        <v/>
      </c>
      <c r="P375" t="n">
        <v>73.77298373446752</v>
      </c>
      <c r="Q375" t="n">
        <v>0</v>
      </c>
      <c r="R375" t="n">
        <v>176.2270162655325</v>
      </c>
    </row>
    <row r="376">
      <c r="B376" t="n">
        <v>104</v>
      </c>
      <c r="C376">
        <f>IF(MOD(B376,20)=0,TEXT(B376,"0"),"")</f>
        <v/>
      </c>
      <c r="D376" t="n">
        <v>81.45505572191325</v>
      </c>
      <c r="E376" t="n">
        <v>0</v>
      </c>
      <c r="F376" t="n">
        <v>168.5449442780867</v>
      </c>
      <c r="G376" t="n">
        <v>0</v>
      </c>
      <c r="H376" t="n">
        <v>0</v>
      </c>
      <c r="J376" t="n">
        <v>46.76294098717903</v>
      </c>
      <c r="K376" t="n">
        <v>120</v>
      </c>
      <c r="L376">
        <f>(J376-Diagramm_Tmin)/Diagramm_dT+1</f>
        <v/>
      </c>
      <c r="M376">
        <f>IF(J376="","",IF(J376&lt;Zoom_Tmin,NA(),(J376-Zoom_Tmin)/Diagramm_dT+1))</f>
        <v/>
      </c>
      <c r="N376">
        <f>IF(J376="","",IF(J376&lt;Zoom2_Tmin,NA(),(J376-Zoom2_Tmin)/Diagramm_dT+1))</f>
        <v/>
      </c>
      <c r="P376" t="n">
        <v>73.77298373446752</v>
      </c>
      <c r="Q376" t="n">
        <v>0</v>
      </c>
      <c r="R376" t="n">
        <v>176.2270162655325</v>
      </c>
    </row>
    <row r="377">
      <c r="B377" t="n">
        <v>104.5</v>
      </c>
      <c r="C377">
        <f>IF(MOD(B377,20)=0,TEXT(B377,"0"),"")</f>
        <v/>
      </c>
      <c r="D377" t="n">
        <v>81.45505572191325</v>
      </c>
      <c r="E377" t="n">
        <v>0</v>
      </c>
      <c r="F377" t="n">
        <v>168.5449442780867</v>
      </c>
      <c r="G377" t="n">
        <v>0</v>
      </c>
      <c r="H377" t="n">
        <v>0</v>
      </c>
      <c r="J377" t="n">
        <v>48.76977027868365</v>
      </c>
      <c r="K377" t="n">
        <v>124</v>
      </c>
      <c r="L377">
        <f>(J377-Diagramm_Tmin)/Diagramm_dT+1</f>
        <v/>
      </c>
      <c r="M377">
        <f>IF(J377="","",IF(J377&lt;Zoom_Tmin,NA(),(J377-Zoom_Tmin)/Diagramm_dT+1))</f>
        <v/>
      </c>
      <c r="N377">
        <f>IF(J377="","",IF(J377&lt;Zoom2_Tmin,NA(),(J377-Zoom2_Tmin)/Diagramm_dT+1))</f>
        <v/>
      </c>
      <c r="P377" t="n">
        <v>73.77298373446752</v>
      </c>
      <c r="Q377" t="n">
        <v>0</v>
      </c>
      <c r="R377" t="n">
        <v>176.2270162655325</v>
      </c>
    </row>
    <row r="378">
      <c r="B378" t="n">
        <v>105</v>
      </c>
      <c r="C378">
        <f>IF(MOD(B378,20)=0,TEXT(B378,"0"),"")</f>
        <v/>
      </c>
      <c r="D378" t="n">
        <v>81.45505572191325</v>
      </c>
      <c r="E378" t="n">
        <v>0</v>
      </c>
      <c r="F378" t="n">
        <v>168.5449442780867</v>
      </c>
      <c r="G378" t="n">
        <v>0</v>
      </c>
      <c r="H378" t="n">
        <v>0</v>
      </c>
      <c r="J378" t="n">
        <v>50.77201656777135</v>
      </c>
      <c r="K378" t="n">
        <v>128</v>
      </c>
      <c r="L378">
        <f>(J378-Diagramm_Tmin)/Diagramm_dT+1</f>
        <v/>
      </c>
      <c r="M378">
        <f>IF(J378="","",IF(J378&lt;Zoom_Tmin,NA(),(J378-Zoom_Tmin)/Diagramm_dT+1))</f>
        <v/>
      </c>
      <c r="N378">
        <f>IF(J378="","",IF(J378&lt;Zoom2_Tmin,NA(),(J378-Zoom2_Tmin)/Diagramm_dT+1))</f>
        <v/>
      </c>
      <c r="P378" t="n">
        <v>73.77298373446752</v>
      </c>
      <c r="Q378" t="n">
        <v>0</v>
      </c>
      <c r="R378" t="n">
        <v>176.2270162655325</v>
      </c>
    </row>
    <row r="379">
      <c r="B379" t="n">
        <v>105.5</v>
      </c>
      <c r="C379">
        <f>IF(MOD(B379,20)=0,TEXT(B379,"0"),"")</f>
        <v/>
      </c>
      <c r="D379" t="n">
        <v>81.45505572191325</v>
      </c>
      <c r="E379" t="n">
        <v>0</v>
      </c>
      <c r="F379" t="n">
        <v>168.5449442780867</v>
      </c>
      <c r="G379" t="n">
        <v>0</v>
      </c>
      <c r="H379" t="n">
        <v>0</v>
      </c>
      <c r="M379">
        <f>IF(J379="","",IF(J379&lt;Zoom_Tmin,NA(),(J379-Zoom_Tmin)/Diagramm_dT+1))</f>
        <v/>
      </c>
      <c r="N379">
        <f>IF(J379="","",IF(J379&lt;Zoom2_Tmin,NA(),(J379-Zoom2_Tmin)/Diagramm_dT+1))</f>
        <v/>
      </c>
      <c r="P379" t="n">
        <v>73.77298373446752</v>
      </c>
      <c r="Q379" t="n">
        <v>0</v>
      </c>
      <c r="R379" t="n">
        <v>176.2270162655325</v>
      </c>
    </row>
    <row r="380">
      <c r="B380" t="n">
        <v>106</v>
      </c>
      <c r="C380">
        <f>IF(MOD(B380,20)=0,TEXT(B380,"0"),"")</f>
        <v/>
      </c>
      <c r="D380" t="n">
        <v>81.45505572191325</v>
      </c>
      <c r="E380" t="n">
        <v>0</v>
      </c>
      <c r="F380" t="n">
        <v>168.5449442780867</v>
      </c>
      <c r="G380" t="n">
        <v>0</v>
      </c>
      <c r="H380" t="n">
        <v>0</v>
      </c>
      <c r="I380" s="50" t="inlineStr">
        <is>
          <t>Kritischer Punkt reines CO₂</t>
        </is>
      </c>
      <c r="J380" t="n">
        <v>30.97820000298071</v>
      </c>
      <c r="K380" t="n">
        <v>73.77298373446752</v>
      </c>
      <c r="L380">
        <f>(J380-Diagramm_Tmin)/Diagramm_dT+1</f>
        <v/>
      </c>
      <c r="M380">
        <f>IF(J380="","",IF(J380&lt;Zoom_Tmin,NA(),(J380-Zoom_Tmin)/Diagramm_dT+1))</f>
        <v/>
      </c>
      <c r="N380">
        <f>IF(J380="","",IF(J380&lt;Zoom2_Tmin,NA(),(J380-Zoom2_Tmin)/Diagramm_dT+1))</f>
        <v/>
      </c>
      <c r="P380" t="n">
        <v>73.77298373446752</v>
      </c>
      <c r="Q380" t="n">
        <v>0</v>
      </c>
      <c r="R380" t="n">
        <v>176.2270162655325</v>
      </c>
    </row>
    <row r="381">
      <c r="B381" t="n">
        <v>106.5</v>
      </c>
      <c r="C381">
        <f>IF(MOD(B381,20)=0,TEXT(B381,"0"),"")</f>
        <v/>
      </c>
      <c r="D381" t="n">
        <v>81.45505572191325</v>
      </c>
      <c r="E381" t="n">
        <v>0</v>
      </c>
      <c r="F381" t="n">
        <v>168.5449442780867</v>
      </c>
      <c r="G381" t="n">
        <v>0</v>
      </c>
      <c r="H381" t="n">
        <v>0</v>
      </c>
      <c r="M381">
        <f>IF(J381="","",IF(J381&lt;Zoom_Tmin,NA(),(J381-Zoom_Tmin)/Diagramm_dT+1))</f>
        <v/>
      </c>
      <c r="N381">
        <f>IF(J381="","",IF(J381&lt;Zoom2_Tmin,NA(),(J381-Zoom2_Tmin)/Diagramm_dT+1))</f>
        <v/>
      </c>
      <c r="P381" t="n">
        <v>73.77298373446752</v>
      </c>
      <c r="Q381" t="n">
        <v>0</v>
      </c>
      <c r="R381" t="n">
        <v>176.2270162655325</v>
      </c>
    </row>
    <row r="382">
      <c r="B382" t="n">
        <v>107</v>
      </c>
      <c r="C382">
        <f>IF(MOD(B382,20)=0,TEXT(B382,"0"),"")</f>
        <v/>
      </c>
      <c r="D382" t="n">
        <v>81.45505572191325</v>
      </c>
      <c r="E382" t="n">
        <v>0</v>
      </c>
      <c r="F382" t="n">
        <v>168.5449442780867</v>
      </c>
      <c r="G382" t="n">
        <v>0</v>
      </c>
      <c r="H382" t="n">
        <v>0</v>
      </c>
      <c r="I382" s="50" t="inlineStr">
        <is>
          <t>Alternative A: verflüssigen bei 80 bar / 20 °C (Werte aus 04_phasenpfade_vergleich.py)</t>
        </is>
      </c>
      <c r="J382" t="n">
        <v>15</v>
      </c>
      <c r="K382" t="n">
        <v>30</v>
      </c>
      <c r="L382">
        <f>(J382-Diagramm_Tmin)/Diagramm_dT+1</f>
        <v/>
      </c>
      <c r="M382">
        <f>IF(J382="","",IF(J382&lt;Zoom_Tmin,NA(),(J382-Zoom_Tmin)/Diagramm_dT+1))</f>
        <v/>
      </c>
      <c r="N382">
        <f>IF(J382="","",IF(J382&lt;Zoom2_Tmin,NA(),(J382-Zoom2_Tmin)/Diagramm_dT+1))</f>
        <v/>
      </c>
      <c r="P382" t="n">
        <v>73.77298373446752</v>
      </c>
      <c r="Q382" t="n">
        <v>0</v>
      </c>
      <c r="R382" t="n">
        <v>176.2270162655325</v>
      </c>
    </row>
    <row r="383">
      <c r="B383" t="n">
        <v>107.5</v>
      </c>
      <c r="C383">
        <f>IF(MOD(B383,20)=0,TEXT(B383,"0"),"")</f>
        <v/>
      </c>
      <c r="D383" t="n">
        <v>81.45505572191325</v>
      </c>
      <c r="E383" t="n">
        <v>0</v>
      </c>
      <c r="F383" t="n">
        <v>168.5449442780867</v>
      </c>
      <c r="G383" t="n">
        <v>0</v>
      </c>
      <c r="H383" t="n">
        <v>0</v>
      </c>
      <c r="J383" t="n">
        <v>55.72047810190202</v>
      </c>
      <c r="K383" t="n">
        <v>48.98979485566356</v>
      </c>
      <c r="L383">
        <f>(J383-Diagramm_Tmin)/Diagramm_dT+1</f>
        <v/>
      </c>
      <c r="M383">
        <f>IF(J383="","",IF(J383&lt;Zoom_Tmin,NA(),(J383-Zoom_Tmin)/Diagramm_dT+1))</f>
        <v/>
      </c>
      <c r="N383">
        <f>IF(J383="","",IF(J383&lt;Zoom2_Tmin,NA(),(J383-Zoom2_Tmin)/Diagramm_dT+1))</f>
        <v/>
      </c>
      <c r="P383" t="n">
        <v>73.77298373446752</v>
      </c>
      <c r="Q383" t="n">
        <v>0</v>
      </c>
      <c r="R383" t="n">
        <v>176.2270162655325</v>
      </c>
    </row>
    <row r="384">
      <c r="B384" t="n">
        <v>108</v>
      </c>
      <c r="C384">
        <f>IF(MOD(B384,20)=0,TEXT(B384,"0"),"")</f>
        <v/>
      </c>
      <c r="D384" t="n">
        <v>81.45505572191325</v>
      </c>
      <c r="E384" t="n">
        <v>0</v>
      </c>
      <c r="F384" t="n">
        <v>168.5449442780867</v>
      </c>
      <c r="G384" t="n">
        <v>0</v>
      </c>
      <c r="H384" t="n">
        <v>0</v>
      </c>
      <c r="J384" t="n">
        <v>20</v>
      </c>
      <c r="K384" t="n">
        <v>48.98979485566356</v>
      </c>
      <c r="L384">
        <f>(J384-Diagramm_Tmin)/Diagramm_dT+1</f>
        <v/>
      </c>
      <c r="M384">
        <f>IF(J384="","",IF(J384&lt;Zoom_Tmin,NA(),(J384-Zoom_Tmin)/Diagramm_dT+1))</f>
        <v/>
      </c>
      <c r="N384">
        <f>IF(J384="","",IF(J384&lt;Zoom2_Tmin,NA(),(J384-Zoom2_Tmin)/Diagramm_dT+1))</f>
        <v/>
      </c>
      <c r="P384" t="n">
        <v>73.77298373446752</v>
      </c>
      <c r="Q384" t="n">
        <v>0</v>
      </c>
      <c r="R384" t="n">
        <v>176.2270162655325</v>
      </c>
    </row>
    <row r="385">
      <c r="B385" t="n">
        <v>108.5</v>
      </c>
      <c r="C385">
        <f>IF(MOD(B385,20)=0,TEXT(B385,"0"),"")</f>
        <v/>
      </c>
      <c r="D385" t="n">
        <v>81.45505572191325</v>
      </c>
      <c r="E385" t="n">
        <v>0</v>
      </c>
      <c r="F385" t="n">
        <v>168.5449442780867</v>
      </c>
      <c r="G385" t="n">
        <v>0</v>
      </c>
      <c r="H385" t="n">
        <v>0</v>
      </c>
      <c r="J385" t="n">
        <v>60.65498866498149</v>
      </c>
      <c r="K385" t="n">
        <v>80</v>
      </c>
      <c r="L385">
        <f>(J385-Diagramm_Tmin)/Diagramm_dT+1</f>
        <v/>
      </c>
      <c r="M385">
        <f>IF(J385="","",IF(J385&lt;Zoom_Tmin,NA(),(J385-Zoom_Tmin)/Diagramm_dT+1))</f>
        <v/>
      </c>
      <c r="N385">
        <f>IF(J385="","",IF(J385&lt;Zoom2_Tmin,NA(),(J385-Zoom2_Tmin)/Diagramm_dT+1))</f>
        <v/>
      </c>
      <c r="P385" t="n">
        <v>73.77298373446752</v>
      </c>
      <c r="Q385" t="n">
        <v>0</v>
      </c>
      <c r="R385" t="n">
        <v>176.2270162655325</v>
      </c>
    </row>
    <row r="386">
      <c r="B386" t="n">
        <v>109</v>
      </c>
      <c r="C386">
        <f>IF(MOD(B386,20)=0,TEXT(B386,"0"),"")</f>
        <v/>
      </c>
      <c r="D386" t="n">
        <v>81.45505572191325</v>
      </c>
      <c r="E386" t="n">
        <v>0</v>
      </c>
      <c r="F386" t="n">
        <v>168.5449442780867</v>
      </c>
      <c r="G386" t="n">
        <v>0</v>
      </c>
      <c r="H386" t="n">
        <v>0</v>
      </c>
      <c r="J386" t="n">
        <v>20</v>
      </c>
      <c r="K386" t="n">
        <v>80</v>
      </c>
      <c r="L386">
        <f>(J386-Diagramm_Tmin)/Diagramm_dT+1</f>
        <v/>
      </c>
      <c r="M386">
        <f>IF(J386="","",IF(J386&lt;Zoom_Tmin,NA(),(J386-Zoom_Tmin)/Diagramm_dT+1))</f>
        <v/>
      </c>
      <c r="N386">
        <f>IF(J386="","",IF(J386&lt;Zoom2_Tmin,NA(),(J386-Zoom2_Tmin)/Diagramm_dT+1))</f>
        <v/>
      </c>
      <c r="P386" t="n">
        <v>73.77298373446752</v>
      </c>
      <c r="Q386" t="n">
        <v>0</v>
      </c>
      <c r="R386" t="n">
        <v>176.2270162655325</v>
      </c>
    </row>
    <row r="387">
      <c r="B387" t="n">
        <v>109.5</v>
      </c>
      <c r="C387">
        <f>IF(MOD(B387,20)=0,TEXT(B387,"0"),"")</f>
        <v/>
      </c>
      <c r="D387" t="n">
        <v>81.45505572191325</v>
      </c>
      <c r="E387" t="n">
        <v>0</v>
      </c>
      <c r="F387" t="n">
        <v>168.5449442780867</v>
      </c>
      <c r="G387" t="n">
        <v>0</v>
      </c>
      <c r="H387" t="n">
        <v>0</v>
      </c>
      <c r="J387" t="n">
        <v>29.18506758580884</v>
      </c>
      <c r="K387" t="n">
        <v>127.2718032176663</v>
      </c>
      <c r="L387">
        <f>(J387-Diagramm_Tmin)/Diagramm_dT+1</f>
        <v/>
      </c>
      <c r="M387">
        <f>IF(J387="","",IF(J387&lt;Zoom_Tmin,NA(),(J387-Zoom_Tmin)/Diagramm_dT+1))</f>
        <v/>
      </c>
      <c r="N387">
        <f>IF(J387="","",IF(J387&lt;Zoom2_Tmin,NA(),(J387-Zoom2_Tmin)/Diagramm_dT+1))</f>
        <v/>
      </c>
      <c r="P387" t="n">
        <v>73.77298373446752</v>
      </c>
      <c r="Q387" t="n">
        <v>0</v>
      </c>
      <c r="R387" t="n">
        <v>176.2270162655325</v>
      </c>
    </row>
    <row r="388">
      <c r="B388" t="n">
        <v>110</v>
      </c>
      <c r="C388">
        <f>IF(MOD(B388,20)=0,TEXT(B388,"0"),"")</f>
        <v/>
      </c>
      <c r="D388" t="n">
        <v>81.45505572191325</v>
      </c>
      <c r="E388" t="n">
        <v>0</v>
      </c>
      <c r="F388" t="n">
        <v>168.5449442780867</v>
      </c>
      <c r="G388" t="n">
        <v>0</v>
      </c>
      <c r="H388" t="n">
        <v>0</v>
      </c>
      <c r="M388">
        <f>IF(J388="","",IF(J388&lt;Zoom_Tmin,NA(),(J388-Zoom_Tmin)/Diagramm_dT+1))</f>
        <v/>
      </c>
      <c r="N388">
        <f>IF(J388="","",IF(J388&lt;Zoom2_Tmin,NA(),(J388-Zoom2_Tmin)/Diagramm_dT+1))</f>
        <v/>
      </c>
      <c r="P388" t="n">
        <v>73.77298373446752</v>
      </c>
      <c r="Q388" t="n">
        <v>0</v>
      </c>
      <c r="R388" t="n">
        <v>176.2270162655325</v>
      </c>
    </row>
    <row r="389">
      <c r="I389" s="50" t="inlineStr">
        <is>
          <t>Alternative D: tiefkalt bei 30 bar (bleibt zweiphasig)</t>
        </is>
      </c>
      <c r="J389" t="n">
        <v>15</v>
      </c>
      <c r="K389" t="n">
        <v>30</v>
      </c>
      <c r="L389">
        <f>(J389-Diagramm_Tmin)/Diagramm_dT+1</f>
        <v/>
      </c>
      <c r="M389">
        <f>IF(J389="","",IF(J389&lt;Zoom_Tmin,NA(),(J389-Zoom_Tmin)/Diagramm_dT+1))</f>
        <v/>
      </c>
      <c r="N389">
        <f>IF(J389="","",IF(J389&lt;Zoom2_Tmin,NA(),(J389-Zoom2_Tmin)/Diagramm_dT+1))</f>
        <v/>
      </c>
    </row>
    <row r="390">
      <c r="J390" t="n">
        <v>-40</v>
      </c>
      <c r="K390" t="n">
        <v>30</v>
      </c>
      <c r="L390">
        <f>(J390-Diagramm_Tmin)/Diagramm_dT+1</f>
        <v/>
      </c>
      <c r="M390">
        <f>IF(J390="","",IF(J390&lt;Zoom_Tmin,NA(),(J390-Zoom_Tmin)/Diagramm_dT+1))</f>
        <v/>
      </c>
      <c r="N390">
        <f>IF(J390="","",IF(J390&lt;Zoom2_Tmin,NA(),(J390-Zoom2_Tmin)/Diagramm_dT+1))</f>
        <v/>
      </c>
    </row>
    <row r="391">
      <c r="M391">
        <f>IF(J391="","",IF(J391&lt;Zoom_Tmin,NA(),(J391-Zoom_Tmin)/Diagramm_dT+1))</f>
        <v/>
      </c>
      <c r="N391">
        <f>IF(J391="","",IF(J391&lt;Zoom2_Tmin,NA(),(J391-Zoom2_Tmin)/Diagramm_dT+1))</f>
        <v/>
      </c>
    </row>
    <row r="392">
      <c r="I392" s="50" t="inlineStr">
        <is>
          <t>Alternative E: Pumpe im Zweiphasengebiet (80 bar / 25 °C)</t>
        </is>
      </c>
      <c r="J392" t="n">
        <v>25</v>
      </c>
      <c r="K392" t="n">
        <v>80</v>
      </c>
      <c r="L392">
        <f>(J392-Diagramm_Tmin)/Diagramm_dT+1</f>
        <v/>
      </c>
      <c r="M392">
        <f>IF(J392="","",IF(J392&lt;Zoom_Tmin,NA(),(J392-Zoom_Tmin)/Diagramm_dT+1))</f>
        <v/>
      </c>
      <c r="N392">
        <f>IF(J392="","",IF(J392&lt;Zoom2_Tmin,NA(),(J392-Zoom2_Tmin)/Diagramm_dT+1))</f>
        <v/>
      </c>
    </row>
    <row r="393">
      <c r="M393">
        <f>IF(J393="","",IF(J393&lt;Zoom_Tmin,NA(),(J393-Zoom_Tmin)/Diagramm_dT+1))</f>
        <v/>
      </c>
      <c r="N393">
        <f>IF(J393="","",IF(J393&lt;Zoom2_Tmin,NA(),(J393-Zoom2_Tmin)/Diagramm_dT+1))</f>
        <v/>
      </c>
    </row>
    <row r="394">
      <c r="I394" s="50" t="inlineStr">
        <is>
          <t>Beschriftung Zoom S1</t>
        </is>
      </c>
      <c r="J394" t="n">
        <v>0</v>
      </c>
      <c r="K394" t="n">
        <v>105</v>
      </c>
      <c r="L394">
        <f>(J394-Diagramm_Tmin)/Diagramm_dT+1</f>
        <v/>
      </c>
      <c r="M394">
        <f>IF(J394="","",IF(J394&lt;Zoom_Tmin,NA(),(J394-Zoom_Tmin)/Diagramm_dT+1))</f>
        <v/>
      </c>
      <c r="N394">
        <f>IF(J394="","",IF(J394&lt;Zoom2_Tmin,NA(),(J394-Zoom2_Tmin)/Diagramm_dT+1))</f>
        <v/>
      </c>
    </row>
    <row r="395">
      <c r="J395" t="n">
        <v>45</v>
      </c>
      <c r="K395" t="n">
        <v>120</v>
      </c>
      <c r="L395">
        <f>(J395-Diagramm_Tmin)/Diagramm_dT+1</f>
        <v/>
      </c>
      <c r="M395">
        <f>IF(J395="","",IF(J395&lt;Zoom_Tmin,NA(),(J395-Zoom_Tmin)/Diagramm_dT+1))</f>
        <v/>
      </c>
      <c r="N395">
        <f>IF(J395="","",IF(J395&lt;Zoom2_Tmin,NA(),(J395-Zoom2_Tmin)/Diagramm_dT+1))</f>
        <v/>
      </c>
    </row>
    <row r="396">
      <c r="J396" t="n">
        <v>45</v>
      </c>
      <c r="K396" t="n">
        <v>25</v>
      </c>
      <c r="L396">
        <f>(J396-Diagramm_Tmin)/Diagramm_dT+1</f>
        <v/>
      </c>
      <c r="M396">
        <f>IF(J396="","",IF(J396&lt;Zoom_Tmin,NA(),(J396-Zoom_Tmin)/Diagramm_dT+1))</f>
        <v/>
      </c>
      <c r="N396">
        <f>IF(J396="","",IF(J396&lt;Zoom2_Tmin,NA(),(J396-Zoom2_Tmin)/Diagramm_dT+1))</f>
        <v/>
      </c>
    </row>
    <row r="397">
      <c r="J397" t="n">
        <v>-12</v>
      </c>
      <c r="K397" t="n">
        <v>42</v>
      </c>
      <c r="L397">
        <f>(J397-Diagramm_Tmin)/Diagramm_dT+1</f>
        <v/>
      </c>
      <c r="M397">
        <f>IF(J397="","",IF(J397&lt;Zoom_Tmin,NA(),(J397-Zoom_Tmin)/Diagramm_dT+1))</f>
        <v/>
      </c>
      <c r="N397">
        <f>IF(J397="","",IF(J397&lt;Zoom2_Tmin,NA(),(J397-Zoom2_Tmin)/Diagramm_dT+1))</f>
        <v/>
      </c>
    </row>
    <row r="398">
      <c r="M398">
        <f>IF(J398="","",IF(J398&lt;Zoom_Tmin,NA(),(J398-Zoom_Tmin)/Diagramm_dT+1))</f>
        <v/>
      </c>
      <c r="N398">
        <f>IF(J398="","",IF(J398&lt;Zoom2_Tmin,NA(),(J398-Zoom2_Tmin)/Diagramm_dT+1))</f>
        <v/>
      </c>
    </row>
    <row r="399">
      <c r="I399" s="50" t="inlineStr">
        <is>
          <t>Beschriftung Zoom S2</t>
        </is>
      </c>
      <c r="J399" t="n">
        <v>0</v>
      </c>
      <c r="K399" t="n">
        <v>105</v>
      </c>
      <c r="L399">
        <f>(J399-Diagramm_Tmin)/Diagramm_dT+1</f>
        <v/>
      </c>
      <c r="M399">
        <f>IF(J399="","",IF(J399&lt;Zoom_Tmin,NA(),(J399-Zoom_Tmin)/Diagramm_dT+1))</f>
        <v/>
      </c>
      <c r="N399">
        <f>IF(J399="","",IF(J399&lt;Zoom2_Tmin,NA(),(J399-Zoom2_Tmin)/Diagramm_dT+1))</f>
        <v/>
      </c>
    </row>
    <row r="400">
      <c r="J400" t="n">
        <v>85</v>
      </c>
      <c r="K400" t="n">
        <v>120</v>
      </c>
      <c r="L400">
        <f>(J400-Diagramm_Tmin)/Diagramm_dT+1</f>
        <v/>
      </c>
      <c r="M400">
        <f>IF(J400="","",IF(J400&lt;Zoom_Tmin,NA(),(J400-Zoom_Tmin)/Diagramm_dT+1))</f>
        <v/>
      </c>
      <c r="N400">
        <f>IF(J400="","",IF(J400&lt;Zoom2_Tmin,NA(),(J400-Zoom2_Tmin)/Diagramm_dT+1))</f>
        <v/>
      </c>
    </row>
    <row r="401">
      <c r="J401" t="n">
        <v>75</v>
      </c>
      <c r="K401" t="n">
        <v>15</v>
      </c>
      <c r="L401">
        <f>(J401-Diagramm_Tmin)/Diagramm_dT+1</f>
        <v/>
      </c>
      <c r="M401">
        <f>IF(J401="","",IF(J401&lt;Zoom_Tmin,NA(),(J401-Zoom_Tmin)/Diagramm_dT+1))</f>
        <v/>
      </c>
      <c r="N401">
        <f>IF(J401="","",IF(J401&lt;Zoom2_Tmin,NA(),(J401-Zoom2_Tmin)/Diagramm_dT+1))</f>
        <v/>
      </c>
    </row>
    <row r="402">
      <c r="J402" t="n">
        <v>-12</v>
      </c>
      <c r="K402" t="n">
        <v>42</v>
      </c>
      <c r="L402">
        <f>(J402-Diagramm_Tmin)/Diagramm_dT+1</f>
        <v/>
      </c>
      <c r="M402">
        <f>IF(J402="","",IF(J402&lt;Zoom_Tmin,NA(),(J402-Zoom_Tmin)/Diagramm_dT+1))</f>
        <v/>
      </c>
      <c r="N402">
        <f>IF(J402="","",IF(J402&lt;Zoom2_Tmin,NA(),(J402-Zoom2_Tmin)/Diagramm_dT+1))</f>
        <v/>
      </c>
    </row>
  </sheetData>
  <mergeCells count="1">
    <mergeCell ref="D4:G5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Maxara</dc:creator>
  <dc:title xmlns:dc="http://purl.org/dc/elements/1.1/">CO2-Zwischenspeicherung – Rechenübersicht Einspeicherung</dc:title>
  <dc:description xmlns:dc="http://purl.org/dc/elements/1.1/">Stoffdaten CoolProp 8.0.0</dc:description>
  <dcterms:created xmlns:dcterms="http://purl.org/dc/terms/" xmlns:xsi="http://www.w3.org/2001/XMLSchema-instance" xsi:type="dcterms:W3CDTF">2026-09-28T06:28:12Z</dcterms:created>
  <dcterms:modified xmlns:dcterms="http://purl.org/dc/terms/" xmlns:xsi="http://www.w3.org/2001/XMLSchema-instance" xsi:type="dcterms:W3CDTF">2026-10-15T12:52:55Z</dcterms:modified>
  <cp:lastModifiedBy>Sarah Maxara (smaxara)</cp:lastModifiedBy>
</cp:coreProperties>
</file>