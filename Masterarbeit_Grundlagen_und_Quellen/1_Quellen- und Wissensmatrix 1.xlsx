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uniper.sharepoint.com/sites/StudienStandortEpe/Shared Documents/CO2 Zwischenspeicherung/Unterlagen von Sarah/Quellen/"/>
    </mc:Choice>
  </mc:AlternateContent>
  <xr:revisionPtr revIDLastSave="118" documentId="11_3436A3B8D89B5CD6D37F5978CA69FE45A74E11EF" xr6:coauthVersionLast="47" xr6:coauthVersionMax="47" xr10:uidLastSave="{E6D51E77-B7DB-4465-A874-6FDD7616EA33}"/>
  <bookViews>
    <workbookView xWindow="-28920" yWindow="-60" windowWidth="29040" windowHeight="15720" xr2:uid="{00000000-000D-0000-FFFF-FFFF00000000}"/>
  </bookViews>
  <sheets>
    <sheet name="Quellenübersicht" sheetId="1" r:id="rId1"/>
    <sheet name="Themencluster" sheetId="3" r:id="rId2"/>
    <sheet name="Auswahllisten" sheetId="11" state="hidden"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 l="1"/>
  <c r="A8" i="1"/>
  <c r="A7" i="1"/>
  <c r="A6" i="1"/>
  <c r="A5" i="1"/>
  <c r="A4" i="1"/>
</calcChain>
</file>

<file path=xl/sharedStrings.xml><?xml version="1.0" encoding="utf-8"?>
<sst xmlns="http://schemas.openxmlformats.org/spreadsheetml/2006/main" count="1528" uniqueCount="1174">
  <si>
    <t>📚 Quellenübersicht</t>
  </si>
  <si>
    <t>Quellen-ID</t>
  </si>
  <si>
    <t>Titel der Quelle</t>
  </si>
  <si>
    <t>Autor / Institution</t>
  </si>
  <si>
    <t>Jahr</t>
  </si>
  <si>
    <t>Quellentyp</t>
  </si>
  <si>
    <t>Themenfeld</t>
  </si>
  <si>
    <t>Relevanz</t>
  </si>
  <si>
    <t>Status</t>
  </si>
  <si>
    <t>Kernaussage</t>
  </si>
  <si>
    <t>Wichtige technische Daten / Zahlenwerte</t>
  </si>
  <si>
    <t>Relevante Seiten / Kapitel</t>
  </si>
  <si>
    <t>Wofür nutzbar?</t>
  </si>
  <si>
    <t>Offene Fragen</t>
  </si>
  <si>
    <t>Bewertung der Quelle</t>
  </si>
  <si>
    <t>Link / Dateiname</t>
  </si>
  <si>
    <t>Themencluster (primär)</t>
  </si>
  <si>
    <t>Themencluster (weitere)</t>
  </si>
  <si>
    <t>Kapitel (Gliederungsentwurf)</t>
  </si>
  <si>
    <t>DVGW C 260 (A): Properties of Carbon Dioxide and Carbon Dioxide Streams</t>
  </si>
  <si>
    <t>DVGW Deutscher Verein des Gas- und Wasserfaches e. V.</t>
  </si>
  <si>
    <t>Technische Regel / Code of Practice, Entwurf</t>
  </si>
  <si>
    <t>CO₂-Eigenschaften; Begriffe,Symbole, Einhiten; Ausgangs- und Betriebsparameter für CO₂-Leitungen; Thermodynamics</t>
  </si>
  <si>
    <t>Hoch</t>
  </si>
  <si>
    <t>Gelesen</t>
  </si>
  <si>
    <t>Die Quelle definiert Eigenschaften und Anforderungen an CO₂- und CO₂-Ströme für Transport in Stahlpipelines. Besonders relevant sind Phasenverhalten, Begleitstoffe, Wassergehalt, Korrosion, Hydratbildung und Grenzwerte zur sicheren Pipelineführung.</t>
  </si>
  <si>
    <t xml:space="preserve">Molecular weight: 44.01 kg/kmole, Standard Volume (0°C + 1,013 bar): 22.263 m3/kmole, specific gas constant: 0.1889 kJ/kgK, krit temp: 30,98°C, crit pressure: 73.78 bara ,crit desitiy: 463.28 kg/m3; refference values of CO₂ on humans (0.5 CO₂ Vol% max at workplace); </t>
  </si>
  <si>
    <t>Kap. 1, 4, 5; Annex B</t>
  </si>
  <si>
    <t>Stand der Technik zu CO₂-Transportqualität, technische Anforderungen an CO₂-Ströme, Grenzwerte für Begleitstoffe</t>
  </si>
  <si>
    <t>DVGW_C_260en_2024-09.pdf</t>
  </si>
  <si>
    <t>CO₂-Management – Phase I: Grundlagenermittlung / CO₂START</t>
  </si>
  <si>
    <t>DBI Gas- und Umwelttechnik GmbH; DVGW-Forschungsstelle am Engler-Bunte-Institut des KIT; Gas- und Wärme-Institut Essen e. V.; DVGW-Forschung, DVGW-Forschungsbericht G 202434</t>
  </si>
  <si>
    <t>Abschlussbericht / DVGW-Forschungsbericht</t>
  </si>
  <si>
    <t>CO₂-Management; CO₂-Transport; CO₂-Speicherung; CO₂-Abscheidung; CO₂-Infrastruktur Deutschland</t>
  </si>
  <si>
    <t>Der Bericht erarbeitet wissenschaftliche, technische und regulatorische Grundlagen für eine zukünftige CO₂-Transport- und Speicherinfrastruktur in Deutschland. Temporäre CO₂-Speicher, insbesondere Salzkavernen, werden als Flexibilisierungsoption für zukünftige CO₂-Transportnetze eingeordnet.</t>
  </si>
  <si>
    <t>O₂, NOx, SOx, H2S + Wasser und Glykol = Problematisch reaktive Spurstoffe</t>
  </si>
  <si>
    <t>Kap. 4 CO₂-Abscheidung und Aufbereitung; Kap. 5 CO₂-Transport; Kap. 6 CO₂-Speicherung; Kap. 7 Modellierung der CO₂-Transportketten</t>
  </si>
  <si>
    <t>Stand der Technik zu CO₂-Infrastruktur in Deutschland; Einordnung von Salzkavernen als temporäre Speicher; Überblick zu Transportoptionen und Zwischenspeicherbedarf</t>
  </si>
  <si>
    <t>Q‑002 erwähnt selbst keine konkreten Umwidmungspläne oder Retrofit-Anforderungen für Erdgasleitungen/-kavernen, sondern fokussiert sich auf generelle Grundlagen</t>
  </si>
  <si>
    <t>FORSCHUNGSBEIRATGAS_N0099_DVGW-Forschungsbericht_G_202434-CO2-Start.pdf</t>
  </si>
  <si>
    <t>Energiespeicherung in Salzkavernen mit superkritischem CO₂ – ESsCO₂</t>
  </si>
  <si>
    <t>IfG – Institut für Gebirgsmechanik GmbH; UGS Untergrundspeicher- und Geotechnologie-Systeme GmbH; CTU Prague; Projektträger Jülich; BMWi/BMWK-Förderkennzeichen 03ET6154</t>
  </si>
  <si>
    <t>Forschungsbericht / Abschlussbericht</t>
  </si>
  <si>
    <t>sCO₂-Speicherung; Salzkavernen; Energiespeicherung; Kavernentechnik; Werkstoffe; Betrieb; Trocknung</t>
  </si>
  <si>
    <t>In Bearbeitung</t>
  </si>
  <si>
    <t>Der Bericht entwickelt ein Grundkonzept für ein emissionsfreies Kavernenspeicherkraftwerk mit superkritischem CO₂ als Druckspeichermedium in einem geschlossenen Kreislauf. Das Konzept nutzt eine Hochdruck- und eine Niederdruckkaverne im Salzgebirge und untersucht geomechanische, thermodynamische, materialtechnische, obertägige und betriebliche Anforderungen.</t>
  </si>
  <si>
    <t>Kap. 3 Prinzip ESsCO₂; Kap. 4 Kavernendimensionierung; Kap. 5 Dichtheit/Perkolation; Kap. 6 Thermomechanik; Kap. 8 Kaverneninstallation/Werkstoffe; Kap. 9 obertägige Einrichtungen; Kap. 10 Betrieb/Wirtschaftlichkeit</t>
  </si>
  <si>
    <t>Stand der Technik zu sCO₂-Speicherung in Salzkavernen; technische Randbedingungen; Betriebsdrücke; Werkstoff-/Korrosionsfragen; Dichtheitsnachweise; Prozesskonzept</t>
  </si>
  <si>
    <t>ESsCO2_Abschlussbericht_2022.pdf</t>
  </si>
  <si>
    <t>Materials challenges with CO₂ transport and injection for carbon capture and storage</t>
  </si>
  <si>
    <t>J. Sonke, W. M. Bos, S. J. Paterson; Shell Global Solutions International / Shell India Markets / Arbeadie Consultants</t>
  </si>
  <si>
    <t>Wissenschaftlicher Fachartikel / Journal Paper</t>
  </si>
  <si>
    <t>CO₂-Transport; CO₂-Injektion; Materialauswahl; Korrosion; Verunreinigungen; Dense Phase CO₂</t>
  </si>
  <si>
    <t>Die Materialauswahl für CCS-Projekte muss auf CO₂-Spezifikation, Betriebsfenster und möglichen Störfällen basieren. Kritisch sind insbesondere Wasserabscheidung, Säurebildung, elementarer Schwefel, Tieftemperaturversprödung, Running Fracture, H₂S-/Wasserstoffrissbildung, SCC sowie Polymer-/Elastomer-Degradation.</t>
  </si>
  <si>
    <t>1.3 Transport; 1.4 Injection; 2 Materials challenges; 3 Corrosion; 4 CRAs; 5 Non-metallics/polymers; 6 Discussion; 7 Summary</t>
  </si>
  <si>
    <t>Werkstofftechnische Bewertung von CO₂-Transport- und Speicher-/Injektionssystemen; Begründung, warum CO₂-Reinheit, Wassergehalt, O₂, SO₂, NO₂, H₂S und Betriebszustände kritisch sind</t>
  </si>
  <si>
    <t>Materials challenges with CO2 transport and injections for carbon capture and storage.pdf</t>
  </si>
  <si>
    <t>Impact of Impurities on CO₂ Capture, Transport and Storage</t>
  </si>
  <si>
    <t>SNC-Lavalin Inc.; im Auftrag des IEA Greenhouse Gas R&amp;D Programme</t>
  </si>
  <si>
    <t>Forschungsbericht / technischer Studienbericht</t>
  </si>
  <si>
    <t>CO₂-Impurities; Co-Capture; CO₂-Transport; geologische Speicherung; H₂S; SO₂; NOx; Trace Elements</t>
  </si>
  <si>
    <t>Die Studie untersucht, welche Verunreinigungen bei der gemeinsamen Abscheidung von CO₂ und weiteren Rauchgasbestandteilen auftreten können und welche Auswirkungen diese auf Kompression, Transport und geologische Speicherung haben. Besonders relevant sind H₂S und SO₂, da sie toxisch sind und Transport-/Sicherheitsanforderungen stark</t>
  </si>
  <si>
    <t>Zentrale Impurities: H₂S, SO₂, NOx, H₂, CO, N₂, O₂, Ar, Hg, As, Se</t>
  </si>
  <si>
    <t>Executive Summary; Kap. 3 Conventional Boilers; Kap. 4 Gasification Systems; Kap. 5 Compression and Transport Issues; Kap. 6 Sub-Surface Storage Options; Kap. 8 Conclusions; Kap. 9 Recommendations</t>
  </si>
  <si>
    <t>Historischer Überblick zu möglichen Impurity-Bereichen; Einordnung von Co-Capture-Konzepten; toxikologische und sicherheitstechnische Relevanz von H₂S/SO₂ im CO₂-Strom; Vergleich zu späteren Quellen</t>
  </si>
  <si>
    <t>villt etwas alt</t>
  </si>
  <si>
    <t>Impact of Impurities on CO2 Capture, Transport and Storage.pdf</t>
  </si>
  <si>
    <t>Effects of Impurities on Geological Storage of CO₂</t>
  </si>
  <si>
    <t>Jinsheng Wang, David Ryan, Edward J. Anthony, Andrew Wigston; CanmetENERGY,IEAGHG; finanziert durch Global CCS Institute Natural Resources Canada</t>
  </si>
  <si>
    <t>Forschungsbericht / Literatur- und Modellierungsstudie</t>
  </si>
  <si>
    <t>Geologische CO₂-Speicherung; Impurities; Phasenverhalten; Speicherkapazität; Injektivität; Kaprock; Geochemie; Well-Materialien</t>
  </si>
  <si>
    <t>Die Studie zeigt, dass Verunreinigungen im CO₂-Strom sowohl physikalische als auch chemische Auswirkungen auf geologische Speicherung haben können. Nicht-kondensierbare Gase wie N₂, O₂ und Ar können Speicherkapazität und Injektivität reduzieren, während reaktive Komponenten wie SOx, NOx und H₂S geochemische Reaktionen, Korrosion und Integritätsfragen beeinflussen können.</t>
  </si>
  <si>
    <t>Zentrale Impurities: N₂, O₂, Ar, SOx, NOx, H₂S, H₂, CO, CH₄, Hg</t>
  </si>
  <si>
    <t>Kap. 2 Physical Effects; Kap. 2.1 Phase Behaviour; Kap. 2.2 Storage Capacity; Kap. 2.3 Permeation Flux; Kap. 2.4 Buoyancy; Kap. 3 Chemical Effects; Kap. 3.3 Corrosion of Well Materials; Kap. 6 Selected Scenarios; Kap. 8 Uncertainties; Kap. 9 Conclusions</t>
  </si>
  <si>
    <t>Erklärung, warum CO₂-Impurities nicht nur Korrosion betreffen, sondern auch Phasenverhalten, Dichte, Speicherkapazität, Injektivität, Auftrieb und geochemische Reaktionen. Sehr gut für wissenschaftlichen Stand der Technik.</t>
  </si>
  <si>
    <t>2011-04 Effects of Impurities on Geological Storage of CO2.pdf</t>
  </si>
  <si>
    <t>Q-007</t>
  </si>
  <si>
    <t>NIST Chemistry WebBook, SRD 69 – Isothermal Properties for Carbon dioxide</t>
  </si>
  <si>
    <t>National Institute of Standards and Technology (NIST)</t>
  </si>
  <si>
    <t>2026 / laufend gepflegte Datenbank</t>
  </si>
  <si>
    <t>Online-Datenbank / Stoffwerttool</t>
  </si>
  <si>
    <t>CO₂-Stoffdaten; isotherme Eigenschaften; Druckbereich; Dichte; Enthalpie; Joule-Thomson-Koeffizient</t>
  </si>
  <si>
    <t>Mittel</t>
  </si>
  <si>
    <t>NIST WebBook stellt thermophysikalische Stoffdaten für CO₂ bereit. Für isotherme Abfragen können Stoffwerte bei konstanter Temperatur über einen gewählten Druckbereich ausgegeben werden.</t>
  </si>
  <si>
    <t>Pressure range; Density; Enthalpy; Joule-Thomson coefficient; Phase; Beispiel: Isothermal Properties for CO₂</t>
  </si>
  <si>
    <t>Online-Abfrage: Isothermal Properties for Carbon dioxide</t>
  </si>
  <si>
    <t>Berechnung und Plausibilisierung von CO₂-Stoffwerten; Vergleich mit CoolProp; Datengrundlage für Excel-Auswertung</t>
  </si>
  <si>
    <t>Nur Online-Abfrage, keine methodische Erklärung des Kavernenprozesses; genaue Zustandsgleichung/Referenz ggf. zusätzlich dokumentieren</t>
  </si>
  <si>
    <t>Sehr gute Datenquelle für Stoffwerte; als Datenbank/Tool zitieren, nicht als fachliche Auswertung</t>
  </si>
  <si>
    <t>NIST Chemistry WebBook / User-Link</t>
  </si>
  <si>
    <t>T15 Methoden &amp; Werkzeuge</t>
  </si>
  <si>
    <t>T03</t>
  </si>
  <si>
    <t>3.1; 5</t>
  </si>
  <si>
    <t>Q-008</t>
  </si>
  <si>
    <t>ScienceDirect Topics – Joule-Thomson Coefficient</t>
  </si>
  <si>
    <t>ScienceDirect / Elsevier Topics</t>
  </si>
  <si>
    <t>2026 / laufend gepflegte Übersichtsseite</t>
  </si>
  <si>
    <t>Online-Lexikon / Themenübersicht</t>
  </si>
  <si>
    <t>Joule-Thomson-Effekt; Definition; isenthalpe Expansion; Vorzeichen des Koeffizienten</t>
  </si>
  <si>
    <t>Die Seite erklärt den Joule-Thomson-Koeffizienten als Temperaturänderung eines realen Gases bei adiabatischer/isenthalper Expansion und definiert ihn als μJT = (∂T/∂P)h. Ein positiver oder negativer Wert entscheidet, ob ein Gas bei Drosselentspannung abkühlt oder sich erwärmt.</t>
  </si>
  <si>
    <t>Definition: μJT = (∂T/∂P)h; ideal gases μJT = 0; real gases μJT positiv oder negativ</t>
  </si>
  <si>
    <t>Definition / Overview</t>
  </si>
  <si>
    <t>Begriffserklärung für Joule-Thomson-Koeffizient; kurze theoretische Einordnung</t>
  </si>
  <si>
    <t>ScienceDirect Topics ist eher Sekundär-/Übersichtsquelle; für wissenschaftliche Arbeit besser durch Thermodynamik-Lehrbuch oder Fachquelle absichern</t>
  </si>
  <si>
    <t>Nur als kurze Begriffserklärung verwenden, nicht als zentrale technische Quelle</t>
  </si>
  <si>
    <t>ScienceDirect Topics / User-Link</t>
  </si>
  <si>
    <t>T03 Stoffdaten &amp; Phasenverhalten</t>
  </si>
  <si>
    <t>T15</t>
  </si>
  <si>
    <t>3.2</t>
  </si>
  <si>
    <t>Q-009</t>
  </si>
  <si>
    <t>CoolProp Online – Hydrogen State Point / Calculate Another State</t>
  </si>
  <si>
    <t>CoolProp / Ian Bell et al.</t>
  </si>
  <si>
    <t>2025 / CoolProp Version 7.2.0</t>
  </si>
  <si>
    <t>Online-Berechnungstool / Stoffwertbibliothek</t>
  </si>
  <si>
    <t>Thermophysikalische Stoffdaten; Zustandsberechnung; isenthalpe Entspannung; H₂, CH₄, CO₂</t>
  </si>
  <si>
    <t>CoolProp Online erlaubt die Berechnung thermophysikalischer Stoffdaten bei vorgegebenen Zustandsgrößen. Für die Auswertung wurde es genutzt, um bei konstanter Enthalpie und variierendem Druck Temperaturen, Dichten und weitere Zustandsgrößen zu bestimmen.</t>
  </si>
  <si>
    <t>Beispiel Hydrogen: p = 3e6 Pa, h = 4.41e6 J/kg, T = 330.419 K, ρ = 2.16551 kg/m³; CoolProp Version 7.2.0</t>
  </si>
  <si>
    <t>Online-Zustandsberechnung; Calculate Another State</t>
  </si>
  <si>
    <t>Direkte Berechnung isenthalper Entspannungsverläufe; schneller und reproduzierbarer als manuelle NIST-Abfrage; Grundlage für Python-Workflow</t>
  </si>
  <si>
    <t>Online-Tool ist für Einzelzustände umständlich; für Reihenberechnung besser Python-Bibliothek CoolProp nutzen</t>
  </si>
  <si>
    <t>Sehr nützliches Berechnungstool; Ergebnisse sollten mit Modell/Version dokumentiert werden</t>
  </si>
  <si>
    <t>CoolProp Online / User-Link</t>
  </si>
  <si>
    <t>3.2; 5</t>
  </si>
  <si>
    <t>Q-010</t>
  </si>
  <si>
    <t>TU Darmstadt – Joule-Thomson-Effekt</t>
  </si>
  <si>
    <t>Demonstrations-Versuche Physik, TU Darmstadt</t>
  </si>
  <si>
    <t>2021–2026</t>
  </si>
  <si>
    <t>Lehr-/Demonstrationsseite</t>
  </si>
  <si>
    <t>Joule-Thomson-Effekt; CO₂; Drosselstelle; isenthalpe Entspannung; experimentelle Demonstration</t>
  </si>
  <si>
    <t>Die Seite beschreibt den Joule-Thomson-Effekt anhand einer CO₂-Drosselung und nennt für CO₂ bei Normalbedingungen einen positiven Joule-Thomson-Koeffizienten. Unterhalb der Inversionstemperatur sinkt die Temperatur bei Drosselung.</t>
  </si>
  <si>
    <t>Für CO₂: μ ≈ +1.1·10^-5 K/Pa; reale Temperaturänderung ca. 1 K/bar; Versuch: Abkühlung von CO₂ durch isenthalpe Entspannung an Drosselstelle</t>
  </si>
  <si>
    <t>Info / Beschreibung Joule-Thomson-Effekt</t>
  </si>
  <si>
    <t>Beleg für positiven JT-Koeffizienten von CO₂ und qualitative Erklärung der Abkühlung bei Drosselentspannung</t>
  </si>
  <si>
    <t>Lehrquelle, keine industrielle Auslegungsquelle; Wert gilt bei Normalbedingungen und nicht direkt für Hochdruck-Kavernenbedingungen</t>
  </si>
  <si>
    <t>Gut für Erklärung/Einordnung; technische Hochdruckdaten besser aus CoolProp/NIST</t>
  </si>
  <si>
    <t>https://vla.iap.physik.tu-darmstadt.de/experiment/78/description/</t>
  </si>
  <si>
    <t>Q-011</t>
  </si>
  <si>
    <t>Joule-Thomson effect in case of mixtures of natural gas and hydrogen</t>
  </si>
  <si>
    <t>Béla Sebok; Danish Gas Technology Centre (DGC)</t>
  </si>
  <si>
    <t>Technisches Kurzpapier / Note</t>
  </si>
  <si>
    <t>Joule-Thomson-Effekt; Wasserstoff; Erdgas; Methan; H₂-Beimischung; Druckregelung</t>
  </si>
  <si>
    <t>Das DGC-Paper erklärt, dass Methan/Erdgas bei Drosselentspannung unter typischen Gasnetzbedingungen abkühlt, während Wasserstoff sich aufgrund seines negativen Joule-Thomson-Koeffizienten erwärmt. H₂-Beimischung reduziert den positiven JT-Koeffizienten von Erdgas, kehrt das Verhalten bei praxisrelevanten Mischungen bis ca. 30 mol-% aber nicht um.</t>
  </si>
  <si>
    <t>Natural gas: ca. 0.5 K/bar; Hydrogen: ca. -0.03 K/bar bei 1 bar und ca. 300 K; 100 bar Druckreduktion bei H₂ ≈ 4 °C Temperaturerhöhung; H₂/Natural-Gas-Mix 0.55–0.4 K/bar je nach H₂-Anteil</t>
  </si>
  <si>
    <t>Abschnitte 2, 2.1, 2.2, 3, 4; Table 1</t>
  </si>
  <si>
    <t>Vergleich von H₂ und Erdgas/Methan; Begründung für negative JT-Wirkung bei H₂; technische Einordnung für Druckreduzierung und Vorwärmung</t>
  </si>
  <si>
    <t>Werte beziehen sich stark auf Gasnetzbedingungen und Literaturwerte; nicht direkt identisch mit Kavernendrücken bis 210 bar</t>
  </si>
  <si>
    <t>Sehr passend für Vergleich H₂ vs. CH₄/Erdgas; gute technische Kurzquelle</t>
  </si>
  <si>
    <t>DGC PDF: jt_hydrogen_ng_mix.pdf</t>
  </si>
  <si>
    <t>T10</t>
  </si>
  <si>
    <t>3.2; 4.3</t>
  </si>
  <si>
    <t>Q-012</t>
  </si>
  <si>
    <t>Erfahrungen und Potenziale der CO₂-Speicherung</t>
  </si>
  <si>
    <t>DBI Gas- und Umwelttechnik GmbH; Udo Lubenau</t>
  </si>
  <si>
    <t>Präsentation / Fachforum</t>
  </si>
  <si>
    <t>CO₂-Speicherung; Salzkavernen; CO₂-Transport; Phasenverhalten; Zwischenspeicherung; Obertageanlage</t>
  </si>
  <si>
    <t>Die Präsentation ordnet CO₂-Zwischenspeicherung in Kavernen als mögliche Flexibilisierungsoption entlang zukünftiger CO₂-Transportketten ein. Besonders relevant sind Speicheranbindung, Phasenverhalten, Betriebsfenster, Obertageanlage, Temperierung/Trocknung sowie offene Unsicherheiten bei Wasser/Sole, Restgasen und Druckabsenkung.</t>
  </si>
  <si>
    <t>Transport in dichter Phase p &gt; 90 bar oder gasförmig; Speicherpotenzial BGR-Studie ca. 6–12 Mrd. t CO₂; Beispielkaverne: dichte Phase 70–260 bar / 84 °C ≈ 140 kt CO₂, flüssig 70 bar / 20 °C ≈ 210 kt CO₂; Modellkaverne 40 °C, Druckspiel 40–140 bar; Ausspeisung theoretisch bis ca. 10 °C durch Joule-Thomson-Effekt; denkbare OTA-Größe 50.000 m³/h CO₂ i.N.</t>
  </si>
  <si>
    <t>Folien 5, 8, 10, 11, 13–21</t>
  </si>
  <si>
    <t>Einordnung temporärer CO₂-Speicherung in Kavernen; technische Randbedingungen für Speicheranbindung, Phasenverhalten und Obertageanlage; Argumentation zu Zwischenspeicherbedarf und offenen Forschungs-/Planungsfragen</t>
  </si>
  <si>
    <t>Thermodynamik speicherspezifisch und abhängig von Gaszusammensetzung; Umgang mit Wasser/Sole und Restgasen; Punkt der Druckabsenkung; Phasenverhalten in der Bohrung; Art der Umstellung/Soleaustrag klären</t>
  </si>
  <si>
    <t>Sehr passende Präsentationsquelle für Zwischenspeicherung in Kavernen; gut für technische Einordnung, offene Punkte und qualitative Begründung, aber keine vollständige Auslegungsstudie.</t>
  </si>
  <si>
    <t>2026-03-18_DBI-CO2Fachforum-Lubenau-Temporäre CO2-Speicherung Kavernen.pdf</t>
  </si>
  <si>
    <t>T11 Salzkaverne</t>
  </si>
  <si>
    <t>T01; T08; T10</t>
  </si>
  <si>
    <t>2.4; 4.1</t>
  </si>
  <si>
    <t>Q-013</t>
  </si>
  <si>
    <t>Wissenschaftliche Studie zum nationalen und internationalen technischen Stand der Speicherung und des Pipeline-Transports von CO₂</t>
  </si>
  <si>
    <t>DGMK e.V.</t>
  </si>
  <si>
    <t>Forschungsbericht / wissenschaftliche Studie</t>
  </si>
  <si>
    <t>CO₂-Transport; geologische CO₂-Speicherung; CCS/CCUS; Pipeline-Transport; Zwischenspeicherung; Injektion; Monitoring</t>
  </si>
  <si>
    <t>Der Bericht bietet einen umfassenden Überblick zum nationalen und internationalen Stand der Technik bei geologischer CO₂-Speicherung und CO₂-Transport. Er ordnet CCS als ausgereifte Schlüsseltechnologie ein und behandelt Transportoptionen, Pipelinebetrieb, Schiffstransport, Zwischenspeicherung, Injektion, Bohrungsintegrität, Speicherintegrität, Monitoring und Risiken.</t>
  </si>
  <si>
    <t>Pipeline-Transport: ca. 110 Mtpa, 48–200 barg, 10–34 °C, gasförmig/flüssig/superkritisch; Pipeline typ. flüssige Phase 80–200 bar bei Umgebungstemperatur; Schiff: &gt;3 Mtpa, 7–45 barg, −52 bis −10 °C, flüssig; Lkw/Bahn &gt;1 Mtpa; Sleipner: ca. 1 Mtpa seit 1996, Utsira 800–1.000 m, 37 °C, 80–110 bar; CO₂-Transport USA &gt;8.000 km Pipelinehistorie.</t>
  </si>
  <si>
    <t>Zusammenfassung S. 1–4; Kap. 1; Kap. 2 Transport; Kap. 2.1–2.4; Kap. 3 Injektion; Kap. 4 Speicherung; Tabelle 1</t>
  </si>
  <si>
    <t>Stand der Technik zu CCS/CCUS, CO₂-Pipeline- und Schiffstransport, Zwischenspeicherung, Injektion und geologischer Speicherung; Vergleich technischer Transportbedingungen; Argumentation zu Hubs, Infrastruktur, Risiken und Monitoring.</t>
  </si>
  <si>
    <t>Konkrete Anforderungen für Salzkavernen-Zwischenspeicherung nur begrenzt; Fokus liegt stärker auf geologischer Langzeitspeicherung und Transport als auf temporärer Kavernenspeicherung.</t>
  </si>
  <si>
    <t>Sehr umfassende und aktuelle Überblicksquelle für Transport und geologische Speicherung; besonders gut als Stand-der-Technik-Quelle und zur Einordnung von Betriebsbedingungen, Infrastruktur und Risiken.</t>
  </si>
  <si>
    <t>DGMK_887_veroeffentlicht.pdf</t>
  </si>
  <si>
    <t>T08 Transport &amp; Infrastruktur</t>
  </si>
  <si>
    <t>T01; T11; T12</t>
  </si>
  <si>
    <t>2.2; 4.2</t>
  </si>
  <si>
    <t>Q-014</t>
  </si>
  <si>
    <t>Untersuchung von Additiven zur CO₂-Hydratbildung</t>
  </si>
  <si>
    <t>Bärbel Egenolf-Jonkmanns; Ruhr-Universität Bochum / Fraunhofer UMSICHT</t>
  </si>
  <si>
    <t>Dissertation</t>
  </si>
  <si>
    <t>CO₂-Hydrate; Hydratbildung; Additive; Hydrogele; Stoffeigenschaften; Klimakälte</t>
  </si>
  <si>
    <t>Die Dissertation untersucht CO₂-Hydrate und den Einfluss von Additiven, insbesondere schwach bzw. stärker vernetzten Hydrogelen, auf Hydratbildung, Keimbildung, Wachstum und Hydratumsatz. Schwach vernetzte Hydrogele mit hohem Quellvermögen können die CO₂-Hydratbildung promotieren; höhere Vernetzungsdichte bzw. höhere Konzentration kann den Effekt abschwächen oder umkehren.</t>
  </si>
  <si>
    <t>CO₂-Hydrate bilden Struktur I; CO₂-Moleküldurchmesser ca. 0,512 nm; Quadrupelpunkt Q1 ca. 273,1 K / 12,56 bar, Q2 ca. 283,0 K / 44,99 bar; Hydratzahl CO₂-Hydrat n ≈ 7,23; CO₂-Hydrat-Schmelzenthalpie ca. 374 kJ/kg Hydrat; HGV0,6 bei 0,01 Gew.-% verkürzt Induktionszeit und erhöht Hydratwachstum/-umsatz; Hydratbildungsrate im Hochdruckreaktor: Wasser 12,727 µmol/s, HGV0,6 0,01 %: 20,314 µmol/s.</t>
  </si>
  <si>
    <t>Kurzfassung; Kap. 3.2–3.4; Kap. 4.2–4.4; Kap. 5.1–5.2; Kap. 6; Kap. 7</t>
  </si>
  <si>
    <t>Grundlagen zu CO₂-Hydratbildung, Hydratstabilität, Additiven/Hydrogelen, Keimbildung, Induktionszeit, Hydratwachstum und möglicher Nutzung von CO₂-Hydrat-Slurries; hilfreich für Bewertung von Wasser/Hydrat-Problemen und Additivwirkung.</t>
  </si>
  <si>
    <t>Übertragbarkeit auf Kavernen-/Pipelinebedingungen mit realen CO₂-Strömen, Salzwasser/Sole, Verunreinigungen und höheren Drücken prüfen; industrielle Skalierung und Slurry-Handhabung offen.</t>
  </si>
  <si>
    <t>Sehr nützlich für CO₂-Hydratbildung und Additivwirkung; stark labor- und verfahrenstechnisch ausgerichtet, daher für Kavernenspeicherung eher ergänzend zur Einordnung von Hydratrisiken und Additiv-/Kinetikfragen.</t>
  </si>
  <si>
    <t>CO2-Hydratbildung-Dissertation-Frauenhofer.pdf</t>
  </si>
  <si>
    <t>T05 Wasser, Hydrate &amp; Trocknung</t>
  </si>
  <si>
    <t>3.4</t>
  </si>
  <si>
    <t>Q-015</t>
  </si>
  <si>
    <t>Impact of CO₂ hydrates on injectivity during CO₂ storage in depleted gas fields: A literature review</t>
  </si>
  <si>
    <t>Mahnaz Aghajanloo; Lifei Yan; Steffen Berg; Denis Voskov; Rouhi Farajzadeh; Delft University of Technology / Shell Global Solutions International / Stanford University</t>
  </si>
  <si>
    <t>Wissenschaftlicher Review / Journal Article</t>
  </si>
  <si>
    <t>CO₂-Hydrate; CO₂-Speicherung; Depleted Gas Fields; Injectivity; Joule-Thomson-Kühlung; Poröse Medien</t>
  </si>
  <si>
    <t>Der Review bewertet CO₂-Hydratbildung bei der Injektion in erschöpfte Gasfelder als glaubwürdiges Risiko für die Injectivity. Niedrige Temperaturen durch isenthalpe/Joule-Thomson-Expansion können bei verfügbarem Wasser Hydrate begünstigen; diese können Porenraum, Permeabilität und damit die Injektivität deutlich beeinträchtigen. Gleichzeitig bestehen noch Forschungslücken, da kein direkt demonstrierter Fall für CO₂-Hydratbildung allein durch J-T-Kühlung bei CO₂-Injektion in ultra-depleted gas fields vorliegt.</t>
  </si>
  <si>
    <t>Relevante Bedingungen/Richtwerte: Ultra-depleted reservoirs &lt;50 bar; typische CO₂-Injektionsraten ca. 1 Mtpa können sehr niedrige Temperaturen verursachen; CO₂-Hydrat meist Struktur I, theoretische Hydratzahl ca. 5,75; Wasserverfügbarkeit/-sättigung begrenzt Hydratvolumen; kleine Poren können Hydratgleichgewicht zu niedrigeren Temperaturen verschieben, z. B. 4 nm ca. −12 °C ggü. Bulk, 100 nm ca. −0,5 °C; Bentheimer-Sandstein-Experimente: vollständiges Plugging nach ca. 0,3 PV CO₂ bei 70 bar, 4–7 °C und 3,5–7 wt% Brine; KHIs typ. 0,1–1 wt%; THIs/MeOH/MEG/Salze als mögliche, aber kosten-/kompatibilitätskritische Maßnahmen.</t>
  </si>
  <si>
    <t>Abstract; Kap. 1; Kap. 2; Kap. 3.1–3.5; Kap. 3.5.1–3.5.3; Kap. 4; Kap. 5</t>
  </si>
  <si>
    <t>Begründung von Hydratrisiken bei CO₂-Injektion/Zwischenspeicherung; Zusammenhang JT-Kühlung, Wasser/Sole, Porenraum, Hydratbildung und Injectivity-Verlust; Ableitung von Forschungsbedarf und möglichen Vermeidungs-/Remediationsmaßnahmen.</t>
  </si>
  <si>
    <t>Übertragbarkeit auf Salzkavernen bzw. Kavernen-nahe Bohrungs-/Porenräume prüfen; Feldspezifische P-T-Bedingungen, Wasser-/Soleverfügbarkeit, Salinität, Gaszusammensetzung und Heterogenität bestimmen; Wechselwirkung Hydratbildung vs. Salt dry-out und geeignete Inhibitorstrategie offen.</t>
  </si>
  <si>
    <t>Sehr relevante und aktuelle Review-Quelle für CO₂-Hydratbildung, Injectivity-Risiko und Forschungsbedarf bei CO₂-Speicherung in erschöpften Gasfeldern; für Salzkavernen eher ergänzend/übertragend nutzen, da Fokus auf poröse Reservoirs liegt.</t>
  </si>
  <si>
    <t>Impact of CO2 hydrates on injectivity during CO2 storage -literature review.pdf</t>
  </si>
  <si>
    <t>T11; T13</t>
  </si>
  <si>
    <t>3.4; 4.4</t>
  </si>
  <si>
    <t>Q-016</t>
  </si>
  <si>
    <t>CO₂ Compression and Dehydration for Transport and Geological Storage</t>
  </si>
  <si>
    <t>Paweł Bielka; Szymon Kuczyński; Stanisław Nagy</t>
  </si>
  <si>
    <t>Wissenschaftlicher Fachartikel / Journal Article</t>
  </si>
  <si>
    <t>CO₂-Transport; CO₂-Dehydration; Kompression; TEG; Pipeline-Transport; geologische Speicherung</t>
  </si>
  <si>
    <t>Der Artikel untersucht CO₂-Abscheidung, -Trocknung, -Kompression, Transport und geologische Speicherung. Für einen Post-Combustion-CO₂-Strom wird eine Kombination aus mehrstufiger Kompression mit Zwischenkühlung und TEG-Dehydration ausgelegt, um CO₂ für den Pipeline-Transport in flüssiger bzw. dichter Phase vorzubereiten.</t>
  </si>
  <si>
    <t>Auslegungsfall: 35 °C, 1,51 bar, 2,449 Mio. t/a CO₂, 30 km Pipeline; Eingangsstrom 96,45 mol-% CO₂ und 3,5 mol-% H₂O; 5 Kompressions-/Kühlstufen vor TEG auf 45 bar / 20 °C; TEG-Massenstrom 0,5 kg/s; H₂O nach TEG 26,6 ppmv; empfohlener H₂O-Grenzwert &lt;50 ppmv; finale Verdichtung auf 100 bar / 20 °C; Pipeline-Durchmesser 12 in; Druckverlust über 30 km ca. 8,72 bar bzw. 8,57 bar; Leistungsbedarf bei 100 % Last 24,47 MW.</t>
  </si>
  <si>
    <t>Abstract; Kap. 2.3–2.7; Tabelle 1; Tabelle 3–9; Kap. 3.1–3.6; Conclusions</t>
  </si>
  <si>
    <t>Grundlage für CO₂-Trocknung vor Transport/Speicherung; technische Einordnung von TEG-Dehydration, mehrstufiger Kompression, Wassergrenzwerten, Pipeline-Transportbedingungen, Druckverlusten und Energiebedarf.</t>
  </si>
  <si>
    <t>Übertragbarkeit auf Salzkavernen-Zwischenspeicherung und andere Distanzen/Volumenströme prüfen; Annahmen zu 30 km Pipeline, 100 bar/20 °C und reinem Auslegungsfall berücksichtigen; Material-/Korrosionsfragen bei realen Verunreinigungen ergänzen.</t>
  </si>
  <si>
    <t>Sehr passende Quelle für Trocknung und Kompression von CO₂ vor Pipeline-Transport und geologischer Speicherung; quantitativ stark für Wassergehalt, TEG, Stufung, Druckniveau, Pipeline-Durchmesser und Energiebedarf.</t>
  </si>
  <si>
    <t>CO2 Compression and Dehydration for Transport and Geological Storage.pdf</t>
  </si>
  <si>
    <t>T09 Verdichtung &amp; Einspeicherung</t>
  </si>
  <si>
    <t>T05; T08</t>
  </si>
  <si>
    <t>4.2</t>
  </si>
  <si>
    <t>Q-017</t>
  </si>
  <si>
    <t>Untersuchung der notwendigen Anlagentechnik zur Verdichtung und Speicherung von CO₂</t>
  </si>
  <si>
    <t>Marcel Wloka; Technische Fachhochschule Georg Agricola zu Bochum</t>
  </si>
  <si>
    <t>Diplomarbeit / technische Ausarbeitung</t>
  </si>
  <si>
    <t>CO₂-Verdichtung; CO₂-Speicherung; Pipeline-Transport; Trocknung; CCS-Anlagentechnik; Kingsnorth/Hewett</t>
  </si>
  <si>
    <t>Die Diplomarbeit untersucht die notwendige Anlagentechnik zur CO₂-Verdichtung für den Pipelinetransport und die obertägige Speichertechnik am Beispiel Kingsnorth/Hewett. Zentrale Ergebnisse betreffen mehrstufige Getriebeverdichter, Zwischenkühlung, mechanische Wasserabscheidung, TEG-Trocknung, Pipeline-Phasenführung, Offshore-Vorwärmung, Werkstoff-/Sicherheitsfragen und grobe CAPEX/OPEX-Abschätzungen.</t>
  </si>
  <si>
    <t>Auslegung: 1,5 bara / 30–40 °C Eingang; 6.600 t/d CO₂ Demonstrationsphase; 27.550 t/d nach Demo; Pipeline 275 km; Speicher 203 Mio. t, 3–137 bara, 42 °C, 1.100 m; Verdichterleistung ca. 19,8 MW (4-stufig) bzw. 25,2 MW (6-stufig) für 6.600 t/d; max. Kühlwasser ca. 3.100 m³/h; TEG-Trocknung 48 barg / 35 °C, 100–600 ppmv H₂O; CAPEX Verdichterstation ca. 72,6 Mio. €.</t>
  </si>
  <si>
    <t>Kap. 1.1; 2.4; 3.1–3.8; Tabellen 3–15; Abb. 24–29; Kap. 4</t>
  </si>
  <si>
    <t>Fallstudie für CO₂-Kompression, Trocknung und Pipeline-/Speicheranbindung; Vergleich mit aktuellen Quellen; historische technische Referenz für Kingsnorth/Hewett; Kennwerte für Verdichter, Trocknung, Speicher und Kosten.</t>
  </si>
  <si>
    <t>Datenstand 2010; Regelwerke, CO₂-Spezifikationen, Materialbewertung und Speicherannahmen mit aktuellen Quellen abgleichen; Übertragbarkeit auf Salzkavernen nur begrenzt.</t>
  </si>
  <si>
    <t>Sehr nützlich als detaillierte technische Fallstudie und historische Auslegung; für heutige Arbeit mit aktuellen Normen und neueren CCS-/CO₂-Transportquellen gegenprüfen.</t>
  </si>
  <si>
    <t>Untersuchung der notwendigen Anlagentechnik zur Verdichtung und Speicherung von CO2_Diplomarbeit final_Marcel Wloka.pdf</t>
  </si>
  <si>
    <t>T05; T08; T11</t>
  </si>
  <si>
    <t>Q-018</t>
  </si>
  <si>
    <t>Industrial Design and Optimization of CO₂ Capture, Dehydration, and Compression Facilities</t>
  </si>
  <si>
    <t>Ahmed Aboudheir; Gavin McIntyre; HTC Purenergy / Bryan Research &amp; Engineering</t>
  </si>
  <si>
    <t>ca. 2008</t>
  </si>
  <si>
    <t>Konferenz-/Fachpaper; industrielle Design- und Optimierungsstudie</t>
  </si>
  <si>
    <t>CO₂-Abscheidung; Dehydration; Kompression; TEG; Molekularsieb; EOR; Kostenoptimierung; Kohle-/NGCC-Kraftwerk</t>
  </si>
  <si>
    <t>Das Paper beschreibt eine industrielle Auslegung für CO₂-Abscheidung aus Rauchgas, anschließende Dehydration und 8-stufige Kompression. Für ein Kohlekraftwerk mit 12 mol-% CO₂ werden 3.307 t/d CO₂ bei 90 % Recovery, &gt;99 mol-% Reinheit und Verdichtung auf 150 barg betrachtet; TEG-Dehydration zwischen Kompressorstufen &gt;520 psia reduziert Wasser auf ca. 4 lb/MMSCF, &lt;10 ppm erfordert Molekularsieb oder TEG/Molekularsieb-Kombination.</t>
  </si>
  <si>
    <t>Kohlekraftwerk: 528 MMSCFD Rauchgas, 12 mol-% CO₂, 18,5 mol-% H₂O, 6 mol-% O₂; Produkt: 3.307 ton/d, 90 % Recovery, &gt;99 mol-% CO₂, 150 barg; O₂ ca. 20,4 ppm, N₂ ca. 116 ppm; Wasser vor Kompression ca. 2,8 mol-%; TEG bei ca. 520 psig / 120 °F; Wasser nach TEG ca. 4 lb/MMSCF; CAPEX 165 Mio. US$, OPEX 25 Mio. US$/a, Produktionskosten 30 US$/ton CO₂.</t>
  </si>
  <si>
    <t>Abstract; Scope of Work; Table II; Plant Design; Process Description; Environment; Production Cost; Results and Conclusions; Table IV</t>
  </si>
  <si>
    <t>Industrielle Referenz für Post-Combustion-Abscheidung, CO₂-Dehydration und Kompression; Vergleichswerte für Wassergehalt, TEG/Molekularsieb, Produktreinheit, Verdichtungsdruck, Anlagenlayout und Kosten.</t>
  </si>
  <si>
    <t>Jahr/Publikationskontext genau prüfen; Kostenstand und Währungsjahr fehlen bzw. sind historisch; proprietärer HTC-Solvent nicht vollständig beschrieben; Übertragbarkeit auf Salzkavernen/Zwischenspeicherung separat prüfen.</t>
  </si>
  <si>
    <t>Sehr passende Quelle für industrielle Designkennwerte von CO₂-Abscheidung, Trocknung und Kompression; quantitativ nützlich, aber Kosten und solvent-spezifische Aussagen historisch/proprietär einordnen.</t>
  </si>
  <si>
    <t>Industrial-Design-and-Optimization-of-CO2-Capture-Dehydration-and-Compression-Facilities.pdf</t>
  </si>
  <si>
    <t>T05; T07; T14</t>
  </si>
  <si>
    <t>Q-019</t>
  </si>
  <si>
    <t>Bewertung bestehender Untertagespeicher für die CO₂-Zwischenspeicherung – Projektskizze DGMK 915</t>
  </si>
  <si>
    <t>DBI / DGMK-Projektskizze</t>
  </si>
  <si>
    <t>Projektskizze / Arbeitspaketstruktur</t>
  </si>
  <si>
    <t>CO₂-Zwischenspeicherung; Salzkavernen; Untertagespeicher; CO₂-Qualität; Verunreinigungen; Phasenverhalten; Simulation; Betrieb; Bohrungsintegrität; Aufbereitung</t>
  </si>
  <si>
    <t>Die Projektskizze beschreibt ein Vorhaben zur strukturierten Bewertung bestehender Untertagespeicher, insbesondere Salzkavernen, für die temporäre CO₂-Speicherung. Behandelt werden regulatorische Rahmenbedingungen, CO₂-Zusammensetzung und Verunreinigungen, thermodynamische Zustände unter Kavernenbedingungen, dynamisches Speicherverhalten, Betrieb, Bohrungsintegrität sowie CO₂-Qualität bei der Ausspeicherung.</t>
  </si>
  <si>
    <t>Kernprojekt AP 1–7: Rahmenbedingungen, CO₂-Qualität und Thermodynamik, Kavernen als temporäre Speicher, dynamisches Speicherverhalten/Simulation, Betrieb eines CO₂-Salzkavernenspeichers, CO₂-Qualität bei Ausspeicherung, Gesamtbewertung/Handlungsempfehlungen. Optionale AP 8–10: erweiterte Simulation, vertiefte Thermodynamik, Konzeptdesign Obertageanlage.</t>
  </si>
  <si>
    <t>S. 1–10; AP 1–10</t>
  </si>
  <si>
    <t>Sehr relevante Projektskizze für die Einordnung von Salzkavernen als CO₂-Zwischenspeicher und für Forschungsfragen zu CO₂-Qualität, Speicherhistorie, Sole-/Kohlenwasserstoff-Wechselwirkungen, Simulation und Betrieb.</t>
  </si>
  <si>
    <t>Enthält überwiegend qualitative Ziel-/Arbeitsbeschreibungen und keine belastbaren numerischen Auslegungsdaten; Ergebnisse liegen erst nach Projektdurchführung vor.</t>
  </si>
  <si>
    <t>Aktuelle, thematisch sehr passende Quelle zur Strukturierung der Bewertung bestehender Kavernen für CO₂-Zwischenspeicherung; besonders nützlich für Forschungslogik, AP-Struktur und offene technische Fragestellungen.</t>
  </si>
  <si>
    <t>Anhang_1_20260317_Projektskizze_DGMK915_CO2_DBI.pdf</t>
  </si>
  <si>
    <t>T01; T04; T15</t>
  </si>
  <si>
    <t>2.4; 8</t>
  </si>
  <si>
    <t>Q-020</t>
  </si>
  <si>
    <t>RECCS-Endbericht, Kapitel 4–8: Übersicht CCS-Prozesskette, CO₂-Abtrennung, Transport, Speicherung und Transportinfrastruktur</t>
  </si>
  <si>
    <t>Arbeitsgemeinschaft WI, DLR, ZSW, PIK</t>
  </si>
  <si>
    <t>Forschungsbericht / Endbericht</t>
  </si>
  <si>
    <t>CCS-Prozesskette; CO₂-Abtrennung; CO₂-Transport; CO₂-Speicherung; Transportinfrastruktur Deutschland</t>
  </si>
  <si>
    <t>Neu hinzugefügt</t>
  </si>
  <si>
    <t>Der Bericht gibt einen umfassenden Überblick über CCS-Prozessketten von Abtrennung über Verdichtung/Transport bis Speicherung. Besonders relevant sind technische Optionen für Post-/Pre-Combustion und Oxyfuel, Transport per Pipeline/Schiff/Bahn/Lkw, Speicheroptionen in Deutschland sowie Kosten-, Energie- und Infrastrukturabschätzungen.</t>
  </si>
  <si>
    <t>CO₂-Pipelinetransport typ. überkritisch &gt;74 bar; Verdichtung auf 8–12 MPa an Land bzw. bis 20 MPa offshore; Transportkosten u. a. Pipeline 1–3 EUR/t je 250 km, Schiff ca. 1 EUR/t je 250 km; relevante Speicherpotenziale Deutschland ca. 18–47 Gt; tiefe saline Aquifere 12–28 Gt, Gasfelder ca. 2,3–2,5 Gt, tiefe Kohleflöze 3,7–16,7 Gt; industrielle Punktquellen DE ca. 393 Mt/a.</t>
  </si>
  <si>
    <t>Kap. 4; Kap. 5; Kap. 6; Kap. 7; Kap. 8; Tab. 5-1; Tab. 6-2; Tab. 7-4/7-5; Abb. 7-4; Abb. 8-7</t>
  </si>
  <si>
    <t>Hintergrundquelle für CCS-Grundlagen, Transportoptionen, Speicherpotenziale Deutschland, Kosten-/Energiekennwerte und Infrastrukturargumentation; gut als historische Referenz und Einordnung älterer deutscher CCS-Studien nutzbar.</t>
  </si>
  <si>
    <t>Datenstand historisch; technische, regulatorische und Kostenangaben mit aktuellen Quellen abgleichen; für heutige CO₂-Netze, Normen und Salzkavernen-Zwischenspeicherung nur ergänzend verwenden.</t>
  </si>
  <si>
    <t>Breite und nützliche Grundlagenquelle für Kapitel 4–8; besonders stark für Prozessketten, Transport-/Speicheroptionen und Deutschlandbezug, aber wegen Alters nicht alleinige aktuelle Referenz.</t>
  </si>
  <si>
    <t>RECCS_Endbericht_02_Kap4-8.pdf</t>
  </si>
  <si>
    <t>T01 Rahmen &amp; Status quo</t>
  </si>
  <si>
    <t>T07; T08; T14</t>
  </si>
  <si>
    <t>2.1; 2.2</t>
  </si>
  <si>
    <t>Q-021</t>
  </si>
  <si>
    <t>Measurement Solutions for Carbon Sequestration</t>
  </si>
  <si>
    <t>Emerson</t>
  </si>
  <si>
    <t>Industrie-Guide / Herstellerbroschüre</t>
  </si>
  <si>
    <t>CCS-Messtechnik; Custody Transfer; CO₂-Transport; Pipelineüberwachung; Leckageerkennung; Korrosion; Speicher-/Injektionsmonitoring</t>
  </si>
  <si>
    <t>Mittel bis hoch</t>
  </si>
  <si>
    <t>Der Guide beschreibt Mess- und Automatisierungslösungen entlang der CCS-Kette von Custody Transfer über Pipeline-Transport bis Speicherung. Besonders relevant sind Massendurchfluss-/Dichtemessung, CO₂-Reinheits- und Impurity-Analyse, Druck-/Temperaturüberwachung, Leckageerkennung, Korrosions-/Erosionsmonitoring, Tankfüllstand sowie Downhole-Monitoring.</t>
  </si>
  <si>
    <t>CO₂ häufig superkritisch transportiert; kritischer Druck ca. 73,7 bar / 1070 psi; sichere Pipelineführung erfordert Überwachung von Druck, Temperatur, Dichte, Reinheit und Impurities wie H₂O, O₂, SOx, NOx, TEG und H₂S; trockener gasförmiger CO₂-Strom nicht korrosiv, Feuchtigkeit kann Kohlensäure und Korrosion verursachen; Injektionsprozesse können Drücke bis 15.000 psi erfordern; Speicher mindestens ca. 800 m tief dargestellt.</t>
  </si>
  <si>
    <t>S. 3–7; S. 9–15; S. 17–22</t>
  </si>
  <si>
    <t>Praxisnahe Quelle für Messkonzepte in CO₂-Transport, Übergabemessung, Pipelineintegrität, Zwischenlagerung und Speicherinjektion; geeignet für Kapitel zu Monitoring, Sicherheit, Messtechnik und Betrieb.</t>
  </si>
  <si>
    <t>Herstellerquelle mit produktbezogener Perspektive; technische Aussagen und Produktempfehlungen mit unabhängigen Normen/Standards und projektspezifischen Anforderungen abgleichen.</t>
  </si>
  <si>
    <t>Aktuelle und anschauliche Industriequelle für CCS-Messtechnik und Monitoring; gut zur Ergänzung technischer Studien, aber wegen Anbieterfokus nicht als alleinige neutrale Referenz verwenden.</t>
  </si>
  <si>
    <t>MeasurementSolutionsfor CarbonSequestration EMERSON.pdf</t>
  </si>
  <si>
    <t>T12 Messtechnik &amp; Monitoring</t>
  </si>
  <si>
    <t>T08</t>
  </si>
  <si>
    <t>4.5</t>
  </si>
  <si>
    <t>Q-022</t>
  </si>
  <si>
    <t>Flow Measurement Challenges for Carbon Capture, Utilisation and Storage</t>
  </si>
  <si>
    <t>Chris Mills; Gabriele Chinello; Manus Henry; TÜV SÜD National Engineering Laboratory / Coventry University / University of Oxford</t>
  </si>
  <si>
    <t>Konferenz-/Fachpaper</t>
  </si>
  <si>
    <t>CO₂-Durchflussmessung; CCUS; Metrologie; Kalibrierung; Phasenverhalten; Messunsicherheit</t>
  </si>
  <si>
    <t>Das Paper beschreibt zentrale Messherausforderungen für CO₂-Ströme in CCUS-Ketten: wechselnde Phasen, starke Stoffwertänderungen nahe dem kritischen Punkt, Einfluss von Verunreinigungen, fehlende rückführbare CO₂-Kalibrieranlagen und regulatorische Unsicherheitsanforderungen.</t>
  </si>
  <si>
    <t>CO₂ kritischer Punkt ca. 31,1 °C / 73,9 bar; EU-ETS-Tier 4: max. ±2,5 % Gesamtunsicherheit; einzelne Unsicherheiten von Durchflussmessung und Zusammensetzung jeweils ca. 1,75 %; typische Messknoten: Quelle, Capture-Anlage, Transportnetz, Speicher/Injection.</t>
  </si>
  <si>
    <t>Abstract; Kap. 2 Fluid Properties; Kap. 3 Measurement Stages; Kap. 4 Flow Meters</t>
  </si>
  <si>
    <t>Grundlage für Messkonzept, Messstellen, regulatorische Anforderungen und Auswahl/Validierung geeigneter Flowmeter in CO₂-Transport- und Speicherketten.</t>
  </si>
  <si>
    <t>Konkrete Auswahl für eigenes Betriebsfenster und CO₂-Zusammensetzung noch mit Herstellerdaten/Kalibrierbarkeit abgleichen.</t>
  </si>
  <si>
    <t>Sehr relevante Überblicksquelle zu Messunsicherheit, Phasenverhalten und fehlender Kalibrierinfrastruktur.</t>
  </si>
  <si>
    <t>Flow Measurement Challenges for Carbon Capture, Utilisation and.pdf</t>
  </si>
  <si>
    <t>T02; T03</t>
  </si>
  <si>
    <t>Q-023</t>
  </si>
  <si>
    <t>Measurement technologies for pipeline transport of carbon dioxide rich mixtures for CCS</t>
  </si>
  <si>
    <t>Y. Arellano; S.-A. Tjugum; O.B. Pedersen; M. Breivik; E. Jukes; M. Marstein</t>
  </si>
  <si>
    <t>Wissenschaftlicher Fachartikel / Review</t>
  </si>
  <si>
    <t>CO₂-Pipeline; CO₂-reiche Gemische; Durchflussmessung; Dichte; Zusammensetzung; CCS-Transport</t>
  </si>
  <si>
    <t>Die Quelle behandelt Messtechnologien für den Pipeline-Transport CO₂-reicher Gemische und betont, dass Durchfluss, Dichte, Druck, Temperatur und Zusammensetzung gemeinsam betrachtet werden müssen, weil Verunreinigungen Phasengrenzen, Dichte und Messunsicherheit beeinflussen.</t>
  </si>
  <si>
    <t>Relevante Messgrößen: Massendurchfluss, Volumenstrom, Dichte, Druck, Temperatur, Zusammensetzung/Wassergehalt; Technologien u. a. Coriolis, Ultraschall, Differenzdruck/Blende und Dichtemessung.</t>
  </si>
  <si>
    <t>Abstract; Technologievergleich; Abschnitte zu Pipeline-Transport und Messunsicherheit</t>
  </si>
  <si>
    <t>Technologievergleich für CO₂-Pipeline-Messstellen und Ableitung benötigter Begleitmessungen zur Umrechnung auf Massenstrom.</t>
  </si>
  <si>
    <t>Autoren, Jahr und konkrete Zahlenwerte aus PDF noch final nachtragen.</t>
  </si>
  <si>
    <t>Nützlich für Pipeline-Messkonzept; bibliografische Angaben noch prüfen.</t>
  </si>
  <si>
    <t>Measurement technologies for pipeline transport of carbon dixid rich mixtures for ccs.pdf</t>
  </si>
  <si>
    <t>Q-024</t>
  </si>
  <si>
    <t>Research Progress of Supercritical Dense Phase CO₂</t>
  </si>
  <si>
    <t>Zhelong Wang; Xi’an Shiyou University</t>
  </si>
  <si>
    <t>Wissenschaftlicher Review</t>
  </si>
  <si>
    <t>Superkritisches/dichtphasiges CO₂; Transport; Stoffwerte; Phasenverhalten; Sicherheit; CCS</t>
  </si>
  <si>
    <t>Der Review fasst Forschungsfortschritte zu superkritischem bzw. dichtphasigem CO₂ zusammen. Relevanz besteht vor allem für Stoffwerte, Phasenverhalten, Einfluss von Verunreinigungen und Betriebs-/Sicherheitsfragen bei Transport und Speicherung.</t>
  </si>
  <si>
    <t>Dichtphase/superkritischer Bereich oberhalb bzw. nahe kritischer Bedingungen; starke Dichte- und Kompressibilitätsänderungen nahe Phasengrenzen; Verunreinigungen verschieben Phasenverhalten.</t>
  </si>
  <si>
    <t>Abstract; Abschnitte zu Eigenschaften, Transport, Sicherheit/Anwendungen</t>
  </si>
  <si>
    <t>Einordnung des Betriebsfensters dichtphasiger CO₂-Ströme und Hintergrund für Mess-/Regelungsanforderungen.</t>
  </si>
  <si>
    <t>Bibliografische Daten, konkrete Diagramm-/Tabellenwerte und Übertragbarkeit auf Kavernenbetrieb prüfen.</t>
  </si>
  <si>
    <t>Als ergänzende Überblicksquelle geeignet, aber Details müssen aus dem PDF verifiziert werden.</t>
  </si>
  <si>
    <t>Research Progress of Supercritical Dense Phase CO 2.pdf</t>
  </si>
  <si>
    <t>3.1</t>
  </si>
  <si>
    <t>Q-025</t>
  </si>
  <si>
    <t>Review of flowmeters for carbon dioxide transport in CCS</t>
  </si>
  <si>
    <t>Graeme J. Collie; Mahmoud Nazeri; Amir Jahanbakhsh; Chih-Wei Lin; M. Mercedes Maroto-Valer; Heriot-Watt University</t>
  </si>
  <si>
    <t>Flowmeter; CO₂-Transport; CCS; Coriolis; Ultraschall; Differenzdruck; Turbine</t>
  </si>
  <si>
    <t>Der Review vergleicht Durchflussmessgeräte für CO₂-Transport in CCS-Anwendungen. Er ist relevant zur Bewertung von Coriolis-, Ultraschall-, Differenzdruck-/Blenden- und Turbinenmessern sowie deren Eignung für gasförmige, flüssige, dichte oder superkritische CO₂-Ströme.</t>
  </si>
  <si>
    <t>Bewertungsaspekte: erreichbare Messunsicherheit, Druckverlust, Kalibrierbarkeit mit CO₂, Empfindlichkeit gegenüber Phasenwechseln/Impurities, Rohrleitungsdurchmesser und Betriebsbereich.</t>
  </si>
  <si>
    <t>Abstract; Technologievergleich; Schlussfolgerungen</t>
  </si>
  <si>
    <t>Begründung der Flowmeter-Auswahl und Gegenüberstellung von Vor-/Nachteilen für CO₂-Transport- und Speicheranlagen.</t>
  </si>
  <si>
    <t>Autoren/Jahr und konkrete Unsicherheitswerte aus PDF nachtragen; doppelte Datei wurde nur einmal erfasst.</t>
  </si>
  <si>
    <t>Sehr relevant für Messgeräteauswahl; als Review gut für Stand der Technik.</t>
  </si>
  <si>
    <t>Review of flowmeters for carbon dioxide transport in CCS.pdf</t>
  </si>
  <si>
    <t>Q-026</t>
  </si>
  <si>
    <t>High temperature flow measurement of CO₂ and H₂ from a reactor column</t>
  </si>
  <si>
    <t>KROHNE; Anwendung bei TNO / STEPWISE-Projekt</t>
  </si>
  <si>
    <t>Application Report / Hersteller-Anwendungsbericht</t>
  </si>
  <si>
    <t>Ultraschall-Durchflussmessung; CO₂/H₂; Hochtemperaturgas; SEWGS; Stahlindustrie; Prozessmessung</t>
  </si>
  <si>
    <t>Der Bericht beschreibt den Einsatz des Ultraschall-Durchflussmessers OPTISONIC 8300 zur Echtzeitmessung von CO₂- und H₂-reichen Hochtemperatur-Gasströmen aus einer SEWGS-Reaktorkolonne. Relevant sind flexible Messung wechselnder Gaszusammensetzungen, sehr geringer Druckverlust und Betrieb bei hohen Temperaturen.</t>
  </si>
  <si>
    <t>BFG-Zusammensetzung: ca. 55 % N₂, 25 % CO, 20 % CO₂, 2–4 % H₂; STEPWISE-Demo: Entfernung von 14 t/d CO₂; Prozessbedingungen bis +540 °C und 50 bar; CO₂-Leitung DN100, H₂-Leitung DN125; OPTISONIC 8300: bis +620 °C, DN100–1000, max. PN250 / ASME Cl 2500.</t>
  </si>
  <si>
    <t>S. 1 Background; S. 2 Measurement requirements / KROHNE solution; S. 3 Customer benefits; S. 4 Products used</t>
  </si>
  <si>
    <t>Praxisbeispiel für Ultraschallmessung von CO₂/H₂-Gasgemischen, Hochtemperaturmessung, geringe Druckverluste und Echtzeitmessung bei wechselnder Gaszusammensetzung.</t>
  </si>
  <si>
    <t>Herstellerquelle; Genauigkeitsangaben und Übertragbarkeit auf dichte/superkritische CO₂-Transportbedingungen separat prüfen.</t>
  </si>
  <si>
    <t>Gute praxisnahe Ergänzung für Messgerätetechnik, aber eher Hersteller-/Anwendungsquelle als wissenschaftliche Primärstudie.</t>
  </si>
  <si>
    <t>application-report-619-high-temperature-flow-measurement-of-co2-and-h2-from-reactor-column-en-gb.pdf</t>
  </si>
  <si>
    <t>Q-027</t>
  </si>
  <si>
    <t>Assessing Coriolis meter performance in multicomponent carbon dioxide-rich mixtures</t>
  </si>
  <si>
    <t>Johnson Jimba; Gabriele Chinello; Russell Brown; Sean Higgins; M. Mercedes Maroto-Valer</t>
  </si>
  <si>
    <t>Coriolis-Durchflussmessung; CO₂-reiche Gemische; CCS-Transport; Messunsicherheit; Gas/flüssig/superkritisch</t>
  </si>
  <si>
    <t>Die Studie testet einen Coriolis-Massendurchflussmesser mit reinem CO₂ und realitätsnahen CO₂-reichen Gemischen unter Gas-, Flüssig- und superkritischen Bedingungen. Die Ergebnisse zeigen geringe Messfehler in einphasigen CO₂-Transportbedingungen und stützen Coriolis-Technik als zuverlässige Option für CCS-Messung.</t>
  </si>
  <si>
    <t>EU/UK ETS: ±2,5 % Gesamtunsicherheit; Porthos-Anforderung ±1,5 %; max. mittlere absolute Fehler: Gas 0,25 %, Flüssig 0,12 %, superkritisch 0,28 %; Rig-Unsicherheit ±0,044 %; getestete Gemische: Post-combustion 97,96 % CO₂, Pre-combustion 95,83 % CO₂, Oxyfuel 97,62 % CO₂; pre-combustion krit. Punkt 29,59 °C / 82,41 barg.</t>
  </si>
  <si>
    <t>Abstract; Kap. 1 Introduction; Kap. 2 Transport operations; Kap. 3 Experimental work; Kap. 4 Results; Kap. 5 Conclusions; Table 2–5</t>
  </si>
  <si>
    <t>Zentrale Quelle für quantitative Bewertung von Coriolis-Messfehlern bei CO₂-reichen CCS-Gemischen; geeignet zur Begründung von Messgeräteauswahl, Einphasigkeit und Unsicherheitsbudget.</t>
  </si>
  <si>
    <t>Nur 0,25-inch Labor-Coriolis; Skalierung auf große Pipeline-Durchmesser und Zweiphasenbetrieb prüfen; superkritischer Unterlese-Bias weiter untersuchen.</t>
  </si>
  <si>
    <t>Sehr relevante aktuelle wissenschaftliche Quelle mit konkreten Messdaten und direktem Bezug zu CCS-Transportbedingungen.</t>
  </si>
  <si>
    <t>Assessing Coriolis meter performance in multicomponent carbondioxid rich mixtures.pdf</t>
  </si>
  <si>
    <t>T04</t>
  </si>
  <si>
    <t>Q-028</t>
  </si>
  <si>
    <t>CO₂ – Storage in Salt Caverns: Thermodynamic Analysis and Challenges</t>
  </si>
  <si>
    <t>René Buzogany; Olaf Kruck; DEEP.KBB GmbH; SOCON Sonar Control Kavernenvermessung GmbH</t>
  </si>
  <si>
    <t>Konferenzbeitrag / Technical Conference Paper (SMRI Fall 2022)</t>
  </si>
  <si>
    <t>CO₂-Speicherung; Salzkavernen; Thermodynamik; Phasenverhalten; Betrieb; Monitoring</t>
  </si>
  <si>
    <t>Der Beitrag zeigt, dass CO₂-Speicherung in Salzkavernen grundsätzlich möglich ist, sich aber wegen Phasenwechseln zwischen gasförmig, flüssig und superkritisch deutlich von Erdgasbetrieb unterscheidet. Kritisch sind insbesondere Druck-/Temperaturabhängigkeit, höhere Cushion-Gas-Anteile, mögliche Mehrphasenströmung im Bohrloch sowie Anforderungen an Monitoring und Modellierung.</t>
  </si>
  <si>
    <t>Kritischer Punkt CO₂: 31,1 °C / 7,38 MPa bzw. 73,8 bar; Beispielkaverne: 650.000 m³, LCCS 1.150 m TVD, Kavernendach 1.190 m, Sumpf 1.440 m, max. LCCS-Druck 200 bar, min. 70 bar, max. Druckrate 6 bar/d, Injektionstemp. 30 °C. Simulation: CO₂-Cushion-Gas ca. 68–78 % vs. Erdgas ca. 41–43 % Restinventar nach Entnahme; CO₂-Entnahmeraten im 2. Zyklus ca. 90.000–600.000 kg/h.</t>
  </si>
  <si>
    <t>Abstract; Kap. 1–3; Kap. 4–5; Fig. 5–9; Kap. 6 Conclusions</t>
  </si>
  <si>
    <t>Zentrale Quelle für thermodynamische Bewertung von CO₂-Salzkavernen, Phasenwechseln, Cushion-Gas-Anteil, Betriebsfenster, Wellbore-/Cavern-Modellierung und Monitoringanforderungen.</t>
  </si>
  <si>
    <t>Übertragbarkeit auf konkrete Kavernentiefe, Bohrlochmodell, Mehrphasenströmung, Brinesumpf, Materialauswahl und Blowout-Berechnungen projektspezifisch prüfen.</t>
  </si>
  <si>
    <t>Sehr relevant für Kapitel Salzkavernen/CO₂-Speicherung; liefert konkrete technische Randbedingungen und klare Abgrenzung zu Erdgas-Kavernenbetrieb.</t>
  </si>
  <si>
    <t>2022_Buzogany_Kruck_CO2_storage_Thermodynamics_SMRI.pdf</t>
  </si>
  <si>
    <t>T03; T10; T13</t>
  </si>
  <si>
    <t>2.4; 4.4; 6</t>
  </si>
  <si>
    <t>Q-029</t>
  </si>
  <si>
    <t>CCUS-P2: CO₂-Storage for CCU/S, Phase 2 – detailing study (Final Report V08)</t>
  </si>
  <si>
    <t>Nico Steyer, Nazika Moeininia, Michael Kühn; DBI Gas- und Umwelttechnik GmbH – im Auftrag der Uniper Kraftwerke GmbH</t>
  </si>
  <si>
    <t>2024</t>
  </si>
  <si>
    <t>Auftragsstudie / Abschlussbericht (vertraulich, Kunde Uniper)</t>
  </si>
  <si>
    <t>CO₂-Zwischenspeicherung; Salzkaverne; Kavernenauslegung; Completion; Obertageanlage; Kosten</t>
  </si>
  <si>
    <t>Neu – noch nicht gelesen</t>
  </si>
  <si>
    <t>Detailierungsstudie zur CO₂-Speicherung in Salzkavernen für Uniper. Baut auf Phase 1 (Q-030) auf; Kavernenparameter und Speicherkapazität für Option 1 / Szenario 2.2 werden übernommen und vertieft.</t>
  </si>
  <si>
    <t>Noch auszuwerten – Anhänge Q-033 (Kavernenparameter) und Q-034 (CAPEX/OPEX) gehören dazu.</t>
  </si>
  <si>
    <t>Management Summary; Kap. Kavernenparameter, Completion, Materialauswahl, Blockfließbild, Kostenbewertung</t>
  </si>
  <si>
    <t>Wichtigste unternehmenseigene Referenzstudie: Auslegungsdaten, Speicherkonzept, Kostenrahmen – Rückgrat für Kap. 4 und 5.</t>
  </si>
  <si>
    <t>Vertraulichkeitsstufe / Zitierfähigkeit in der veröffentlichten Masterarbeit vorab mit Uniper klären.</t>
  </si>
  <si>
    <t>Höchste Relevanz für die Arbeit. V06 (240701) ist eine Vorversion – nur V08 verwenden.</t>
  </si>
  <si>
    <t>Quellen\Maxim_DBI-Studien\240708_final_report_V08_client.pdf (+ .docx)</t>
  </si>
  <si>
    <t>T09; T10; T12; T14</t>
  </si>
  <si>
    <t>4.1; 4.2; 4.3; 4.4; 5</t>
  </si>
  <si>
    <t>Q-030</t>
  </si>
  <si>
    <t>CCUS-P1: CO₂-Storage for CCU/S, Phase 1 – initial concept study (Final Report)</t>
  </si>
  <si>
    <t>Hagen Bültemeier, Cruz Marrune, Udo Lubenau; DBI Gas- und Umwelttechnik GmbH – im Auftrag der Uniper Kraftwerke GmbH</t>
  </si>
  <si>
    <t>2023</t>
  </si>
  <si>
    <t>CO₂-Zwischenspeicherung; Salzkaverne; Konzeptstudie; CO₂-Reinheit; Speicherparameter</t>
  </si>
  <si>
    <t>Erste Konzeptstudie zur Machbarkeit der CO₂-Zwischenspeicherung in Salzkavernen: Speicherparameter, Kavernendesign und Anforderungen an die CO₂-Reinheit.</t>
  </si>
  <si>
    <t>Noch auszuwerten.</t>
  </si>
  <si>
    <t>Management Summary; AP 1–4</t>
  </si>
  <si>
    <t>Grundlage und Vorgängerstudie zu Q-029; liefert die Herleitung der Kavernenauslegung und der Reinheitsanforderungen.</t>
  </si>
  <si>
    <t>Vertraulichkeit klären.</t>
  </si>
  <si>
    <t>Zusammen mit Q-029 und Q-031 die zentrale interne Studienreihe.</t>
  </si>
  <si>
    <t>Quellen\Maxim_DBI-Studien\230221_CCUS-P1_final.pdf</t>
  </si>
  <si>
    <t>T04; T09; T14</t>
  </si>
  <si>
    <t>Q-031</t>
  </si>
  <si>
    <t>CO₂-Storage for CCU/S – Final Presentation (Phase 1)</t>
  </si>
  <si>
    <t>DBI-Gruppe</t>
  </si>
  <si>
    <t>Präsentation / Ergebnispräsentation</t>
  </si>
  <si>
    <t>Salzkaverne; Kavernendesign; CO₂-Reinheit; Completion; Materialauswahl; Blockfließbild; Kosten</t>
  </si>
  <si>
    <t>Ergebnispräsentation zu Phase 1 mit drei Untersuchungssträngen: Möglichkeit der CO₂-Zwischenspeicherung in Salzkavernen, Bestimmung des Kavernendesigns, Bestimmung der Anforderungen an die CO₂-Reinheit.</t>
  </si>
  <si>
    <t>Stilisiertes R&amp;I-Fließbild der Obertageanlage; geologisches Schema (BGR); Teufen/Geometrie → Betriebsdrücke → thermodynamische Speicherbedingungen.</t>
  </si>
  <si>
    <t>AP 1–2 Speicherparameter; AP 3 Completion &amp; Materialauswahl; AP 4 Gesamtkonzept, Blockfließbild, Kostenbewertung</t>
  </si>
  <si>
    <t>Schnellster Einstieg in die Studienreihe; gute Abbildungen für die eigene Arbeit (Blockfließbild, Speicherparameter).</t>
  </si>
  <si>
    <t>Bildrechte/Freigabe für Abbildungen klären.</t>
  </si>
  <si>
    <t>Sehr gut als Übersicht; Details aber aus Q-029/Q-030 belegen.</t>
  </si>
  <si>
    <t>Quellen\Maxim_DBI-Studien\230221_final-Presentation.pdf</t>
  </si>
  <si>
    <t>Q-032</t>
  </si>
  <si>
    <t>Rolle der CO₂-Zwischenspeicherung im zukünftigen Infrastruktursystem</t>
  </si>
  <si>
    <t>Uniper (Carbon Midstream) – Vortrag DBI Fachforum CO₂</t>
  </si>
  <si>
    <t>Bedarf an Zwischenspeicherung; Emissionsprofile; Flexibilität; CCUS-Wertschöpfungskette</t>
  </si>
  <si>
    <t>Begründet den Bedarf an CO₂-Zwischenspeichern: Puffer bei Havarie und Instandhaltung, Vermeidung von CO₂-Abblasen bei nicht verfügbarer Infrastruktur, saisonaler Betrieb der Capture-Anlage, Lastspitzenkappung, günstiger als zylindrische Übertagespeicher.</t>
  </si>
  <si>
    <t>Tagesscharfe Emissionsprofile der Bundesländer (2018/21), z. B. NRW: Lastsenke von −41 % gegenüber dem Tagesmittel im August. Machbarkeitsprüfung für gasförmige/dichte Kavernenbedingungen.</t>
  </si>
  <si>
    <t>Folien 3–6 (Wertschöpfungskette, Bedarfsbegründung, Emissionsprofile, Machbarkeit)</t>
  </si>
  <si>
    <t>Zentrale Quelle für die Motivation/Problemstellung in Kap. 1 und 2.1 – warum überhaupt zwischenspeichern?</t>
  </si>
  <si>
    <t>Datenstand 2018/21; aktuellere Emissionsprofile prüfen.</t>
  </si>
  <si>
    <t>Sehr gut für Einleitung und Bedarfsbegründung; unternehmensintern, Freigabe klären.</t>
  </si>
  <si>
    <t>Quellen\Maxim_DBI-Studien\20240307_CO2 Interim Storage DBI Forum_deutsch_final.pptx</t>
  </si>
  <si>
    <t>T08; T11; T14</t>
  </si>
  <si>
    <t>1; 2.1</t>
  </si>
  <si>
    <t>Q-033</t>
  </si>
  <si>
    <t>Appendix 7.2 – Storage Parameter Cavern (Datenanhang zu CCUS-P2)</t>
  </si>
  <si>
    <t>DBI Gas- und Umwelttechnik GmbH</t>
  </si>
  <si>
    <t>Datenanhang / Excel-Tabelle</t>
  </si>
  <si>
    <t>Kavernenparameter; Speicherkapazität; Betriebsdrücke; Kissengas</t>
  </si>
  <si>
    <t>Tabellarischer Datensatz der Kavernenparameter und Speicherkapazitäten aus der Detailierungsstudie.</t>
  </si>
  <si>
    <t>Noch auszuwerten – Zahlenwerte in Blatt 'Technische Kennwerte' übernehmen.</t>
  </si>
  <si>
    <t>gesamtes Tabellenblatt</t>
  </si>
  <si>
    <t>Primäre Zahlenbasis für eigene Berechnungen (Gassäule, Ein-/Ausspeicherraten, Referenzfall).</t>
  </si>
  <si>
    <t>Direkt verwertbarer Datensatz – hohe Priorität für die Auswertung.</t>
  </si>
  <si>
    <t>Quellen\Maxim_DBI-Studien\Appendix 7.2_Storage_Parameter_Cavern.xlsx</t>
  </si>
  <si>
    <t>4.1; 5</t>
  </si>
  <si>
    <t>Q-034</t>
  </si>
  <si>
    <t>Appendix 7.3 – CAPEX/OPEX (Datenanhang zu CCUS-P2) inkl. Ergebnisdarstellung</t>
  </si>
  <si>
    <t>Datenanhang / Kostenrechnung</t>
  </si>
  <si>
    <t>CAPEX; OPEX; Kostenbewertung Zwischenspeicher</t>
  </si>
  <si>
    <t>Kostenaufstellung (CAPEX/OPEX) für das Zwischenspeicherkonzept.</t>
  </si>
  <si>
    <t>gesamtes Tabellenblatt; PDF-Auszug</t>
  </si>
  <si>
    <t>Grundlage für ein optionales Kapitel zur wirtschaftlichen Einordnung.</t>
  </si>
  <si>
    <t>PDF-Auszug ist ein Scan ohne Textebene – Werte manuell übernehmen.</t>
  </si>
  <si>
    <t>Nur relevant, falls die Arbeit eine Kostenbetrachtung enthalten soll.</t>
  </si>
  <si>
    <t>Quellen\Maxim_DBI-Studien\Appendix 7.3_CAPEX_OPEX.xlsx; CAPEX_OPEX_RESULT.pdf - DBI Gruppe.pdf</t>
  </si>
  <si>
    <t>T14 Wirtschaftlichkeit &amp; Kosten</t>
  </si>
  <si>
    <t>T11</t>
  </si>
  <si>
    <t>7</t>
  </si>
  <si>
    <t>Q-035</t>
  </si>
  <si>
    <t>Kavernenspeicher – Technische Kennlinien, Kapazitäten, Restriktionen (Onboarding)</t>
  </si>
  <si>
    <t>Uniper Energy Storage, UST/OPU</t>
  </si>
  <si>
    <t>Interne Schulungs-/Onboarding-Präsentation</t>
  </si>
  <si>
    <t>Kavernenspeicher; Ein-/Ausspeicherung; Anlagenaufbau; Betriebsrestriktionen; Speicher Epe</t>
  </si>
  <si>
    <t>Umfassende interne Darstellung von Aufbau und Betrieb eines Kavernenspeichers: Stationsaufbau Ein- und Ausspeichern, Verdichter, Vorwärmung, Trocknung, Druckreduzierung, Kennlinien und Restriktionen.</t>
  </si>
  <si>
    <t>Speicher Epe H-Gas: 34 Kavernen (29 EGS + 4 KGE); Gesamtgasvolumen 2,0 Mrd. Nm³, davon Arbeitsgas 1,7 Mrd. Nm³, nutzbar ca. 1,6 Mrd. Nm³, Kissengas 0,4 Mrd. Nm³; größtes Kavernenvolumen 770.000 m³; größter Durchmesser 60 m; größte Höhe 215 m; max. Ausspeicherrate 1.800.000 m³/h H-Gas bzw. 400.000 m³/h L-Gas; Betriebsdruck 32–209 bar; p_TL &lt; 84 bar.</t>
  </si>
  <si>
    <t>Folien 4–7 (Speicherportfolio, Stationsaufbau Ein-/Ausspeichern), weitere Folien zu Kennlinien und Restriktionen</t>
  </si>
  <si>
    <t>Definiert den Erdgas-Referenzfall, gegen den die CO₂-Zwischenspeicherung verglichen wird: Anlagenschema, Auslegungsgrößen, Betriebsgrenzen.</t>
  </si>
  <si>
    <t>Übertragbarkeit der Erdgas-Auslegung auf CO₂ (Dichte, Phasenwechsel, Vorwärmebedarf) systematisch prüfen.</t>
  </si>
  <si>
    <t>Sehr wertvolle interne Quelle für Kap. 4 – liefert die realen Anlagen- und Kavernendaten. Intern, Freigabe klären.</t>
  </si>
  <si>
    <t>Unterlagen von Martina\...\Speicherstation Epe\20240429_Onboarding_Kavernen_Restriktionen_rev00.pptx</t>
  </si>
  <si>
    <t>T09; T10; T12</t>
  </si>
  <si>
    <t>2.4; 4.1; 4.2; 4.3</t>
  </si>
  <si>
    <t>Q-036</t>
  </si>
  <si>
    <t>Anlagendokumentation Speicherstation Epe (Verfahrens- und Blockfließbilder, Druckstufen, Lagepläne)</t>
  </si>
  <si>
    <t>Uniper Energy Storage / E.ON Gas Storage</t>
  </si>
  <si>
    <t>2009–laufend</t>
  </si>
  <si>
    <t>Technische Anlagendokumentation / Zeichnungen</t>
  </si>
  <si>
    <t>Obertageanlage; Verfahrensfließbild; Druckstufen; Feldleitungen; Stationslayout</t>
  </si>
  <si>
    <t>Verfahrens- und Blockfließbilder der Speicherstation Epe mit Nennweiten, Druckstufen, Aggregaten (Wasser-/Glykoltanks, Kondensattanks, Brenngasanlage) sowie Übersichtsplan der Feldleitungen und Revisionslageplan.</t>
  </si>
  <si>
    <t>Beispiele aus dem Verfahrensfließbild: Sammelleitungen DN 600/DN 700/DN 800; Feldleitungen DN 300/DN 350; Wasser-/Glykol- und Kondensattanks 203 m³.</t>
  </si>
  <si>
    <t>Verfahrensfließbild Station; EPE_Blockfließbilder (+ Druckstufen); Revisionslageplan; Übersichtsplan Feldleitungen</t>
  </si>
  <si>
    <t>Konkrete Anlagenbasis für die Beschreibung der Ein-/Ausspeicherkette und für die Frage, welche Komponenten bei CO₂-Umstellung angepasst werden müssen.</t>
  </si>
  <si>
    <t>Drei der fünf PDFs sind Scans ohne Textebene – Auswertung nur visuell möglich.</t>
  </si>
  <si>
    <t>Unverzichtbar für den Referenzfall, aber vertraulich; für die Arbeit ggf. anonymisierte/vereinfachte Schemata zeichnen.</t>
  </si>
  <si>
    <t>Unterlagen von Martina\...\Speicherstation Epe\ (5 PDF: Verfahrensfliesbild Station; EPE_Blockfliessbilder; EPE_Blockfliessbilder-Druckstufen; Revisionslageplan Station gesamt; 20091130_Übersichtsplan Feldleitungen)</t>
  </si>
  <si>
    <t>T09; T10</t>
  </si>
  <si>
    <t>4.1; 4.2; 4.3</t>
  </si>
  <si>
    <t>Q-037</t>
  </si>
  <si>
    <t>CO₂-Speicherung – Standortentwicklung Epe (interner Arbeitsstand)</t>
  </si>
  <si>
    <t>Uniper Energy Storage</t>
  </si>
  <si>
    <t>2025</t>
  </si>
  <si>
    <t>Interne Präsentation / Besprechungsunterlage</t>
  </si>
  <si>
    <t>Standortentwicklung; CO₂-Netz OGE; Delta Rhine Corridor; WHV CO₂ Corridor; Zeitschiene CCS</t>
  </si>
  <si>
    <t>Interner Arbeitsstand zur CO₂-Speicherung am Standort Epe: erste Offshore-Injektionen ab 2030, Pilot- bis Serienbetrieb ab 2032, Fokus Offshore Nordsee, optionale Inlandsspeicher je nach Länderbeteiligung; kompletter Neubau der Infrastruktur.</t>
  </si>
  <si>
    <t>Geplantes OGE-CO₂-Netz; Delta Rhine Corridor (CO₂-Transport NL–D); Projekt WHV CO₂ Corridor.</t>
  </si>
  <si>
    <t>Folien 2–3</t>
  </si>
  <si>
    <t>Status quo und Zeitschiene der deutschen CO₂-Infrastruktur; Verortung des eigenen Themas im Uniper-Kontext (Kap. 2.2).</t>
  </si>
  <si>
    <t>Interner Arbeitsstand ohne Quellenangaben – Zahlen gegen Q-013, Q-002 und öffentliche OGE-Publikationen absichern.</t>
  </si>
  <si>
    <t>Gut zur Einordnung, für belastbare Aussagen aber öffentliche Quellen ergänzen.</t>
  </si>
  <si>
    <t>Unterlagen von Martina\...\CO2 Speicherung Standortentwicklung Epe.pptx</t>
  </si>
  <si>
    <t>T08; T11</t>
  </si>
  <si>
    <t>2.2</t>
  </si>
  <si>
    <t>Q-038</t>
  </si>
  <si>
    <t>Energiespeicherung in Salzkavernen (Poster, Tag der Energieforschung)</t>
  </si>
  <si>
    <t>Lukas Baumgärtel, Feline Körner, Bastian Leuger, Dirk Zapf; Leibniz Universität Hannover, Institut für Geotechnik</t>
  </si>
  <si>
    <t>Poster / Kurzbeitrag</t>
  </si>
  <si>
    <t>Salzkavernen; Solung; Kavernengeometrie; Untertagespeicher Deutschland</t>
  </si>
  <si>
    <t>Kompakte Einführung zu Salzkavernen: Herstellung durch Solung, typische Geometrien, Einsatz als Speicher für Erdgas, Erdöl und andere Energieträger; Übersichtskarte der Untertagespeicher in Deutschland.</t>
  </si>
  <si>
    <t>Geometrisches Volumen bis 1.000.000 m³; Durchmesser bis 90 m; Höhe bis 500 m.</t>
  </si>
  <si>
    <t>gesamtes Poster (1 Seite)</t>
  </si>
  <si>
    <t>Sehr guter, knapper Einstieg für das Grundlagenkapitel 'Salzkavernen' (Kap. 2.4) inkl. zitierfähiger Geometriewerte.</t>
  </si>
  <si>
    <t>Poster ohne Peer Review – Kernwerte zusätzlich über Q-028 oder KBB/SMRI-Literatur absichern.</t>
  </si>
  <si>
    <t>Ideal als Einstiegs- und Abbildungsquelle, nicht als alleiniger Beleg.</t>
  </si>
  <si>
    <t>Quellen\Baumgaerteletal2023-Poster-Tag-der-Energieforschung_LUH-final.pdf</t>
  </si>
  <si>
    <t>T01</t>
  </si>
  <si>
    <t>2.4</t>
  </si>
  <si>
    <t>Q-039</t>
  </si>
  <si>
    <t>Energiespeicherung in Salzkavernen mit superkritischem CO₂ (EEK 1/2021)</t>
  </si>
  <si>
    <t>W. Minkley, M. Brandt (IfG Leipzig); V. Dostál, J. Stepanek (CTU Prag); J. Lehmann (UGS)</t>
  </si>
  <si>
    <t>2021</t>
  </si>
  <si>
    <t>Fachartikel (Erdöl Erdgas Kohle)</t>
  </si>
  <si>
    <t>sCO₂-Speicherung; Salzkavernen; Gebirgsmechanik; Kavernenspeicherkraftwerk</t>
  </si>
  <si>
    <t>Veröffentlichte Kurzfassung des ESsCO₂-Vorhabens (vgl. Q-003): Konzept eines Kavernenspeicherkraftwerks mit superkritischem CO₂, gebirgsmechanische Bewertung und Steinsalzprüfkörper-Versuche.</t>
  </si>
  <si>
    <t>gesamter Artikel (7 Seiten)</t>
  </si>
  <si>
    <t>Zitierfähige, kompakte Alternative zum umfangreichen Abschlussbericht Q-003; gut für Kap. 2.4.</t>
  </si>
  <si>
    <t>Inhaltliche Überschneidung mit Q-003 – im Text konsistent nur eine der beiden Quellen als Beleg wählen.</t>
  </si>
  <si>
    <t>Peer-reviewte Fachzeitschrift, dadurch zitierfreundlicher als der Projektbericht.</t>
  </si>
  <si>
    <t>Quellen\EEK_2021_001_IFG-Leipzig_Liz_.pdf</t>
  </si>
  <si>
    <t>T03; T06</t>
  </si>
  <si>
    <t>Q-040</t>
  </si>
  <si>
    <t>DIN EN ISO 27913: Abscheidung, Transport und geologische Speicherung von Kohlenstoffdioxid – Rohrleitungstransportsysteme</t>
  </si>
  <si>
    <t>DIN Deutsches Institut für Normung e. V. (ISO 27913:2024, korrigierte Fassung 2025-09; dt. Fassung EN ISO 27913:2025)</t>
  </si>
  <si>
    <t>2026</t>
  </si>
  <si>
    <t>Norm / Deutsche Norm (ins DVGW-Regelwerk aufgenommen)</t>
  </si>
  <si>
    <t>Normung; CO₂-Pipelinetransport; Auslegung; Betrieb; Sicherheit</t>
  </si>
  <si>
    <t>Maßgebliche Norm für CO₂-Rohrleitungstransportsysteme: Anforderungen an Auslegung, Bau, Betrieb, Instandhaltung und Stilllegung; ergänzt das DVGW-Regelwerk.</t>
  </si>
  <si>
    <t>Noch auszuwerten – Grenzwerte und Auslegungsanforderungen für das Kapitel 'Stand der Technik' extrahieren.</t>
  </si>
  <si>
    <t>ICS 13.020.40; gesamte Norm (67 Seiten)</t>
  </si>
  <si>
    <t>Normative Grundlage für alle Aussagen zu zulässigen Betriebsparametern und Anforderungen an die Übergabestelle; ergänzt DVGW C 260 (Q-001).</t>
  </si>
  <si>
    <t>Gilt für Rohrleitungen, nicht für Untertagespeicher – Abgrenzung zur Kavernenanbindung sauber begründen.</t>
  </si>
  <si>
    <t>Zentrale normative Quelle; unbedingt in Kap. 2.3 und 3.3 verankern.</t>
  </si>
  <si>
    <t>Quellen\DIN EN ISO 27913_2026-07-00_DE_3626935.pdf</t>
  </si>
  <si>
    <t>T02 Recht &amp; Regulatorik</t>
  </si>
  <si>
    <t>T04; T08; T15</t>
  </si>
  <si>
    <t>2.3; 3.3</t>
  </si>
  <si>
    <t>Q-041</t>
  </si>
  <si>
    <t>Folgeprojekt 'Portal Green III – CO₂' (Projektskizze)</t>
  </si>
  <si>
    <t>DBI Gas- und Umwelttechnik GmbH (Koordinator), DVGW, GRS</t>
  </si>
  <si>
    <t>Projektskizze / Verbundvorhaben</t>
  </si>
  <si>
    <t>Genehmigungsrecht; technischer Leitfaden; CO₂-Infrastruktur; Stakeholder</t>
  </si>
  <si>
    <t>Verbundprojekt zur Erarbeitung eines Genehmigungsleitfadens und eines technischen Leitfadens für Planung, Bau und Betrieb von CO₂-Infrastrukturen; adressiert Netzbetreiber, Emittenten und Behörden.</t>
  </si>
  <si>
    <t>AP 1 Status quo und Entwicklung der CO₂-Infrastruktur; AP 2 Genehmigungsleitfaden; AP 3 Technischer Leitfaden; AP 4 Kommunikation; AP 5 Koordination.</t>
  </si>
  <si>
    <t>Folien 2–8</t>
  </si>
  <si>
    <t>Zeigt die regulatorischen Lücken und den laufenden Normungsbedarf – gut für Kap. 2.3 und den Ausblick.</t>
  </si>
  <si>
    <t>Projektskizze ohne Ergebnisse; Systemgrenze liegt auf der Netzinfrastruktur, nicht auf Speichern.</t>
  </si>
  <si>
    <t>Als Beleg für 'offene regulatorische Fragen' nutzbar, nicht als technische Datenquelle.</t>
  </si>
  <si>
    <t>Unterlagen von Martina\...\240107_Folgeprojekt PGIII-CO2_DBI.pptx</t>
  </si>
  <si>
    <t>T01; T08</t>
  </si>
  <si>
    <t>2.3; 8</t>
  </si>
  <si>
    <t>Q-042</t>
  </si>
  <si>
    <t>CO₂-Fachforum DBI 2026 – Kernerkenntnisse (interne Zusammenfassung)</t>
  </si>
  <si>
    <t>M. Panofen, Uniper Energy Storage (E-Mail vom 16.04.2026)</t>
  </si>
  <si>
    <t>Interne Mitteilung / Tagungsbericht</t>
  </si>
  <si>
    <t>Regulatorik; Akzeptanz; CO₂-Markt; PCI; Zeitschiene CO₂-Pipelines</t>
  </si>
  <si>
    <t>Zusammenfassung des zweitägigen DBI-CO₂-Fachforums: CO₂-Speicherung zeitlich deutlich hinter H₂-Speicherung, CCU nochmals später; geringe gesellschaftliche Akzeptanz für CCS/CCU in Deutschland (anders in NL/DK); CCS als PCI-Kernthema; CCU nur anerkannt bei dauerhafter Bindung (35 Jahre); kein eigenständiger CO₂-Speichermarkt in der EU; langfristige Onshore-Speicherung rechtlich zulässig, Entscheidung bei den Bundesländern, politisch derzeit ohne Bereitschaft; CO₂-Export in Nachbarländer kurz- bis mittelfristig realistischer als CCS in Deutschland.</t>
  </si>
  <si>
    <t>Früheste CO₂-Pipelines ca. 2034 (≈ 8 Jahre nach FID); CO₂-Leitungen perspektivisch parallel zum H₂-Kernnetz; Deutschland als Transitland.</t>
  </si>
  <si>
    <t>gesamte Mitteilung</t>
  </si>
  <si>
    <t>Sehr gute, kompakte Einordnung des politischen und regulatorischen Umfelds für Kap. 1 und 2.3.</t>
  </si>
  <si>
    <t>Interne Zusammenfassung ohne Primärbelege – jede übernommene Aussage über die Originalpräsentationen oder öffentliche Quellen belegen.</t>
  </si>
  <si>
    <t>Als Orientierung sehr nützlich, als Zitat nur mit Vorsicht (persönliche Mitteilung).</t>
  </si>
  <si>
    <t>Unterlagen von Martina\...\CO₂-Fachforum DBI 2026 – Kernerkenntnisse &amp; relevante Präsentation.msg</t>
  </si>
  <si>
    <t>1; 2.2; 2.3</t>
  </si>
  <si>
    <t>Q-043</t>
  </si>
  <si>
    <t>Erfahrungen zur CO₂-Speicherung in Salzkavernen (persönliche Mitteilung DEEP.KBB)</t>
  </si>
  <si>
    <t>S. Donadei (E-Mail vom 25.02.2026, im Verteiler M. Wall)</t>
  </si>
  <si>
    <t>Persönliche Mitteilung / Experteneinschätzung</t>
  </si>
  <si>
    <t>Phasenübergang; Kissengas; Blowout; Gefährdungsbewertung</t>
  </si>
  <si>
    <t>Aus einer DEEP.KBB-Untersuchung zur CO₂-Speicherung in Salzkavernen ergaben sich drei zentrale Herausforderungen: (1) der Phasenübergang im verrohrten Bereich lässt keine Druckkontrolle von Obertage zu, (2) der Kissengasanteil ist extrem hoch, (3) das Gefährdungsrisiko von CO₂ als Stickgas bei einem Blowout ist völlig neu zu bewerten.</t>
  </si>
  <si>
    <t>qualitativ – keine Zahlenwerte</t>
  </si>
  <si>
    <t>Präzise Formulierung der drei Kernprobleme; hervorragend als roter Faden für die Forschungsfrage und für Kap. 4.4 und 6.</t>
  </si>
  <si>
    <t>Als persönliche Mitteilung nur begrenzt zitierfähig – die drei Punkte über Q-028, Q-029 und Q-059 fachlich untermauern.</t>
  </si>
  <si>
    <t>Inhaltlich sehr wertvoll: benennt genau die Punkte, die die Arbeit beantworten sollte.</t>
  </si>
  <si>
    <t>Unterlagen von Martina\...\AW_ CO2 in Zwischenspeichern (Kavernen).msg</t>
  </si>
  <si>
    <t>T13 Sicherheit &amp; Risiken</t>
  </si>
  <si>
    <t>T03; T11</t>
  </si>
  <si>
    <t>1.2; 4.4; 6</t>
  </si>
  <si>
    <t>Q-044</t>
  </si>
  <si>
    <t>IPCC Special Report on Carbon Dioxide Capture and Storage (SRCCS)</t>
  </si>
  <si>
    <t>B. Metz, O. Davidson, H. de Coninck, M. Loos, L. Meyer (Hrsg.); IPCC Working Group III</t>
  </si>
  <si>
    <t>2005</t>
  </si>
  <si>
    <t>Sonderbericht / internationales Standardwerk</t>
  </si>
  <si>
    <t>CCS-Grundlagen; CO₂-Quellen; Abscheidung; Transport; geologische Speicherung; Stoffeigenschaften; Kosten</t>
  </si>
  <si>
    <t>Das internationale Standardwerk zu CCS. Für diese Arbeit besonders relevant: Annex I (Physikalische und chemische Eigenschaften von CO₂, Gesundheits- und Sicherheitsaspekte), Kap. 4 (Transport von CO₂, Pipelines), Kap. 5 (Underground geological storage) und Kap. 8 (Kosten).</t>
  </si>
  <si>
    <t>Noch auszuwerten – Stoffdaten aus Annex I mit Q-001 und NIST (Q-007) abgleichen.</t>
  </si>
  <si>
    <t>Annex I Properties of CO₂; Kap. 4 Transport; Kap. 5 Underground geological storage; Kap. 8 Cost; ergänzend SPM/Technical Summary</t>
  </si>
  <si>
    <t>Klassische Grundlagen- und Einordnungsquelle für Kap. 2.1 und 3.1; hoher Zitationswert.</t>
  </si>
  <si>
    <t>Datenstand 2005 – Kosten, Regulatorik und Projektstände sind überholt; nur für Grundlagen und Stoffdaten verwenden.</t>
  </si>
  <si>
    <t>Muss in der Arbeit vorkommen, aber gezielt: Annex I und Kap. 4/5, nicht als Beleg für den aktuellen Stand der Technik.</t>
  </si>
  <si>
    <t>Quellen\Carbon Dioxide Capture and Storage.pdf (Gesamtband) sowie Unterlagen von Andreas\...\SRCCS\ (Einzelkapitel + Annexe)</t>
  </si>
  <si>
    <t>T03; T08; T13; T14</t>
  </si>
  <si>
    <t>2.1; 3.1</t>
  </si>
  <si>
    <t>Q-045</t>
  </si>
  <si>
    <t>Der Einfluss von Begleitgasen auf die Integrität, Kapazität und Effizienz von Erdgas-Untergrundspeichern (DGMK-Sammelband 752–756)</t>
  </si>
  <si>
    <t>DGMK e. V. (Forschungsbericht-Sammelband)</t>
  </si>
  <si>
    <t>o. J. (Berichte 752–756)</t>
  </si>
  <si>
    <t>Forschungsbericht-Sammelband</t>
  </si>
  <si>
    <t>Begleitgase; Untergrundspeicher; Integrität; Speicherkapazität; Effizienz</t>
  </si>
  <si>
    <t>Sammelband von fünf Forschungsberichten zum Einfluss von Begleitgasen auf Integrität, Kapazität und Effizienz von Erdgas-Untergrundspeichern – methodisch direkt übertragbar auf die Frage, wie CO₂-Begleitstoffe im Kavernenbetrieb wirken.</t>
  </si>
  <si>
    <t>Noch auszuwerten (775 Seiten – gezielt über das Inhaltsverzeichnis einsteigen).</t>
  </si>
  <si>
    <t>Inhaltsverzeichnis; Berichte 752–756</t>
  </si>
  <si>
    <t>Brücke zwischen der Erdgasspeicher-Erfahrung (Referenzfall) und den CO₂-Verunreinigungsfragen; stützt Kap. 3.3 und 4.4.</t>
  </si>
  <si>
    <t>Bezieht sich auf Erdgasspeicher – Übertragbarkeit der Wirkmechanismen auf CO₂ jeweils explizit begründen.</t>
  </si>
  <si>
    <t>Sehr umfangreich; nur gezielt und kapitelweise auswerten, sonst zeitfressend.</t>
  </si>
  <si>
    <t>Quellen\DGMK_Sammelband-Forschungsberichte_752-756.pdf</t>
  </si>
  <si>
    <t>T04 Verunreinigungen</t>
  </si>
  <si>
    <t>T11; T06</t>
  </si>
  <si>
    <t>3.3; 4.4</t>
  </si>
  <si>
    <t>Q-046</t>
  </si>
  <si>
    <t>CapTransCO2 – Machbarkeit einer klimaneutralen mitteldeutschen Industrie durch den Aufbau einer vernetzten CO₂-Transportinfrastruktur für CCU/CCS</t>
  </si>
  <si>
    <t>Dr.-Ing. Jörg Nitzsche; DBI Gas- und Umwelttechnik GmbH</t>
  </si>
  <si>
    <t>o. J.</t>
  </si>
  <si>
    <t>Präsentation / Projektvorstellung</t>
  </si>
  <si>
    <t>CO₂-Transportinfrastruktur; Versorgungssicherheit; regionale Netzplanung</t>
  </si>
  <si>
    <t>Projektvorstellung zur vernetzten CO₂-Transportinfrastruktur für die mitteldeutsche Industrie; Fragestellung: Wie wird die Versorgung mit CO₂ als Rohstoff sichergestellt?</t>
  </si>
  <si>
    <t>Rahmen und Ziele des Projektes; Folgefolien</t>
  </si>
  <si>
    <t>Ergänzende Perspektive auf die Netzseite: CO₂ als Rohstoff und Versorgungssicherheit – Argument für Zwischenspeicher (Kap. 2.2).</t>
  </si>
  <si>
    <t>Jahr und Veranstaltungskontext noch nachtragen.</t>
  </si>
  <si>
    <t>Nützliche Ergänzung zu Q-032 und Q-037; Präsentationsquelle.</t>
  </si>
  <si>
    <t>Quellen\4_Teil-2-Joerg-Nitzsche_DBI-CapTrans_CO2_Versorgungssicherheit.pdf</t>
  </si>
  <si>
    <t>Q-047</t>
  </si>
  <si>
    <t>Integrally Geared Compressors (IGCs) for CO₂ Compression in CCUS Applications (White Paper)</t>
  </si>
  <si>
    <t>Lukas Biyikli; Siemens Energy</t>
  </si>
  <si>
    <t>Hersteller-White-Paper</t>
  </si>
  <si>
    <t>Verdichtung; Getriebeverdichter; CCUS-Wertschöpfungskette</t>
  </si>
  <si>
    <t>White Paper zur Rolle der Verdichtung in der CCUS-Wertschöpfungskette und zum Einsatz integral verzahnter Getriebeverdichter (IGC) für CO₂.</t>
  </si>
  <si>
    <t>Noch auszuwerten – Stufenzahlen, Druckbereiche und Wirkungsgrade extrahieren.</t>
  </si>
  <si>
    <t>S. 3 Rolle der Verdichtung; S. 5 IGC-Technik; S. 8 Fazit</t>
  </si>
  <si>
    <t>Herstellerseitiger Stand der Technik zur CO₂-Verdichtung; ergänzt die Auslegungsrechnungen aus Q-016/Q-017/Q-018.</t>
  </si>
  <si>
    <t>Herstellerquelle mit Produktperspektive – Leistungsangaben gegen unabhängige Literatur prüfen.</t>
  </si>
  <si>
    <t>Gut für Kap. 4.2; Doppelablage beachten (auch unter Quellen\Compressor\).</t>
  </si>
  <si>
    <t>Quellen\2024-White-Paper-IGCs-for-CO2-pdf_Original file.pdf (identische Kopie in Quellen\Compressor\)</t>
  </si>
  <si>
    <t>Q-048</t>
  </si>
  <si>
    <t>Compression Solutions for the CO₂ Value Chain / Integrally Geared Compressors RG (Produktinformationen)</t>
  </si>
  <si>
    <t>Everllence (vormals MAN Energy Solutions)</t>
  </si>
  <si>
    <t>Herstellerbroschüre / Produktinformation</t>
  </si>
  <si>
    <t>Verdichtung; Getriebeverdichter; Zwischenkühlung; Wirkungsgrad</t>
  </si>
  <si>
    <t>Zwei Produktinformationen: End-to-end-Kompressionslösungen für die CCUS-Kette sowie mehrstufige integral verzahnte Getriebeverdichter (Baureihe RG) mit Zwischenkühlung nach jeder Stufe.</t>
  </si>
  <si>
    <t>Über 88 % Gesamtwirkungsgrad möglich; Zwischenkühlung nach jeder Stufe; mehrere Prozessstufen in einem Gehäuse.</t>
  </si>
  <si>
    <t>evr-000028en (4 S.); evr-000031en (2 S.)</t>
  </si>
  <si>
    <t>Vergleichsangebot zu Q-047 – belegt, dass mehrstufige IGC der Stand der Technik für CO₂ sind.</t>
  </si>
  <si>
    <t>Nur Vorschau-/Auszugsversionen (preview); Angaben ausdrücklich unverbindlich.</t>
  </si>
  <si>
    <t>Als ergänzender Herstellerbeleg brauchbar, nicht als alleinige Auslegungsgrundlage.</t>
  </si>
  <si>
    <t>Quellen\evr-000028en_l3_ccus_preview.pdf; Quellen\evr-000031en_l3_rg_preview.pdf</t>
  </si>
  <si>
    <t>Q-049</t>
  </si>
  <si>
    <t>Erster 10-stufiger Getriebekompressor weltweit im produktiven Einsatz (Technische Notiz 3/2005)</t>
  </si>
  <si>
    <t>MAN Turbo (Oberhausen)</t>
  </si>
  <si>
    <t>Technische Notiz / Anwendungsbericht</t>
  </si>
  <si>
    <t>Verdichtung; CO₂; Referenzanlage; Getriebekompressor</t>
  </si>
  <si>
    <t>Praxisbeleg für die CO₂-Verdichtung im industriellen Maßstab: Der erste weltweit 10-stufige Getriebekompressor verdichtet in Nowomoskowsk (Russland) seit Mitte der 1990er Jahre Kohlendioxid von 1 bar auf 200 bar für die Düngemittelproduktion.</t>
  </si>
  <si>
    <t>CO₂-Verdichtung von 1 bar auf 200 bar; 10 Stufen.</t>
  </si>
  <si>
    <t>S. 1–2</t>
  </si>
  <si>
    <t>Sehr guter historischer Referenzbeleg dafür, dass CO₂-Verdichtung bis 200 bar keine neue Technik ist (Kap. 4.2).</t>
  </si>
  <si>
    <t>Kurze Herstellernotiz ohne detaillierte Auslegungsdaten.</t>
  </si>
  <si>
    <t>Kleine, aber wirkungsvolle Quelle für die Argumentation 'Verdichtung ist beherrscht'.</t>
  </si>
  <si>
    <t>Unterlagen von Andreas\...\MAN\TN-2005-03d.pdf</t>
  </si>
  <si>
    <t>Q-050</t>
  </si>
  <si>
    <t>Comparison of absorption and adsorption processes for CO₂ dehydration</t>
  </si>
  <si>
    <t>Lars Erik Øi, Philip Nitsche, Solomon Aromada; University of South-Eastern Norway</t>
  </si>
  <si>
    <t>Konferenzbeitrag (SIMS 2021)</t>
  </si>
  <si>
    <t>CO₂-Trocknung; TEG-Absorption; Molekularsieb-Adsorption; Aspen HYSYS</t>
  </si>
  <si>
    <t>Vergleicht zwei Verfahren der CO₂-Trocknung – TEG-Absorption und Molekularsieb-Adsorption – mittels Aspen-HYSYS-Simulation (Massen- und Wärmebilanzen). Begründung: abgeschiedenes CO₂ muss vor Transport oder Speicherung getrocknet werden, weil sonst Korrosion und Hydratbildung drohen.</t>
  </si>
  <si>
    <t>Noch auszuwerten – Zielwassergehalte und Energiebedarf beider Verfahren extrahieren.</t>
  </si>
  <si>
    <t>Abstract; Simulationsteil; Ergebnisvergleich</t>
  </si>
  <si>
    <t>Direkter Verfahrensvergleich für die Trocknungsstufe in Kap. 4.2/4.3; ergänzt Q-016 und Q-018 um die Verfahrensauswahl.</t>
  </si>
  <si>
    <t>Kurzbeitrag (6 Seiten) – Randbedingungen prüfen und auf den eigenen Volumenstrom übertragen.</t>
  </si>
  <si>
    <t>Sehr passend und kompakt; gut zitierbar für die Begründung der Trocknungsvariante.</t>
  </si>
  <si>
    <t>Quellen\SIMS2021_article_ecp21185287.pdf</t>
  </si>
  <si>
    <t>4.2; 4.3</t>
  </si>
  <si>
    <t>Q-051</t>
  </si>
  <si>
    <t>Filtration und Separation in der CO₂-Kette (White Paper) sowie SepraSol Plus Liquid/Gas-Koaleszer (Datenblatt)</t>
  </si>
  <si>
    <t>Pall Corporation (Application Development Team)</t>
  </si>
  <si>
    <t>Hersteller-White-Paper / Produktdatenblatt</t>
  </si>
  <si>
    <t>Filtration; Flüssigkeitsabscheidung; Koaleszer; Gaskonditionierung</t>
  </si>
  <si>
    <t>White Paper zu Filtrations- und Separationsaufgaben entlang der CCUS-Kette sowie Datenblatt eines Flüssigkeits-/Gas-Koaleszers zur Abscheidung von Flüssigkeiten und Feststoffen aus Gasströmen mit hohem Flüssigkeitsanteil.</t>
  </si>
  <si>
    <t>Noch auszuwerten – Abscheidegrade und Auslegungsgrößen extrahieren.</t>
  </si>
  <si>
    <t>White Paper S. 1–5; Datenblatt S. 1–3</t>
  </si>
  <si>
    <t>Belegt die Notwendigkeit der Eingangsfiltration/Flüssigkeitsabscheidung in der Ein- und Ausspeicherkette (vgl. Wasserabscheider in Q-035).</t>
  </si>
  <si>
    <t>Reine Herstellerquellen – nur für Funktionsprinzip und Größenordnungen verwenden.</t>
  </si>
  <si>
    <t>Ergänzend; keine zentrale Quelle, aber nützlich zur Beschreibung der Gaskonditionierung.</t>
  </si>
  <si>
    <t>Quellen\co2-white-paper.pdf; Quellen\seprasol-liquid-gas-coalescer.pdf</t>
  </si>
  <si>
    <t>Q-052</t>
  </si>
  <si>
    <t>Gerätedatenblätter Obertage-Messtechnik (Emerson: Coriolis, Differenzdruck, Gasanalyse, Temperatur)</t>
  </si>
  <si>
    <t>Emerson – Micro Motion / Rosemount</t>
  </si>
  <si>
    <t>2020–2026</t>
  </si>
  <si>
    <t>Produktdatenblätter</t>
  </si>
  <si>
    <t>Massendurchfluss; Dichte; Differenzdruck; Gaschromatographie; QCL-Analyse; Temperaturmessung</t>
  </si>
  <si>
    <t>Sammelposition der Gerätedatenblätter für die obertägige Messtechnik: Micro Motion ELITE Coriolis-Durchfluss-/Dichtemesser (inkl. detaillierter Genauigkeitstabellen), Rosemount 3051S High Static DP-Transmitter, Rosemount CT5800 QCL-Prozessgasanalysator (Spurenkomponenten bis in den unteren ppm-Bereich), Rosemount 470XA Gaschromatograph, Rosemount X-well Temperaturmessung ohne Schutzrohr.</t>
  </si>
  <si>
    <t>ELITE: Flüssigkeits-Durchflussgenauigkeit 0,10 %/0,05 %, Gas 0,25 %, Dichte 0,002/0,0005/0,0002 g/cm³; CT5800 misst bis zu zehn Komponenten gleichzeitig, Ex-Bereich Class I Div. 2.</t>
  </si>
  <si>
    <t>jeweils Abschnitt 'Specifications' der Datenblätter</t>
  </si>
  <si>
    <t>Belegt die konkrete Umsetzbarkeit des Messkonzepts aus Q-021/Q-022/Q-025/Q-027 mit realen Geräten – Anhang oder Kap. 4.5.</t>
  </si>
  <si>
    <t>Herstellerangaben unter Referenzbedingungen; Eignung für dichtphasiges CO₂ und Phasenwechsel gesondert prüfen.</t>
  </si>
  <si>
    <t>Als Beleg für Verfügbarkeit und erreichbare Genauigkeit gut; wissenschaftliche Bewertung über Q-022/Q-025/Q-027.</t>
  </si>
  <si>
    <t>Quellen\Messgeräte\ (doc-micro-motion-mmelite-pds-ps00374an.pdf; elite-technical-data-sheet.pdf; doc-rosemount-3051shighstatic-00813-0100-4851.pdf; doc-rosemount-00813-0100-5800.pdf; doc-rosemount-ms-00813-0100-0470.pdf; dl-rmt-00803-0100-4952-rev-ae.pdf; doc-rosemount-MS-00813-0100-6186.pdf)</t>
  </si>
  <si>
    <t>4.5; Anhang</t>
  </si>
  <si>
    <t>Q-053</t>
  </si>
  <si>
    <t>Roxar HS Series Downhole Gauges – Druck- und Temperaturmessung im Bohrloch (Datenblatt + Flyer)</t>
  </si>
  <si>
    <t>Emerson – Roxar</t>
  </si>
  <si>
    <t>Produktdatenblatt / Flyer</t>
  </si>
  <si>
    <t>Bohrlochmesstechnik; Druck; Temperatur; Dauerüberwachung</t>
  </si>
  <si>
    <t>Permanent installierte Bohrloch-Druck- und Temperaturmessgeräte für hohe Temperaturen und raue Bedingungen; ersetzen periodische Wireline-Messungen und dienen der Integritätsüberwachung.</t>
  </si>
  <si>
    <t>Noch auszuwerten – Messbereiche, Genauigkeit und Langzeitdrift extrahieren.</t>
  </si>
  <si>
    <t>Datenblatt RXPS-002308 Rev D (12 S.); Flyer (1 S.)</t>
  </si>
  <si>
    <t>Technische Option für die im Kavernenbetrieb nötige kontinuierliche P/T-Messung im verrohrten Bereich – direkt anschlussfähig an das Problem aus Q-043 (keine Druckkontrolle von Obertage).</t>
  </si>
  <si>
    <t>Auslegung für Öl-/Gasbohrungen – CO₂-Beständigkeit und Eignung im Phasenwechselbereich prüfen.</t>
  </si>
  <si>
    <t>Sehr relevanter Baustein für Kap. 4.4/4.5, da er genau die Messlücke im Bohrloch adressiert.</t>
  </si>
  <si>
    <t>Quellen\Messgeräte\dl-rox-rxps-002308.pdf; roxar-hs-gauge-flyer-eng-19.pdf</t>
  </si>
  <si>
    <t>4.4; 4.5</t>
  </si>
  <si>
    <t>Q-054</t>
  </si>
  <si>
    <t>FLUXUS – nicht-invasive (Clamp-on-)Ultraschall-Durchflussmessung für Gase</t>
  </si>
  <si>
    <t>FLEXIM</t>
  </si>
  <si>
    <t>Herstellerbroschüre</t>
  </si>
  <si>
    <t>Ultraschall-Durchflussmessung; Clamp-on; Untertagespeicher Ein-/Ausspeisung</t>
  </si>
  <si>
    <t>Clamp-on-Ultraschallmessung für Gasströme ohne Prozesseingriff; explizit auch für Untertagespeicher (Ein- und Ausspeisung), Verdichterstationen, Gastrocknung und Pipeline-Integritätsüberwachung genannt.</t>
  </si>
  <si>
    <t>Kein Druckverlust, keine Leckagepfade, kein Verschleiß, keine diffusen Emissionen.</t>
  </si>
  <si>
    <t>S. 1–8</t>
  </si>
  <si>
    <t>Alternative Messtechnik für Stellen, an denen kein Prozesseingriff möglich ist – Ergänzung zum Coriolis-Konzept in Kap. 4.5.</t>
  </si>
  <si>
    <t>Herstellerangaben; Genauigkeit bei dichtphasigem CO₂ und bei Phasenwechsel unabhängig prüfen.</t>
  </si>
  <si>
    <t>Nützliche Ergänzung; für die Bewertung Q-025 (Flowmeter-Review) heranziehen.</t>
  </si>
  <si>
    <t>Quellen\Messgeräte\brochure-flexim-non-intrusive-natural-gas-flow-measurement-en-11942700.pdf</t>
  </si>
  <si>
    <t>Q-055</t>
  </si>
  <si>
    <t>Permanent Downhole Monitoring for CO₂ Storage (Case Study)</t>
  </si>
  <si>
    <t>Halliburton</t>
  </si>
  <si>
    <t>Anwendungsbericht / Case Study</t>
  </si>
  <si>
    <t>Bohrlochüberwachung; CO₂-Injektionsbohrung; Faseroptik; Integrität</t>
  </si>
  <si>
    <t>Fallbeispiel einer CO₂-Injektionsbohrung mit permanenter Bohrlochüberwachung: Druck- und Temperaturmessung kombiniert mit faseroptischer Diagnostik für Echtzeitdaten zu Reservoirverhalten, Injektionsleistung und Bohrlochintegrität.</t>
  </si>
  <si>
    <t>Praxisbeleg für Monitoringkonzepte an CO₂-Bohrungen; stützt Kap. 4.5 und die Argumentation zur Integritätsüberwachung.</t>
  </si>
  <si>
    <t>Herstellerquelle, geologische Speicherung (nicht Kaverne) – Übertragbarkeit begründen.</t>
  </si>
  <si>
    <t>Kurz und anschaulich; als Praxisbeispiel gut, als Datenquelle schwach.</t>
  </si>
  <si>
    <t>Quellen\Messgeräte\Permanent_downhole_monitoring_C02_storage_-_CS.pdf</t>
  </si>
  <si>
    <t>Q-056</t>
  </si>
  <si>
    <t>Distributed Fibre Optic Monitoring for CCS</t>
  </si>
  <si>
    <t>PESA News (Fachbeitrag)</t>
  </si>
  <si>
    <t>Fachbeitrag / Übersichtsartikel</t>
  </si>
  <si>
    <t>Faseroptik; DTS/DAS; seismisches Monitoring; Bohrlochintegrität</t>
  </si>
  <si>
    <t>Übersicht zum Einsatz faseroptischer Kabel über alle Phasen eines CCS-Projekts: Aufbau einer Temperatur-, Dehnungs- und Seismik-Baseline zur Standortcharakterisierung, Überwachung der Injektion sowie Langzeitmonitoring nach der Injektion.</t>
  </si>
  <si>
    <t>Anwendungen: VSP-Plume-Monitoring, mikroseismisches Monitoring, Temperaturmessung zur Bohrlochintegrität.</t>
  </si>
  <si>
    <t>S. 2–3</t>
  </si>
  <si>
    <t>Kompakter Einstieg in faseroptisches Monitoring für Kap. 4.5.</t>
  </si>
  <si>
    <t>Kurzbeitrag mit Sekundärverweisen – zitierte Primärstudien (Pevner 2021, White 2019, Stork 2022, Ricard 2020) bei Bedarf beschaffen.</t>
  </si>
  <si>
    <t>Guter Überblick, für belastbare Aussagen aber Primärliteratur oder Q-057 verwenden.</t>
  </si>
  <si>
    <t>Quellen\Messgeräte\Distributed-Fiber-Optic-Monitoring-for-CCS.pdf</t>
  </si>
  <si>
    <t>Q-057</t>
  </si>
  <si>
    <t>Distributed Temperature Sensing Monitoring of Well Completion Processes in a CO₂ Geological Storage Demonstration Site</t>
  </si>
  <si>
    <t>Dasom Sharon Lee, Kwon Gyu Park, Changhyun Lee, Sang-Jin Choi; KIGAM / Seoul National University</t>
  </si>
  <si>
    <t>2018</t>
  </si>
  <si>
    <t>Wissenschaftlicher Fachartikel (Sensors 18(12), 4239)</t>
  </si>
  <si>
    <t>Distributed Temperature Sensing; Bohrlochkomplettierung; CO₂-Speicherung; Monitoring</t>
  </si>
  <si>
    <t>Peer-reviewte Studie zum Einsatz verteilter Temperaturmessung (DTS) zur Überwachung von Komplettierungsvorgängen an einer CO₂-Speicher-Demonstrationsbohrung.</t>
  </si>
  <si>
    <t>Noch auszuwerten – Auflösung, Messgenauigkeit und detektierbare Effekte extrahieren.</t>
  </si>
  <si>
    <t>gesamter Artikel (20 S.)</t>
  </si>
  <si>
    <t>Wissenschaftlich belastbarer Beleg für DTS im CO₂-Kontext – die zitierfähige Ergänzung zu Q-055/Q-056.</t>
  </si>
  <si>
    <t>Geologische Speicherung, nicht Salzkaverne – Übertragbarkeit auf die Kavernenbohrung begründen.</t>
  </si>
  <si>
    <t>Beste Monitoring-Quelle des Bestands aus wissenschaftlicher Sicht.</t>
  </si>
  <si>
    <t>Quellen\Messgeräte\sensors-18-04239.pdf</t>
  </si>
  <si>
    <t>Q-058</t>
  </si>
  <si>
    <t>Erarbeitung eines Inbetriebnahme- und Betriebskonzeptes für eine On- und Offshore-CO₂-Pipeline unter Berücksichtigung umweltrelevanter und sicherheitstechnischer Aspekte</t>
  </si>
  <si>
    <t>Johannes Mahl; Hochschule für angewandte Wissenschaften Ingolstadt (Bachelorarbeit)</t>
  </si>
  <si>
    <t>Abschlussarbeit (Bachelorarbeit)</t>
  </si>
  <si>
    <t>Inbetriebnahme; Betriebskonzept; CO₂-Pipeline; Sicherheitstechnik; Umwelt</t>
  </si>
  <si>
    <t>Entwickelt ein Inbetriebnahme- und Betriebskonzept für eine CO₂-Pipeline on- und offshore und betrachtet dabei ausdrücklich umweltrelevante und sicherheitstechnische Aspekte.</t>
  </si>
  <si>
    <t>Noch auszuwerten – Anfahr-/Abfahrprozeduren und Sicherheitsbetrachtungen extrahieren.</t>
  </si>
  <si>
    <t>Inhaltsverzeichnis; Betriebskonzept; Sicherheitskapitel; Anhang</t>
  </si>
  <si>
    <t>Methodisch übertragbar auf das Inbetriebnahme- und Betriebskonzept der Kavernenanbindung (Kap. 4 und 6); besonders die Anfahrszenarien mit Phasenwechsel.</t>
  </si>
  <si>
    <t>Betrifft Pipelines, nicht Kavernen; Bachelorarbeit – Aussagen über Primärquellen (Q-040, Q-013) absichern.</t>
  </si>
  <si>
    <t>Gute methodische Vorlage; als Sekundärquelle einordnen.</t>
  </si>
  <si>
    <t>Unterlagen von Andreas\...\Abschlussarbeiten\Bachelorarbeit mit Anhang_PDF.pdf</t>
  </si>
  <si>
    <t>T08; T10</t>
  </si>
  <si>
    <t>4.3; 6</t>
  </si>
  <si>
    <t>Q-059</t>
  </si>
  <si>
    <t>Zweiphasenströmung und Ausströmungsberechnung von CO₂ (Fauske-Modell, Yellow Book)</t>
  </si>
  <si>
    <t>unbekannt – Projektarbeit (Autor/Hochschule noch zu ermitteln)</t>
  </si>
  <si>
    <t>Studien-/Projektarbeit</t>
  </si>
  <si>
    <t>Zweiphasenströmung; kritische Massenstromdichte; Ausströmung; Blowout; Druckverlust</t>
  </si>
  <si>
    <t>Systematische Aufbereitung der Zweiphasenströmung von CO₂: Erhaltungssätze (homogen/getrennt, stationär/instationär), kritische Strömungen, Druckverlustberechnung, Strömungsmodelle (ω-Modell nach Leung, Schlupfmodell nach Moody, Zweifluidmodelle), Fauske-Modell zur kritischen Massenstromdichte und Ausströmungsrechnung nach dem Yellow Book.</t>
  </si>
  <si>
    <t>Noch auszuwerten – Gleichungssatz für die eigene Bohrloch-/Ausströmungsrechnung übernehmen.</t>
  </si>
  <si>
    <t>Kap. 2.4–2.5 Strömungsformen; Kap. 3 Grundlagen; Kap. 4 Druckverlust; Kap. 5 Modelle; Kap. 6 Fauske-Modell; Kap. 7 Yellow Book</t>
  </si>
  <si>
    <t>Der methodische Schlüssel für zwei Kernpunkte der Arbeit: das Mehrphasen-Bohrlochmodell (Kap. 4.4) und die Ausström-/Blowout-Betrachtung (Kap. 6).</t>
  </si>
  <si>
    <t>Autor, Hochschule und Jahr müssen für die Zitation ermittelt werden – im PDF oder bei Andreas nachfragen.</t>
  </si>
  <si>
    <t>Inhaltlich sehr wertvoll und passgenau zu Q-043 und Q-028; bibliografische Daten dringend klären.</t>
  </si>
  <si>
    <t>Unterlagen von Andreas\...\Abschlussarbeiten\Projektarbeit_1004.pdf</t>
  </si>
  <si>
    <t>T03; T10; T11; T15</t>
  </si>
  <si>
    <t>4.4; 5; 6</t>
  </si>
  <si>
    <t>Q-060</t>
  </si>
  <si>
    <t>Untersuchungen zur Wirtschaftlichkeit des CO₂-Transports durch Rohrleitungen bei der Realisierung CO₂-freier Steinkohlekraftwerke</t>
  </si>
  <si>
    <t>Ansgar Brauer; FH Südwestfalen, in Zusammenarbeit mit E.ON Engineering GmbH (Diplomarbeit)</t>
  </si>
  <si>
    <t>2008</t>
  </si>
  <si>
    <t>Abschlussarbeit (Diplomarbeit)</t>
  </si>
  <si>
    <t>CO₂-Transport; Rohrleitung; Wirtschaftlichkeit; Kraftwerke</t>
  </si>
  <si>
    <t>Niedrig bis mittel</t>
  </si>
  <si>
    <t>Wirtschaftlichkeitsbetrachtung des CO₂-Pipelinetransports im Kontext CO₂-freier Steinkohlekraftwerke; entstanden im E.ON-Umfeld.</t>
  </si>
  <si>
    <t>Inhaltsverzeichnis; Wirtschaftlichkeitsrechnung</t>
  </si>
  <si>
    <t>Historische Kostenreferenz für den Transportteil; nur relevant, falls die Arbeit eine wirtschaftliche Einordnung enthält.</t>
  </si>
  <si>
    <t>Datenstand 2008 – Kosten und Randbedingungen vollständig überholt.</t>
  </si>
  <si>
    <t>Für den technischen Kern der Arbeit nachrangig; ggf. nur als historische Einordnung.</t>
  </si>
  <si>
    <t>Unterlagen von Andreas\...\Abschlussarbeiten\Diplomarbeit CO2-Transport final 18022008.pdf</t>
  </si>
  <si>
    <t>Q-061</t>
  </si>
  <si>
    <t>CO₂ – Transport in Rohrleitungen (Fachbericht)</t>
  </si>
  <si>
    <t>Tietze; E.ON Engineering GmbH, Bereich PTD</t>
  </si>
  <si>
    <t>2006</t>
  </si>
  <si>
    <t>Interner Fachbericht</t>
  </si>
  <si>
    <t>CO₂-Pipelinetransport; überkritischer Transport; Auslegung</t>
  </si>
  <si>
    <t>Interner Fachbericht zu den Möglichkeiten des CO₂-Transports in Pipelines, u. a. Transport von überkritischem CO₂.</t>
  </si>
  <si>
    <t>Kap. 1 Einleitung; Kap. 2 Transportmöglichkeiten; Kap. 2.1 überkritischer Transport</t>
  </si>
  <si>
    <t>Frühe unternehmensinterne Einordnung; heute weitgehend durch Q-013 und Q-040 ersetzt.</t>
  </si>
  <si>
    <t>Datenstand 2006; interner Bericht ohne externe Begutachtung.</t>
  </si>
  <si>
    <t>Nur nutzen, wenn die historische Entwicklung im Unternehmen dargestellt werden soll.</t>
  </si>
  <si>
    <t>Unterlagen von Andreas\...\Literatur\CO2 Transport in Pipelines 061006.pdf</t>
  </si>
  <si>
    <t>Q-062</t>
  </si>
  <si>
    <t>Carbon Dioxide Pipelines: A Preliminary Review of Design and Risks</t>
  </si>
  <si>
    <t>J. Barrie, K. Brown, P. R. Hatcher, H. U. Schellhase; Fluor / Brown GSC Consulting / Shebho-Tech</t>
  </si>
  <si>
    <t>ca. 2004</t>
  </si>
  <si>
    <t>Konferenzbeitrag (GHGT)</t>
  </si>
  <si>
    <t>CO₂-Pipeline; Auslegung; Risiken; Störfall</t>
  </si>
  <si>
    <t>Frühe systematische Übersicht zu Auslegung und Risiken von CO₂-Pipelines im Kontext von EOR und geologischer Speicherung.</t>
  </si>
  <si>
    <t>Abstract; Design; Risks</t>
  </si>
  <si>
    <t>Ergänzt die Risikobetrachtung in Kap. 6 um die Transportseite (Leckage, Ausbreitung, Störfallszenarien).</t>
  </si>
  <si>
    <t>Alt (ca. 2004) – aktuelle Normlage über Q-040 abbilden.</t>
  </si>
  <si>
    <t>Für die Risikologik brauchbar, für Zahlenwerte veraltet.</t>
  </si>
  <si>
    <t>Unterlagen von Andreas\...\Literatur\co2_pipeline.pdf</t>
  </si>
  <si>
    <t>6</t>
  </si>
  <si>
    <t>Q-063</t>
  </si>
  <si>
    <t>Kingsnorth CCS Demonstration Project – Key Knowledge Reference Book</t>
  </si>
  <si>
    <t>E.ON UK plc / Department of Energy and Climate Change (DECC)</t>
  </si>
  <si>
    <t>o. J. (ca. 2011)</t>
  </si>
  <si>
    <t>Projektdokumentation / Wissensbericht eines Demonstrationsprojekts</t>
  </si>
  <si>
    <t>CCS-Demonstration; Anlagentechnik; Abscheidung; Transport; Speicherung</t>
  </si>
  <si>
    <t>Aufbereitetes Projektwissen aus dem CCS-Demonstrationsvorhaben Kingsnorth (E.ON UK) – von der Abscheidung über Verdichtung und Transport bis zur Speicherung.</t>
  </si>
  <si>
    <t>Noch auszuwerten – Auslegungsdaten mit Q-017 (Wloka, gleiches Projektumfeld Kingsnorth/Hewett) abgleichen.</t>
  </si>
  <si>
    <t>gesamtes Reference Book (66 S.)</t>
  </si>
  <si>
    <t>Reales Großprojekt als Referenz für die Anlagenkette; besonders wertvoll, weil Q-017 dieselbe Fallstudie behandelt.</t>
  </si>
  <si>
    <t>Projekt wurde nicht realisiert; Datenstand ca. 2011.</t>
  </si>
  <si>
    <t>Gute Ergänzung zu Q-017; zusammen ergeben sie eine belastbare Fallstudie.</t>
  </si>
  <si>
    <t>Unterlagen von Andreas\...\Kingsnorth\key-knowledge-reference-book.pdf</t>
  </si>
  <si>
    <t>Q-064</t>
  </si>
  <si>
    <t>Potential Risks Associated with CO₂ Storage – Case Study Mid-Norway (CO2STORE), NGU Report 2005.043</t>
  </si>
  <si>
    <t>Reidulv Bøe, Peter Zweigel, Szczepan Polak, Erik Lindeberg; Geological Survey of Norway (NGU) / SINTEF</t>
  </si>
  <si>
    <t>Forschungsbericht</t>
  </si>
  <si>
    <t>Risikoanalyse; geologische CO₂-Speicherung; Leckagepfade</t>
  </si>
  <si>
    <t>Systematische Risikoanalyse für einen konkreten CO₂-Speicherstandort: Identifikation und Bewertung möglicher Leckage- und Gefährdungspfade.</t>
  </si>
  <si>
    <t>gesamter Bericht (27 S.)</t>
  </si>
  <si>
    <t>Methodische Vorlage für die Risikoanalyse in Kap. 6 (Systematik der Gefährdungspfade).</t>
  </si>
  <si>
    <t>Bezieht sich auf einen Aquiferspeicher – Übertragung auf die Salzkaverne erfordert eigene Pfadanalyse.</t>
  </si>
  <si>
    <t>Für die Methodik nützlich, inhaltlich nur bedingt übertragbar.</t>
  </si>
  <si>
    <t>Unterlagen von Andreas\...\Literatur\NGUReport2005Risks.pdf</t>
  </si>
  <si>
    <t>Q-065</t>
  </si>
  <si>
    <t>LBNL-Forschungskurzberichte zu Leckage und Verhalten von CO₂ im Untergrund (Oldenburg, Pruess, Doughty)</t>
  </si>
  <si>
    <t>Curtis Oldenburg, Karsten Pruess, Christine Doughty; Lawrence Berkeley National Laboratory</t>
  </si>
  <si>
    <t>ca. 2005</t>
  </si>
  <si>
    <t>Forschungskurzberichte (je 1 Seite)</t>
  </si>
  <si>
    <t>Leckage; Screening and Ranking Framework; oberflächennahe CO₂-Migration; Frio-Pilot</t>
  </si>
  <si>
    <t>Niedrig</t>
  </si>
  <si>
    <t>Drei einseitige Forschungsprofile: Verhalten von austretendem CO₂ im oberflächennahen Bereich und HSE-Risiken, ein Screening- und Ranking-Verfahren zur Standortauswahl, sowie die physikalischen Prozesse im Untergrund am Frio-Pilotstandort.</t>
  </si>
  <si>
    <t>qualitativ</t>
  </si>
  <si>
    <t>je 1 Seite</t>
  </si>
  <si>
    <t>Nur als Hinweis auf weiterführende Literatur; für die Kaverne nicht direkt einschlägig.</t>
  </si>
  <si>
    <t>Sehr kurze Abstracts ohne Daten; Primärveröffentlichungen wären zu beschaffen.</t>
  </si>
  <si>
    <t>Niedrige Priorität – für eine Kavernenarbeit entbehrlich.</t>
  </si>
  <si>
    <t>Unterlagen von Andreas\...\Literatur\oldenburg_leakage.pdf; oldenburg_storage.pdf; pruess.pdf; doughty.pdf</t>
  </si>
  <si>
    <t>–</t>
  </si>
  <si>
    <t>Q-066</t>
  </si>
  <si>
    <t>The Economics of CO₂ Storage (MIT LFEE 2003-003 RP)</t>
  </si>
  <si>
    <t>Gemma Heddle, Howard Herzog, Michael Klett; MIT Laboratory for Energy and the Environment</t>
  </si>
  <si>
    <t>2003</t>
  </si>
  <si>
    <t>Speicherkosten; Wirtschaftlichkeit; geologische Speicherung</t>
  </si>
  <si>
    <t>Kostenanalyse für die geologische CO₂-Speicherung (Injektionsbohrungen, Monitoring, Standortcharakterisierung).</t>
  </si>
  <si>
    <t>Executive Summary; Kap. 1</t>
  </si>
  <si>
    <t>Nur relevant, falls Kostenkennwerte für die Langzeitspeicherung als Vergleichsmaßstab benötigt werden.</t>
  </si>
  <si>
    <t>Datenstand 2003 – vollständig überholt; betrifft Langzeit-, nicht Zwischenspeicherung.</t>
  </si>
  <si>
    <t>Für diese Arbeit nachrangig.</t>
  </si>
  <si>
    <t>Unterlagen von Andreas\...\Literatur\LFEE_2003-003_RP.pdf</t>
  </si>
  <si>
    <t>Q-067</t>
  </si>
  <si>
    <t>Literatur zu geologischer CO₂-Speicherung und CO₂-EOR (Sammelposition)</t>
  </si>
  <si>
    <t>Stefan Bachu (AEUB); David J. Beecy &amp; Vello A. Kuuskraa (US DOE / ARI); Kristian Jessen et al. (Stanford); NETL</t>
  </si>
  <si>
    <t>2000–2005</t>
  </si>
  <si>
    <t>Konferenzbeiträge / Fachartikel</t>
  </si>
  <si>
    <t>Reservoir-Screening; CO₂-EOR; Speicherkapazität poröser Formationen</t>
  </si>
  <si>
    <t>Vier Beiträge zur Speicherung in porösen Formationen und zur CO₂-basierten tertiären Ölförderung (EOR): Screening und Ranking von Kohlenwasserstofflagerstätten im Alberta-Becken, Beckenstrategien zur Verknüpfung von EOR und Speicherung, Sequestrierung über EOR sowie Erhöhung der CO₂-Speicherung bei der Ölförderung.</t>
  </si>
  <si>
    <t>qualitativ / lagerstättenspezifisch</t>
  </si>
  <si>
    <t>jeweils Abstract und Schlussfolgerungen</t>
  </si>
  <si>
    <t>Zur Abgrenzung: zeigt, womit sich die CCS-Literatur überwiegend beschäftigt (poröse Speicher, EOR) – und damit, worin die Forschungslücke der Kavernen-Zwischenspeicherung besteht.</t>
  </si>
  <si>
    <t>Keine Kavernenrelevanz; nur als Kontrastfolie in der Einleitung.</t>
  </si>
  <si>
    <t>Bewusst niedrig eingestuft – gut zur Begründung der Forschungslücke, nicht für technische Aussagen.</t>
  </si>
  <si>
    <t>Unterlagen von Andreas\...\Literatur\P21.pdf; 505.pdf; Gen_Seq%20thru%20EOR.pdf; increasing_co2_storage.pdf</t>
  </si>
  <si>
    <t>1.1</t>
  </si>
  <si>
    <t>Q-068</t>
  </si>
  <si>
    <t>Experten-Workshop 'CO₂-Abscheidung und -Lagerung (CCS) aus deutscher Perspektive' (Beitragssammlung)</t>
  </si>
  <si>
    <t>Germanwatch &amp; Wuppertal Institut für Klima, Umwelt, Energie – Beiträge u. a. von M. Fischedick, P. Radgen (Fraunhofer ISI), W. Keppel (Alstom), L. Mohrbach (VGB), G. von Goerne (Greenpeace), C. Bals, S. Bode (HWWA), M. Treber, B. Pieprzyk (BEE), D. Schüwer</t>
  </si>
  <si>
    <t>Workshop-Dokumentation (Programm, Teilnehmerliste, 10 Vorträge/Stellungnahmen)</t>
  </si>
  <si>
    <t>Gesellschaftliche Akzeptanz; Chancen und Risiken CCS; Klimaschutzoptionen; Nicht-Permanenz</t>
  </si>
  <si>
    <t>Vollständige Dokumentation eines frühen deutschen CCS-Expertenworkshops mit Positionen aus Wissenschaft, Industrie, Umweltverbänden und Politik – einschließlich der Kritikpunkte (Nicht-Permanenz, Konkurrenz zu Erneuerbaren, Wirkungsgradverlust).</t>
  </si>
  <si>
    <t>Alstom-Angaben 2005: Wirkungsgradverlust 6–10 %-Punkte, Investition +100 %, CO₂-Vermeidungskosten 25–35 €/t CO₂.</t>
  </si>
  <si>
    <t>2005-05-11p.pdf (Programm); Einzelbeiträge</t>
  </si>
  <si>
    <t>Belegt, wie lange die deutsche CCS-Debatte schon geführt wird, und liefert die Argumentationslinien der Akzeptanzfrage – gut für einen kurzen historischen Absatz in Kap. 1/2.1 (Anschluss an Q-042).</t>
  </si>
  <si>
    <t>Stand 2005; Technik- und Kostenangaben überholt.</t>
  </si>
  <si>
    <t>Historisch interessant und für die Akzeptanzdiskussion nutzbar; technisch nicht mehr verwendbar.</t>
  </si>
  <si>
    <t>Unterlagen von Andreas\...\CO2 Workshop\ (16 Dateien)</t>
  </si>
  <si>
    <t>T02</t>
  </si>
  <si>
    <t>1.1; 2.1</t>
  </si>
  <si>
    <t>Q-069</t>
  </si>
  <si>
    <t>CO₂-Abscheidung und -Lagerung als Beitrag zum Klimaschutz? (Germanwatch-Diskussionspapier)</t>
  </si>
  <si>
    <t>Renate Duckat, Manfred Treber, Christoph Bals, Gerold Kier; Germanwatch</t>
  </si>
  <si>
    <t>2004</t>
  </si>
  <si>
    <t>Diskussionspapier</t>
  </si>
  <si>
    <t>CCS-Bewertung; IPCC-Workshop 2002; NGO-Perspektive</t>
  </si>
  <si>
    <t>Auswertung des IPCC-Workshops zu CO₂-Abscheidung und -Speicherung (Regina 2002) mit Bewertung aus Sicht von Germanwatch.</t>
  </si>
  <si>
    <t>gesamtes Papier (46 S.)</t>
  </si>
  <si>
    <t>Ergänzung zu Q-068 für die Akzeptanz-/Kritikperspektive.</t>
  </si>
  <si>
    <t>Stand 2004; interessengebundene Quelle.</t>
  </si>
  <si>
    <t>Nur für die Akzeptanzdiskussion, klar als Positionspapier kennzeichnen.</t>
  </si>
  <si>
    <t>Unterlagen von Andreas\...\CO2 Workshop\ccs04.pdf</t>
  </si>
  <si>
    <t>Q-070</t>
  </si>
  <si>
    <t>Die Nordsee als CO₂-Speicher – ExxonMobil legt ersten Antrag vor</t>
  </si>
  <si>
    <t>Arne Haschen; NWZ Online (Nordwest-Zeitung)</t>
  </si>
  <si>
    <t>Presseartikel</t>
  </si>
  <si>
    <t>Offshore-Speicherung; Genehmigungsverfahren; aktuelle Projekte Deutschland</t>
  </si>
  <si>
    <t>Bericht über den ersten Antrag von ExxonMobil für Bohrungen zur CO₂-Speicherung in der Nordsee vor der ostfriesischen Küste (23.04.2026).</t>
  </si>
  <si>
    <t>gesamter Artikel</t>
  </si>
  <si>
    <t>Aktueller Beleg für den Projektstand in Deutschland (Kap. 2.2) – Tagesaktualität, die Studien nicht abbilden.</t>
  </si>
  <si>
    <t>Presseartikel ohne fachliche Tiefe; Angaben über Behörden-/Unternehmensquellen verifizieren.</t>
  </si>
  <si>
    <t>Nur als Aktualitätsbeleg verwenden, nicht für technische Aussagen.</t>
  </si>
  <si>
    <t>Unterlagen von Martina\...\Die Nordsee als CO2-Speicher_ ... ExxonMobil ... .pdf</t>
  </si>
  <si>
    <t>Q-071</t>
  </si>
  <si>
    <t>Chemische Beständigkeit der nichtrostenden Stähle (Technische Information)</t>
  </si>
  <si>
    <t>Riba Edelstahl Handelsgesellschaft mbH</t>
  </si>
  <si>
    <t>Technische Information / Beständigkeitstabelle</t>
  </si>
  <si>
    <t>Werkstoffauswahl; Korrosionsbeständigkeit; Edelstahl</t>
  </si>
  <si>
    <t>Tabellenwerk zur chemischen Beständigkeit nichtrostender Stähle gegenüber verschiedenen Medien mit vierstufiger Bewertung (beständig bis unbeständig) und Hinweisen auf Lochfraßgefahr.</t>
  </si>
  <si>
    <t>Bewertungsskala 0 = beständig, 1 = geringer Angriff, 2 = kaum beständig, 3 = unbeständig, L = Gefahr von Lochkorrosion.</t>
  </si>
  <si>
    <t>Beständigkeitstabellen (23 S.)</t>
  </si>
  <si>
    <t>Schnelle Vorauswahl von Werkstoffen für die Obertageanlage (Kap. 3.5/4.2) – insbesondere für feuchtes CO₂ und Kohlensäure.</t>
  </si>
  <si>
    <t>Handelsunterlage ohne Angabe der Prüfbedingungen; für CO₂-spezifische Aussagen zwingend Q-004 heranziehen.</t>
  </si>
  <si>
    <t>Praktisches Nachschlagewerk, aber keine wissenschaftliche Quelle – nur ergänzend zitieren.</t>
  </si>
  <si>
    <t>Unterlagen von Martina\...\Speicherstation Epe\Chemischebestaendigkeit Edelstahl.pdf</t>
  </si>
  <si>
    <t>T06 Werkstoffe &amp; Korrosion</t>
  </si>
  <si>
    <t>T09</t>
  </si>
  <si>
    <t>3.5; 4.2</t>
  </si>
  <si>
    <t>Q-072</t>
  </si>
  <si>
    <t>Kostenplan zur DGMK-Projektskizze 915 (Anhang 2)</t>
  </si>
  <si>
    <t>DGMK / DBI</t>
  </si>
  <si>
    <t>Kostenplan / Projektunterlage</t>
  </si>
  <si>
    <t>Projektfinanzierung; Arbeitspakete DGMK 915</t>
  </si>
  <si>
    <t>Kostenplan zum Vorhaben aus Q-019: Projektzeitraum ca. 01.06.2026–31.12.2026 (7 Monate), Aufteilung auf die Arbeitspakete und Zuwendungsgeber.</t>
  </si>
  <si>
    <t>AP 1–7: 77.000 €; AP 8: 1.680 €; AP 9: 8.960 €; AP 10: 5.600 €; Gesamt AP 1–10: 108.360 €.</t>
  </si>
  <si>
    <t>1 Seite</t>
  </si>
  <si>
    <t>Nur organisatorisch relevant – zeigt Umfang und Zeitrahmen des laufenden Forschungsvorhabens (Ausblick).</t>
  </si>
  <si>
    <t>Keine fachlichen Inhalte.</t>
  </si>
  <si>
    <t>Für die Arbeit fachlich entbehrlich; gehört zu Q-019.</t>
  </si>
  <si>
    <t>Unterlagen von Martina\...\Anhang_2_20260401_Kostenplan_DGMK915_CO2.pdf</t>
  </si>
  <si>
    <t>T14</t>
  </si>
  <si>
    <t>8</t>
  </si>
  <si>
    <t>Q-073</t>
  </si>
  <si>
    <t>Eckdaten Referenzanlagen BASF (Datenblatt)</t>
  </si>
  <si>
    <t>BASF (über E.ON/Andreas)</t>
  </si>
  <si>
    <t>Datentabelle (Excel)</t>
  </si>
  <si>
    <t>Referenzanlagen; Anlagenkennwerte</t>
  </si>
  <si>
    <t>Tabelle mit Eckdaten von Referenzanlagen – Inhalt noch nicht geprüft.</t>
  </si>
  <si>
    <t>Ggf. Vergleichskennwerte für industrielle CO₂-Anlagen.</t>
  </si>
  <si>
    <t>Inhalt, Herkunft und Aktualität vollständig ungeklärt; Datei ist ein altes .xls.</t>
  </si>
  <si>
    <t>Erst prüfen, dann bewerten – aktuell nicht einzuordnen.</t>
  </si>
  <si>
    <t>Unterlagen von Andreas\...\Literatur\Eckdaten referenzanlagen BASF.xls</t>
  </si>
  <si>
    <t>Thema</t>
  </si>
  <si>
    <t>Politische und Rechtliche Rahmenbedingungen</t>
  </si>
  <si>
    <t>Verunreinigungen</t>
  </si>
  <si>
    <t>Sicherheit</t>
  </si>
  <si>
    <t>Wasser, Hydrate &amp; Trocknung</t>
  </si>
  <si>
    <t>Verdichtung &amp; Einspeicherung</t>
  </si>
  <si>
    <t>Entspannung &amp; Ausspeicherung</t>
  </si>
  <si>
    <t>Messtechnik &amp; Monitoring</t>
  </si>
  <si>
    <t>Wirtschaftlichkeit &amp; Kosten</t>
  </si>
  <si>
    <t>Methoden, Werkzeuge &amp; Normen</t>
  </si>
  <si>
    <t>🗂 Themencluster – thematische Ordnung aller Quellen</t>
  </si>
  <si>
    <t>Cluster</t>
  </si>
  <si>
    <t>Was gehört hinein?</t>
  </si>
  <si>
    <t>Quellen-IDs</t>
  </si>
  <si>
    <t>Abdeckung / Hinweis</t>
  </si>
  <si>
    <t>Rahmen, Klimaziele &amp; Status quo DE/EU</t>
  </si>
  <si>
    <t>Warum überhaupt CO₂-Zwischenspeicherung? Emissionsmengen, CCS-/CCU-Wertschöpfungskette, Infrastrukturprojekte, gesellschaftliche Akzeptanz, Bedarf an Flexibilität.</t>
  </si>
  <si>
    <t>1; 2.1; 2.2</t>
  </si>
  <si>
    <t>Gut belegt. Q-032 ist die stärkste Bedarfsbegründung.</t>
  </si>
  <si>
    <t>Recht &amp; Regulatorik</t>
  </si>
  <si>
    <t>KSpG/KSpTG, EU-Rahmen, Genehmigungsrecht, ETS-Anforderungen an die Mengenmessung, Normung.</t>
  </si>
  <si>
    <t>Q-002 (Kap. 3), Q-022, Q-040, Q-041, Q-042, Q-072</t>
  </si>
  <si>
    <t>2.3</t>
  </si>
  <si>
    <t>LÜCKE: Es fehlt eine belastbare deutsche Rechtsquelle (KSpG/KSpTG, BBergG, EU-CCS-Richtlinie) im Volltext.</t>
  </si>
  <si>
    <t>CO₂-Stoffdaten &amp; Phasenverhalten</t>
  </si>
  <si>
    <t>Phasendiagramm, kritischer Punkt, Tripelpunkt, Dichte, Enthalpie, Joule-Thomson-Effekt, Vergleich mit CH₄ und H₂, dichte/überkritische Phase.</t>
  </si>
  <si>
    <t>Q-001, Q-007, Q-008, Q-009, Q-010, Q-011, Q-024, Q-028, Q-044 (Annex I), Q-059</t>
  </si>
  <si>
    <t>3.1; 3.2</t>
  </si>
  <si>
    <t>Sehr gut abgedeckt. Kernbestand der Arbeit.</t>
  </si>
  <si>
    <t>Verunreinigungen &amp; CO₂-Spezifikation</t>
  </si>
  <si>
    <t>Begleitstoffe (O₂, NOx, SOx, H₂S, H₂O, Glykole), Wirkung auf Phasenverhalten, Dichte, Korrosion und Injektivität, Grenzwerte und Übergabespezifikation.</t>
  </si>
  <si>
    <t>Q-001, Q-002, Q-005, Q-006, Q-019, Q-027, Q-030, Q-031, Q-040, Q-045</t>
  </si>
  <si>
    <t>3.3</t>
  </si>
  <si>
    <t>Gut abgedeckt. Q-045 (Begleitgase in Erdgasspeichern) ist der bisher ungenutzte Schatz.</t>
  </si>
  <si>
    <t>T05</t>
  </si>
  <si>
    <t>Hydratbildung und -stabilität, Wassergehalt, Trocknungsverfahren (TEG-Absorption, Molekularsieb), Flüssigkeitsabscheidung.</t>
  </si>
  <si>
    <t>3.4; 4.2; 4.3</t>
  </si>
  <si>
    <t>Gut abgedeckt; Q-050 liefert den Verfahrensvergleich, der bisher fehlte.</t>
  </si>
  <si>
    <t>T06</t>
  </si>
  <si>
    <t>Werkstoffe &amp; Korrosion</t>
  </si>
  <si>
    <t>Werkstoffauswahl für Obertageanlage, Verrohrung und Completion; Korrosion durch feuchtes CO₂; Elastomere und Nichtmetalle.</t>
  </si>
  <si>
    <t>3.5; 4.2; 4.4</t>
  </si>
  <si>
    <t>Q-004 ist die tragende Quelle. Für die Completion zusätzlich Q-029/Q-031 auswerten.</t>
  </si>
  <si>
    <t>T07</t>
  </si>
  <si>
    <t>CO₂-Abscheidung &amp; Aufbereitung (Schnittstelle)</t>
  </si>
  <si>
    <t>Nur als Randthema: woher das CO₂ kommt und in welcher Qualität es an der Übergabestelle ankommt.</t>
  </si>
  <si>
    <t>Q-002 (Kap. 4), Q-005, Q-018, Q-020, Q-044 (Kap. 3), Q-063</t>
  </si>
  <si>
    <t>2.1</t>
  </si>
  <si>
    <t>Bewusst knapp halten – nicht Gegenstand der Arbeit, nur Randbedingung.</t>
  </si>
  <si>
    <t>CO₂-Transport &amp; Infrastruktur</t>
  </si>
  <si>
    <t>Pipelinetransport in dichter Phase, Netzentwicklung Deutschland/EU, OGE-Netz, Delta Rhine Corridor, Schiffstransport, Übergabebedingungen.</t>
  </si>
  <si>
    <t>Sehr gut abgedeckt – hier eher kürzen als ausweiten.</t>
  </si>
  <si>
    <t>Prozesskette Einspeicherung: Übergabe, Filtration, Verdichtung, Zwischenkühlung, Trocknung, Einspeiseregelung.</t>
  </si>
  <si>
    <t>Gut abgedeckt, jetzt auch herstellerseitig (Q-047 bis Q-049).</t>
  </si>
  <si>
    <t>Druckreduzierung, Joule-Thomson-Abkühlung, Vorwärmebedarf, Trocknung, Phasenwechsel beim Ausspeichern.</t>
  </si>
  <si>
    <t>Q-011, Q-012, Q-028, Q-029, Q-035, Q-036, Q-050, Q-051, Q-058, Q-059</t>
  </si>
  <si>
    <t>4.3; 5</t>
  </si>
  <si>
    <t>SCHWERPUNKT DER ARBEIT und zugleich die dünnste Literaturlage – hier muss die eigene Rechnung tragen.</t>
  </si>
  <si>
    <t>Salzkaverne: Auslegung, Bohrloch &amp; Betrieb</t>
  </si>
  <si>
    <t>Solung und Geometrie, Gebirgsmechanik, Betriebsdruckfenster, Kissengas, Sole/Sumpf, Completion, Mehrphasen-Bohrlochströmung, Gassäule.</t>
  </si>
  <si>
    <t>2.4; 4.1; 4.4; 5</t>
  </si>
  <si>
    <t>Kern der Arbeit. Q-028 + Q-029/Q-031 + Q-059 sind das Fundament.</t>
  </si>
  <si>
    <t>T12</t>
  </si>
  <si>
    <t>Mengenmessung und Übergabemessung obertage, Gasanalyse, Druck-/Temperaturmessung im Bohrloch, faseroptisches Monitoring, Integritätsüberwachung.</t>
  </si>
  <si>
    <t>Sehr gut, teilweise überversorgt. Herstellerdatenblätter (Q-052/Q-054) in den Anhang.</t>
  </si>
  <si>
    <t>T13</t>
  </si>
  <si>
    <t>Sicherheit &amp; Risiken</t>
  </si>
  <si>
    <t>CO₂ als Stickgas, Blowout und Ausströmung, Zweiphasenströmung, Leckagepfade, Gefährdungsbeurteilung, Störfallszenarien.</t>
  </si>
  <si>
    <t>Q-015, Q-028, Q-043, Q-044, Q-058, Q-059, Q-062, Q-064, Q-065</t>
  </si>
  <si>
    <t>Q-059 (Fauske/Yellow Book) + Q-043 sind der Schlüssel. Ergänzend: DGUV/Störfallrecht fehlt noch.</t>
  </si>
  <si>
    <t>CAPEX/OPEX der Zwischenspeicherung, Vergleich mit Übertagespeichern, Kostenkennwerte.</t>
  </si>
  <si>
    <t>7 (optional)</t>
  </si>
  <si>
    <t>Nur ausbauen, wenn die Aufgabenstellung es verlangt – sonst weglassen.</t>
  </si>
  <si>
    <t>Stoffwertdatenbanken und -tools (NIST, CoolProp), Zustandsgleichungen, Simulationsansätze, Normen und Regelwerke als methodische Grundlage.</t>
  </si>
  <si>
    <t>3.1; 5; Anhang</t>
  </si>
  <si>
    <t>Für die Nachvollziehbarkeit der eigenen Rechnungen unverzichtbar (Modell + Version dokumentieren).</t>
  </si>
  <si>
    <t>Speicherung</t>
  </si>
  <si>
    <t>Offen</t>
  </si>
  <si>
    <t>Entspannung</t>
  </si>
  <si>
    <t>Werkstofftechnik</t>
  </si>
  <si>
    <t>Messtechnik</t>
  </si>
  <si>
    <t>Verdichtung</t>
  </si>
  <si>
    <t>Themencluster (v2)</t>
  </si>
  <si>
    <t>T01 Rahmen, Klimaziele &amp; Status quo DE/EU</t>
  </si>
  <si>
    <t>Transport</t>
  </si>
  <si>
    <t>T03 CO₂-Stoffdaten &amp; Phasenverhalten</t>
  </si>
  <si>
    <t>T04 Verunreinigungen &amp; CO₂-Spezifikation</t>
  </si>
  <si>
    <t>Ausgewertet</t>
  </si>
  <si>
    <t>Gasreinigung</t>
  </si>
  <si>
    <t>Nicht relevant</t>
  </si>
  <si>
    <t>Gaseigenschaften</t>
  </si>
  <si>
    <t>T07 CO₂-Abscheidung &amp; Aufbereitung (Schnittstelle)</t>
  </si>
  <si>
    <t>T08 CO₂-Transport &amp; Infrastruktur</t>
  </si>
  <si>
    <t>CO2 Management</t>
  </si>
  <si>
    <t>T10 Entspannung &amp; Ausspeicherung</t>
  </si>
  <si>
    <t>T11 Salzkaverne: Auslegung, Bohrloch &amp; Betrieb</t>
  </si>
  <si>
    <t>T15 Methoden, Werkzeuge &amp; Normen</t>
  </si>
  <si>
    <t>Q-074</t>
  </si>
  <si>
    <t>A comprehensive review of the mechanisms and efficiency of underground hydrogen storage</t>
  </si>
  <si>
    <t>Sugan Raj Thiyagarajan; Hossein Emadi; Athar Hussain; Prathamesh Patange; Marshall Watson; Texas Tech University / Diversified Well Logging</t>
  </si>
  <si>
    <t>H₂-Untergrundspeicherung; Salzkavernen; Speichermechanismen; Bohrlochintegrität; Monitoring; Wirtschaftlichkeit</t>
  </si>
  <si>
    <t>Der Review vergleicht Untergrundoptionen für Wasserstoff (Salzkavernen, erschöpfte Öl-/Gaslagerstätten, Aquifere und ausgekleidete Felskavernen) und behandelt Standortwahl, Speichermechanismen, mikrobielle und geochemische Wechselwirkungen, Bohrlochintegrität, Monitoring, Betriebsoptimierung und Wirtschaftlichkeit. Für diese Arbeit ist er vor allem als H₂-Referenz zur Abgrenzung des CO₂-Kavernenbetriebs nutzbar.</t>
  </si>
  <si>
    <t>H₂-Salzkavernen: Tiefe bis 2.000 m; Volumen bis 1.000.000 m³; Höhe 300–500 m; Durchmesser 50–100 m; Betriebsdruck 30–80 % des lithostatischen Drucks am Kavernendach; bei variablem Druck etwa 1/3 Kavernenvolumen Kissengas; bis 10–12 Ein-/Ausspeicherzyklen pro Jahr; Leckagerate ca. 1 % über undichte Bohrungen. Kostenbeispiel: Verdichter ca. 60 % der Einzel-CAPEX einer Salzkavernenanlage.</t>
  </si>
  <si>
    <t>Abstract; Kap. 4, insbesondere 4.1 (S. 5–6); Kap. 5 (S. 8–9); Kap. 6 und 6.8 (S. 9–14); Kap. 7 (S. 14–15); Kap. 9 (S. 16)</t>
  </si>
  <si>
    <t>Vergleichsquelle für H₂- gegenüber CO₂-Speicherung in Salzkavernen; Betriebsfenster, Kissengas, Zyklen, Integrität, Monitoring und Kosten; Einordnung in Kap. 2.4, 3.5, 4.4, 4.5 und optional 7.</t>
  </si>
  <si>
    <t>Kennwerte sind überwiegend aus referenzierten Sekundärquellen des Reviews übernommen; Definition der genannten Leckagerate und Übertragbarkeit einzelner Werte auf konkrete Kavernen prüfen.</t>
  </si>
  <si>
    <t>Breiter, zitierfähiger Review mit guter H₂-Systemübersicht. Für CO₂ nur als Vergleichs- und Methodenquelle verwenden, nicht als direkten Nachweis CO₂-spezifischer Effekte.</t>
  </si>
  <si>
    <t>T06; T12; T14</t>
  </si>
  <si>
    <t>2.4; 3.5; 4.4; 4.5; 7</t>
  </si>
  <si>
    <t>Q-003, Q-004, Q-029, Q-031, Q-039, Q-045, Q-071, Q-074</t>
  </si>
  <si>
    <t>Q-003, Q-012, Q-019, Q-028, Q-029, Q-030, Q-031, Q-033, Q-035, Q-036, Q-038, Q-039, Q-043, Q-045, Q-059, Q-074</t>
  </si>
  <si>
    <t>Q-018, Q-020, Q-029, Q-032, Q-034, Q-060, Q-063, Q-066, Q-074</t>
  </si>
  <si>
    <t>A comprehensive review of the mechanisms and efficiency of underground H2 storage.pdf; DOI: 10.1016/j.est.2022.104490</t>
  </si>
  <si>
    <t>Q-075</t>
  </si>
  <si>
    <t>DIN EN ISO 13709:2010-03 – Kreiselpumpen für die Erdöl-, petrochemische und Erdgasindustrie (ISO 13709:2009)</t>
  </si>
  <si>
    <t>DIN Deutsches Institut für Normung e. V.; CEN/TC 12; ISO/TC 115/SC 3</t>
  </si>
  <si>
    <t>Technische Norm / Internationale Norm (entspricht API Standard 610)</t>
  </si>
  <si>
    <t>Kreiselpumpen; Pumpenauslegung; Obertageanlage; Einspeicherung; Werkstoffe; Prüfung und Abnahme</t>
  </si>
  <si>
    <t>Die Norm legt Anforderungen an Kreiselpumpen einschließlich rückwärts als hydraulische Energierückgewinnungsturbinen betriebener Pumpen für Prozessanwendungen der Erdöl-, petrochemischen und Erdgasindustrie fest. Sie behandelt Grundauslegung, Druckgehäuse, Stutzenlasten, Rotoren, Dichtungen, Dynamik, Lagerung, Werkstoffe, Hilfssysteme, Instrumentierung sowie Inspektion und Prüfungen. Für die Arbeit ist sie als herstellerunabhängige Auslegungs- und Beschaffungsgrundlage für Pumpen in der CO₂-Obertageanlage nutzbar, jedoch nicht als CO₂-spezifischer Werkstoff- oder Prozessnachweis.</t>
  </si>
  <si>
    <t>Mindestauslegungslebensdauer 20 Jahre (Verschleißteile ausgenommen); mindestens 3 Jahre ununterbrochener Betrieb; bevorzugter Betriebsbereich 70–120 % des Volumenstroms am Bestpunkt (BEP).</t>
  </si>
  <si>
    <t>Kap. 1; Kap. 6, insbesondere 6.1, 6.3–6.12; Kap. 7.4–7.5; Kap. 8; Kap. 9; Anhänge</t>
  </si>
  <si>
    <t>Normative Grundlage für Auswahl, Spezifikation, Werkstoffe, Dichtung, Instrumentierung, Prüfung und Abnahme von Kreiselpumpen der Einspeicher-/Obertageanlage; Einordnung in Kap. 4.2 und ergänzend 3.5.</t>
  </si>
  <si>
    <t>Prüfen, welche Pumpen im Referenzfall tatsächlich für flüssiges oder dichtphasiges CO₂ vorgesehen sind und welche CO₂-spezifischen Anforderungen zusätzlich gelten.</t>
  </si>
  <si>
    <t>Belastbare, international etablierte Pumpennorm; hohe methodische Relevanz für Beschaffung und Auslegung, aber keine spezifische Norm für CO₂-Service. Ausgabe/Anwendbarkeit gegenüber aktuellen Projektvorgaben prüfen.</t>
  </si>
  <si>
    <t>DIN EN ISO 13709_2010-05-00_EN_1571117.pdf</t>
  </si>
  <si>
    <t>T06; T12; T15</t>
  </si>
  <si>
    <t>Q-076</t>
  </si>
  <si>
    <t>DIN EN ISO 10628-1:2015-04 – Schemata für die chemische und petrochemische Industrie – Teil 1: Spezifikation der Schemata (ISO 10628-1:2014)</t>
  </si>
  <si>
    <t>DIN Deutsches Institut für Normung e. V.; CEN/SS F01; ISO/TC 10/SC 10</t>
  </si>
  <si>
    <t>Technische Norm / Internationale Norm</t>
  </si>
  <si>
    <t>Fließschemata; Verfahrensfließbilder; R&amp;I-Fließschemata; Prozessdokumentation; Anlagenplanung</t>
  </si>
  <si>
    <t>Die Norm legt Klassifikation, Informationsinhalt und Darstellung von Fließschemata für die chemische und petrochemische Industrie fest. Sie unterscheidet Grundfließschemata, Verfahrensfließschemata sowie Rohrleitungs- und Instrumentierungsfließschemata (R&amp;I) und definiert Regeln für deren zeichnerische Ausführung. Für die Arbeit liefert sie die methodische Grundlage zur einheitlichen Dokumentation der CO₂-Obertage- und Einspeicheranlage.</t>
  </si>
  <si>
    <t>Drei Schemaarten: Grundfließschema, Verfahrensfließschema und R&amp;I-Fließschema. Fließweg und Fließrichtung sind mit Linien und Pfeilen zu kennzeichnen; Apparate, Maschinen, Rohrleitungen und Armaturen werden nach DIN EN ISO 10628-2 dargestellt; Aufgaben der Prozessleittechnik nach IEC 62424.</t>
  </si>
  <si>
    <t>Kap. 1; Kap. 4.1–4.4; Kap. 5; Anhänge A und B</t>
  </si>
  <si>
    <t>Normative Grundlage für Aufbau und Informationsgehalt von Blockfließbild, Verfahrensfließbild und R&amp;I-Fließschema der Obertageanlage; nutzbar für Kap. 4.2, 4.5 und den Anhang.</t>
  </si>
  <si>
    <t>Prüfen, welche Schemaebene für die Arbeit gefordert ist und ob DIN EN ISO 10628-2 für die verwendeten grafischen Symbole zusätzlich als Quelle aufgenommen werden muss.</t>
  </si>
  <si>
    <t>Belastbare methodische Norm für die Anlagendokumentation, jedoch keine CO₂-spezifische Auslegungs-, Werkstoff- oder Sicherheitsquelle.</t>
  </si>
  <si>
    <t>DIN EN ISO 10628-1_2015-04-00_DE_2158506.pdf</t>
  </si>
  <si>
    <t>4.2; 4.5; Anhang</t>
  </si>
  <si>
    <t>Q-077</t>
  </si>
  <si>
    <t>Archer Daniels Midland Company: CO₂ Capture from Biofuels Production and Storage into the Mt. Simon Sandstone</t>
  </si>
  <si>
    <t>U.S. Department of Energy, National Energy Technology Laboratory (NETL); Archer Daniels Midland Company; Illinois State Geological Survey; Schlumberger Carbon Services; Richland Community College</t>
  </si>
  <si>
    <t>Projektsteckbrief / Demonstrationsprojekt</t>
  </si>
  <si>
    <t>CO₂-Abscheidung; Verdichtung; Trocknung; Transport; Injektion; saline Speicherung; Monitoring</t>
  </si>
  <si>
    <t>Der NETL-Projektsteckbrief beschreibt das Illinois-ICCS-Demonstrationsprojekt in Decatur: Hochreines biogenes CO₂ aus einer Ethanolanlage wird gesammelt, verdichtet, mit TEG getrocknet, über eine kurze Pipeline transportiert und zur dauerhaften Speicherung in den salinen Mt.-Simon-Sandstein injiziert. Das Dokument liefert einen realen Referenzfall für die integrierte Prozesskette sowie für Monitoring, Verifizierung und Bilanzierung.</t>
  </si>
  <si>
    <t>Projektlaufzeit 16.11.2009–30.09.2022; Gesamtwert 207,94 Mio. USD; Kapazität bis 3.000 t CO₂/Tag bzw. etwa 1 Mio. t/Jahr; Rohgas &gt;99 % CO₂ (trocken), Feuchte &lt;3 Gew.-%; Verdichtung zunächst auf 35 psia mit 3.000-hp-Gebläse, danach auf ca. 1.425 psia und 95 °F mit vierstufigem 3.250-hp-Kolbenverdichter; TEG-Trocknung auf &lt;0,005 Gew.-% H₂O und &gt;99,9 % CO₂; optional bis 2.300 psia mit 400-hp-Boosterpumpe; 8-Zoll-Pipeline über ca. 1 mile; Injektionstiefe ca. 6.800 ft; Porosität bis 25 %.</t>
  </si>
  <si>
    <t>S. 1–3, insbesondere Project Scope; Carbon Dioxide Compression, Dehydration, and Transmission; CO₂ Injection; Monitoring of the Stored CO₂</t>
  </si>
  <si>
    <t>Praxisreferenz für die Prozesskette aus Verdichtung, TEG-Trocknung, Zwischenkühlung, Flüssigkeitsabscheidung, Pipeline und Injektion; Vergleichswerte für Kap. 2.1, 4.2 und 4.5.</t>
  </si>
  <si>
    <t>Übertragbarkeit auf CO₂-Zwischenspeicherung in Salzkavernen prüfen: Das Projekt nutzt eine dauerhafte Speicherung in einem salinen Aquifer. SI-Umrechnung und genaue Bezugsbasis einzelner Betriebsdaten kontrollieren.</t>
  </si>
  <si>
    <t>Kompakter, institutionell belastbarer Projektsteckbrief mit wertvollen realen Betriebs- und Anlagendaten; für technische Detailnachweise durch ausführlichere Projektberichte ergänzen.</t>
  </si>
  <si>
    <t>Projekt_USA_Archer Daniels Midland.pdf; NETL-Projektnummer FE0001547</t>
  </si>
  <si>
    <t>T05; T08; T12</t>
  </si>
  <si>
    <t>2.1; 4.2; 4.5</t>
  </si>
  <si>
    <t>Q-016, Q-017, Q-018, Q-029, Q-035, Q-036, Q-047, Q-048, Q-049, Q-063, Q-077</t>
  </si>
  <si>
    <t>Q-021, Q-022, Q-023, Q-025, Q-026, Q-027, Q-052, Q-053, Q-054, Q-055, Q-056, Q-057, Q-074, Q-077</t>
  </si>
  <si>
    <t>Q-078</t>
  </si>
  <si>
    <t>CO₂-Netz – Unser CO₂-Transportnetz startet</t>
  </si>
  <si>
    <t>Open Grid Europe GmbH (OGE)</t>
  </si>
  <si>
    <t>Unternehmenswebseite / Infrastrukturprojektübersicht</t>
  </si>
  <si>
    <t>CO₂-Transport; CO₂-Netz; Pipelineinfrastruktur; Exportkorridore; Carbon Management</t>
  </si>
  <si>
    <t>OGE stellt ihr geplantes CO₂-Transportnetz und die zugehörigen Korridor- und Clusterprojekte vor. Das Netz soll Abscheidungs- und Bündelungsstandorte mit Nutzungs-, Speicher- und Hafenstandorten verbinden und Exportoptionen in Nordwesteuropa erschließen. OGE geht derzeit von einem vollständigen Neubau der Infrastruktur aus, will jedoch möglichst Korridore vorhandener Infrastruktur nutzen.</t>
  </si>
  <si>
    <t>Genannte Projekte und Cluster: WHV CO₂ Corridor, Delta Rhine Corridor, Ruhbens, DK CO₂ Corridor und Cluster Elbmündung. Zielkorridore bzw. Exportoptionen: Wilhelmshaven, Rotterdam, Ellund und Antwerpen/Zeebrügge. Bestehende Erdgasleitungen sollen laut OGE wegen der technischen Anforderungen an den dichten CO₂-Transport nicht genutzt werden.</t>
  </si>
  <si>
    <t>Webseite: Abschnitte „Unser CO₂-Transportnetz startet“, „CO₂-Transportnetz – Regionen und Projekte“ und FAQ/Downloads; Abruf 27.08.2026</t>
  </si>
  <si>
    <t>Aktuelle Primärquelle für den Planungsstand des OGE-CO₂-Netzes, die räumliche Einordnung der Transportkorridore und die Anbindung an Hafen- und Exportstandorte; nutzbar in Kap. 2.2.</t>
  </si>
  <si>
    <t>Webinhalt ist veränderlich und unternehmensseitig; Aussagen zu Zeitplan, Trassen und technischer Nichtnutzung bestehender Erdgasleitungen bei späterer Verwendung erneut prüfen und möglichst mit regulatorischen bzw. unabhängigen Quellen abgleichen.</t>
  </si>
  <si>
    <t>Aktuelle Primärquelle des Projektträgers mit hoher Relevanz für die konkrete deutsche CO₂-Infrastrukturplanung; nicht als unabhängiger technischer Nachweis verwenden.</t>
  </si>
  <si>
    <t>https://oge.net/de/co2/co2-netz (Abruf: 27.08.2026)</t>
  </si>
  <si>
    <t>Q-079</t>
  </si>
  <si>
    <t>Northern Lights – CO₂ transport and storage as a service</t>
  </si>
  <si>
    <t>Northern Lights JV DA (Equinor, Shell und TotalEnergies)</t>
  </si>
  <si>
    <t>Unternehmenswebseite / CCS-Infrastrukturprojekt</t>
  </si>
  <si>
    <t>CO₂-Transport; Schiffstransport; CO₂-Speicherung; grenzüberschreitende CCS-Infrastruktur; Longship</t>
  </si>
  <si>
    <t>Northern Lights beschreibt die weltweit erste offen zugängliche CO₂-Transport- und Speicherinfrastruktur als kommerziellen Dienst. Seit dem Betriebsstart 2025 wird verflüssigtes CO₂ grenzüberschreitend per Schiff übernommen und dauerhaft gespeichert. Das Projekt bildet den Transport- und Speicherteil des norwegischen Longship-Projekts und wird für weitere europäische Emittenten ausgebaut.</t>
  </si>
  <si>
    <t>Phase 1: 1,5 Mio. t CO₂/Jahr; davon 0,8 Mio. t/Jahr für Heidelberg Materials Brevik und Hafslund Oslo Celsio reserviert. Ausbau auf mindestens 5 Mio. t/Jahr; Phase 2 laut Projektstand bis 2028. Das CO₂ muss vor der Schiffsübernahme verflüssigt und innerhalb vorgegebener Druck-, Temperatur- und Qualitätsspezifikationen bereitgestellt werden. Kommerzielle grenzüberschreitende Vereinbarungen bestehen unter anderem mit Yara Sluiskil, Ørsted und Stockholm Exergi.</t>
  </si>
  <si>
    <t>Startseite; „How to store CO₂ with Northern Lights“; Projektstand Phase 1/2; Abruf 27.08.2026</t>
  </si>
  <si>
    <t>Aktuelle Praxisreferenz für eine grenzüberschreitende CO₂-Transport- und Speicherkette, Schnittstellenspezifikationen, Schiffstransport und skalierbare Infrastruktur; nutzbar in Kap. 2.1 und 2.2 sowie als Vergleichsfall zur Zwischenspeicherung.</t>
  </si>
  <si>
    <t>Betreiberquelle mit veränderlichen Projektangaben; technische Spezifikationen und Zeitpläne bei Verwendung erneut prüfen. Das Projekt speichert dauerhaft in einer Offshore-Formation und ist kein Nachweis für temporäre Speicherung in Salzkavernen.</t>
  </si>
  <si>
    <t>Sehr relevante Primärquelle für den realen europäischen CCS-Hochlauf und grenzüberschreitende Logistik; für unabhängige technische Bewertung durch Behörden- oder Fachquellen ergänzen.</t>
  </si>
  <si>
    <t>https://norlights.com/ (Abruf: 27.08.2026)</t>
  </si>
  <si>
    <t>Q-002, Q-013, Q-020, Q-032, Q-037, Q-042, Q-044, Q-046, Q-067, Q-068, Q-069, Q-070, Q-079</t>
  </si>
  <si>
    <t>Q-002, Q-013, Q-020, Q-023, Q-037, Q-040, Q-044 (Kap. 4), Q-046, Q-058, Q-061, Q-062, Q-077, Q-078, Q-079</t>
  </si>
  <si>
    <t>KSpTG - Gesetz zur dauerhaften Speicherung und zum Transport von Kohlendioxid 1)</t>
  </si>
  <si>
    <t xml:space="preserve">KSpTG - Gesetz zur dauerhaften Speicherung und zum Transport von Kohlendioxid 1) </t>
  </si>
  <si>
    <t>Q-081</t>
  </si>
  <si>
    <t>Adsorptionstechnik</t>
  </si>
  <si>
    <t>Dieter Bathen; Marc Breitbach</t>
  </si>
  <si>
    <t>Fachbuch / VDI-Buch</t>
  </si>
  <si>
    <t>Adsorption; technische Adsorbentien; Gasreinigung; Trocknung; Molekularsiebe; Aktivkohle; Kieselgel; Aktivtonerde</t>
  </si>
  <si>
    <t>Das Fachbuch behandelt die verfahrenstechnischen Grundlagen der Adsorption, technische Adsorbentien, thermodynamische und kinetische Grundlagen, Modellierung, Regeneration sowie industrielle Gas- und Flüssigphasenprozesse. Das verlinkte Kapitel 2 systematisiert Eigenschaften und Auswahl technischer Adsorbentien und behandelt unter anderem Aktivkohle, Kohlenstoffmolekularsiebe, Kieselgel, Alumosilikate und Aktivtonerde. Für die Arbeit ist die Quelle vor allem als methodische Grundlage zur Auswahl und Einordnung von Adsorbentien für CO₂-Trocknung und Gasreinigung nutzbar.</t>
  </si>
  <si>
    <t>Kapitel 2 behandelt Charakterisierungskriterien wie Partikelgrößenverteilung, Dichte, Porosität, spezifische Oberfläche und Porenradienverteilung sowie die Adsorbentklassen Aktivkohle/-koks, Kohlenstoffmolekularsiebe, Kieselgel, Alumosilikate, Aktivtonerde und polymere Adsorbentien.</t>
  </si>
  <si>
    <t>Kap. 2 „Technische Adsorbentien“, S. 13–44; ergänzend Kap. 3–6 nach Beschaffung des Volltexts prüfen</t>
  </si>
  <si>
    <t>Grundlagenquelle für Adsorbentienauswahl bei Trocknung und Gasreinigung; methodische Einordnung von Molekularsieb, Kieselgel und Aktivtonerde; nutzbar in Kap. 3.4 und 4.2.</t>
  </si>
  <si>
    <t>Volltext/PDF noch nicht lokal vorhanden. Nach Beschaffung CO₂-spezifische Aussagen, Auslegungskennwerte und weitere relevante Kapitel prüfen.</t>
  </si>
  <si>
    <t>Etabliertes verfahrenstechnisches Fachbuch mit guter Grundlagenrelevanz. Derzeit nur vorläufig anhand bibliografischer Angaben und des Inhaltsverzeichnisses erfasst; keine CO₂-spezifischen Kennwerte übernommen.</t>
  </si>
  <si>
    <t>https://link.springer.com/chapter/10.1007/978-3-642-18235-8_2</t>
  </si>
  <si>
    <t>T07; T15</t>
  </si>
  <si>
    <t>3.4; 4.2</t>
  </si>
  <si>
    <t>Q-014, Q-015, Q-016, Q-017, Q-018, Q-050, Q-051, Q-077, Q-081</t>
  </si>
  <si>
    <t>Q-007, Q-009, Q-019, Q-033, Q-040, Q-059, Q-073, Q-076, Q-081</t>
  </si>
  <si>
    <t>Q-080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</si>
</sst>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b/>
      <sz val="20"/>
      <color rgb="FF1F1F1F"/>
      <name val="Aptos Narrow"/>
      <family val="2"/>
      <scheme val="minor"/>
    </font>
    <font>
      <b/>
      <sz val="14"/>
      <color rgb="FF1F3864"/>
      <name val="Aptos Narrow"/>
    </font>
    <font>
      <b/>
      <sz val="11"/>
      <color rgb="FFFFFFFF"/>
      <name val="Aptos Narrow"/>
    </font>
    <font>
      <b/>
      <sz val="11"/>
      <name val="Aptos Narrow"/>
    </font>
    <font>
      <sz val="14"/>
      <color theme="1"/>
      <name val="Aptos Narrow"/>
      <family val="2"/>
      <scheme val="minor"/>
    </font>
    <font>
      <sz val="18"/>
      <color theme="1"/>
      <name val="Aptos Narrow"/>
      <family val="2"/>
      <scheme val="minor"/>
    </font>
    <font>
      <sz val="18"/>
      <color theme="1"/>
      <name val="Aptos"/>
      <family val="2"/>
    </font>
    <font>
      <sz val="18"/>
      <color theme="1"/>
      <name val="Segoe UI"/>
      <family val="2"/>
    </font>
    <font>
      <u/>
      <sz val="11"/>
      <color theme="10"/>
      <name val="Aptos Narrow"/>
      <family val="2"/>
      <scheme val="minor"/>
    </font>
    <font>
      <sz val="8"/>
      <name val="Aptos Narrow"/>
      <family val="2"/>
      <scheme val="minor"/>
    </font>
  </fonts>
  <fills count="4">
    <fill>
      <patternFill patternType="none"/>
    </fill>
    <fill>
      <patternFill patternType="gray125"/>
    </fill>
    <fill>
      <patternFill patternType="solid">
        <fgColor rgb="FFD9EAF7"/>
        <bgColor indexed="64"/>
      </patternFill>
    </fill>
    <fill>
      <patternFill patternType="solid">
        <fgColor rgb="FF1F38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0" fillId="0" borderId="0" applyNumberFormat="0" applyFill="0" applyBorder="0" applyAlignment="0" applyProtection="0"/>
  </cellStyleXfs>
  <cellXfs count="24">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wrapText="1"/>
    </xf>
    <xf numFmtId="0" fontId="1" fillId="0" borderId="0" xfId="0" applyFont="1"/>
    <xf numFmtId="1" fontId="0" fillId="0" borderId="0" xfId="0" applyNumberFormat="1" applyAlignment="1">
      <alignment wrapText="1"/>
    </xf>
    <xf numFmtId="0" fontId="5" fillId="0" borderId="0" xfId="0" applyFont="1"/>
    <xf numFmtId="0" fontId="3" fillId="0" borderId="0" xfId="0" applyFont="1"/>
    <xf numFmtId="0" fontId="4" fillId="3" borderId="1" xfId="0" applyFont="1" applyFill="1" applyBorder="1" applyAlignment="1">
      <alignment vertical="center" wrapText="1"/>
    </xf>
    <xf numFmtId="0" fontId="5" fillId="0" borderId="1" xfId="0" applyFont="1" applyBorder="1" applyAlignment="1">
      <alignment vertical="top" wrapText="1"/>
    </xf>
    <xf numFmtId="0" fontId="0" fillId="0" borderId="1" xfId="0" applyBorder="1" applyAlignment="1">
      <alignment vertical="top" wrapText="1"/>
    </xf>
    <xf numFmtId="0" fontId="6" fillId="0" borderId="0" xfId="0" applyFont="1" applyAlignment="1">
      <alignment vertical="top" wrapText="1"/>
    </xf>
    <xf numFmtId="0" fontId="7" fillId="0" borderId="0" xfId="0" applyFont="1" applyAlignment="1">
      <alignment vertical="top" wrapText="1"/>
    </xf>
    <xf numFmtId="1" fontId="7" fillId="0" borderId="0" xfId="0" applyNumberFormat="1" applyFont="1" applyAlignment="1">
      <alignment vertical="top" wrapText="1"/>
    </xf>
    <xf numFmtId="0" fontId="7" fillId="0" borderId="0" xfId="0" applyFont="1" applyAlignment="1">
      <alignment vertical="center" wrapText="1"/>
    </xf>
    <xf numFmtId="0" fontId="8" fillId="0" borderId="0" xfId="0" applyFont="1" applyAlignment="1">
      <alignment horizontal="left" vertical="top" wrapText="1"/>
    </xf>
    <xf numFmtId="0" fontId="9" fillId="0" borderId="0" xfId="0" applyFont="1" applyAlignment="1">
      <alignment vertical="center" wrapText="1"/>
    </xf>
    <xf numFmtId="0" fontId="7" fillId="0" borderId="0" xfId="0" applyFont="1" applyAlignment="1">
      <alignment wrapText="1"/>
    </xf>
    <xf numFmtId="0" fontId="6" fillId="0" borderId="0" xfId="0" applyFont="1"/>
    <xf numFmtId="0" fontId="10" fillId="0" borderId="0" xfId="1"/>
    <xf numFmtId="0" fontId="7" fillId="0" borderId="0" xfId="1" applyFont="1" applyAlignment="1">
      <alignment vertical="top" wrapText="1"/>
    </xf>
    <xf numFmtId="0" fontId="2" fillId="2" borderId="0" xfId="0" applyFont="1" applyFill="1" applyAlignment="1">
      <alignment horizontal="center" vertical="top" wrapText="1"/>
    </xf>
    <xf numFmtId="0" fontId="0" fillId="0" borderId="0" xfId="0"/>
    <xf numFmtId="0" fontId="0" fillId="0" borderId="0" xfId="0" applyAlignment="1">
      <alignment wrapText="1"/>
    </xf>
  </cellXfs>
  <cellStyles count="2">
    <cellStyle name="Link" xfId="1" builtinId="8"/>
    <cellStyle name="Standard" xfId="0" builtinId="0"/>
  </cellStyles>
  <dxfs count="17">
    <dxf>
      <font>
        <strike val="0"/>
        <outline val="0"/>
        <shadow val="0"/>
        <u val="none"/>
        <vertAlign val="baseline"/>
        <sz val="18"/>
        <color theme="1"/>
      </font>
      <alignment vertical="top" wrapText="1"/>
    </dxf>
    <dxf>
      <font>
        <strike val="0"/>
        <outline val="0"/>
        <shadow val="0"/>
        <u val="none"/>
        <vertAlign val="baseline"/>
        <sz val="18"/>
        <color theme="1"/>
      </font>
      <alignment vertical="top" wrapText="1"/>
    </dxf>
    <dxf>
      <font>
        <strike val="0"/>
        <outline val="0"/>
        <shadow val="0"/>
        <u val="none"/>
        <vertAlign val="baseline"/>
        <sz val="18"/>
        <color theme="1"/>
      </font>
      <alignment vertical="top" wrapText="1"/>
    </dxf>
    <dxf>
      <font>
        <strike val="0"/>
        <outline val="0"/>
        <shadow val="0"/>
        <u val="none"/>
        <vertAlign val="baseline"/>
        <sz val="18"/>
        <color theme="1"/>
      </font>
      <alignment vertical="top" wrapText="1"/>
    </dxf>
    <dxf>
      <font>
        <strike val="0"/>
        <outline val="0"/>
        <shadow val="0"/>
        <u val="none"/>
        <vertAlign val="baseline"/>
        <sz val="18"/>
        <color theme="1"/>
      </font>
      <alignment vertical="top" wrapText="1"/>
    </dxf>
    <dxf>
      <font>
        <strike val="0"/>
        <outline val="0"/>
        <shadow val="0"/>
        <u val="none"/>
        <vertAlign val="baseline"/>
        <sz val="18"/>
        <color theme="1"/>
      </font>
      <alignment vertical="top" wrapText="1"/>
    </dxf>
    <dxf>
      <font>
        <strike val="0"/>
        <outline val="0"/>
        <shadow val="0"/>
        <u val="none"/>
        <vertAlign val="baseline"/>
        <sz val="18"/>
        <color theme="1"/>
      </font>
      <alignment vertical="top" wrapText="1"/>
    </dxf>
    <dxf>
      <font>
        <strike val="0"/>
        <outline val="0"/>
        <shadow val="0"/>
        <u val="none"/>
        <vertAlign val="baseline"/>
        <sz val="18"/>
        <color theme="1"/>
      </font>
      <alignment vertical="top" wrapText="1"/>
    </dxf>
    <dxf>
      <font>
        <strike val="0"/>
        <outline val="0"/>
        <shadow val="0"/>
        <u val="none"/>
        <vertAlign val="baseline"/>
        <sz val="18"/>
        <color theme="1"/>
      </font>
      <alignment vertical="top" wrapText="1"/>
    </dxf>
    <dxf>
      <font>
        <strike val="0"/>
        <outline val="0"/>
        <shadow val="0"/>
        <u val="none"/>
        <vertAlign val="baseline"/>
        <sz val="18"/>
        <color theme="1"/>
      </font>
      <alignment vertical="top" wrapText="1"/>
    </dxf>
    <dxf>
      <font>
        <strike val="0"/>
        <outline val="0"/>
        <shadow val="0"/>
        <u val="none"/>
        <vertAlign val="baseline"/>
        <sz val="18"/>
        <color theme="1"/>
      </font>
      <alignment vertical="top" wrapText="1"/>
    </dxf>
    <dxf>
      <font>
        <strike val="0"/>
        <outline val="0"/>
        <shadow val="0"/>
        <u val="none"/>
        <vertAlign val="baseline"/>
        <sz val="18"/>
        <color theme="1"/>
      </font>
      <numFmt numFmtId="1" formatCode="0"/>
      <alignment vertical="top" wrapText="1"/>
    </dxf>
    <dxf>
      <font>
        <strike val="0"/>
        <outline val="0"/>
        <shadow val="0"/>
        <u val="none"/>
        <vertAlign val="baseline"/>
        <sz val="18"/>
        <color theme="1"/>
      </font>
      <alignment vertical="top" wrapText="1"/>
    </dxf>
    <dxf>
      <font>
        <strike val="0"/>
        <outline val="0"/>
        <shadow val="0"/>
        <u val="none"/>
        <vertAlign val="baseline"/>
        <sz val="18"/>
        <color theme="1"/>
      </font>
      <alignment vertical="top" wrapText="1"/>
    </dxf>
    <dxf>
      <font>
        <strike val="0"/>
        <outline val="0"/>
        <shadow val="0"/>
        <u val="none"/>
        <vertAlign val="baseline"/>
        <sz val="18"/>
        <color theme="1"/>
      </font>
      <alignment vertical="top" wrapText="1"/>
    </dxf>
    <dxf>
      <font>
        <strike val="0"/>
        <outline val="0"/>
        <shadow val="0"/>
        <u val="none"/>
        <vertAlign val="baseline"/>
        <sz val="18"/>
        <color theme="1"/>
      </font>
      <alignment vertical="top" wrapText="1"/>
    </dxf>
    <dxf>
      <font>
        <strike val="0"/>
        <outline val="0"/>
        <shadow val="0"/>
        <u val="none"/>
        <vertAlign val="baseline"/>
        <sz val="14"/>
        <color theme="1"/>
        <name val="Aptos Narrow"/>
        <family val="2"/>
        <scheme val="minor"/>
      </font>
      <alignment vertical="top"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Quellenuebersicht" displayName="tblQuellenuebersicht" ref="A3:O84" totalsRowShown="0" headerRowDxfId="16" dataDxfId="15">
  <autoFilter ref="A3:O84" xr:uid="{00000000-0009-0000-0100-000001000000}"/>
  <tableColumns count="15">
    <tableColumn id="1" xr3:uid="{00000000-0010-0000-0000-000001000000}" name="Quellen-ID" dataDxfId="14">
      <calculatedColumnFormula>"Q-00" &amp; TEXT(ROW() - ROW($A$4) + 1, "[$-de-DE]0;-0")</calculatedColumnFormula>
    </tableColumn>
    <tableColumn id="2" xr3:uid="{00000000-0010-0000-0000-000002000000}" name="Titel der Quelle" dataDxfId="13"/>
    <tableColumn id="3" xr3:uid="{00000000-0010-0000-0000-000003000000}" name="Autor / Institution" dataDxfId="12"/>
    <tableColumn id="4" xr3:uid="{00000000-0010-0000-0000-000004000000}" name="Jahr" dataDxfId="11"/>
    <tableColumn id="5" xr3:uid="{00000000-0010-0000-0000-000005000000}" name="Quellentyp" dataDxfId="10"/>
    <tableColumn id="6" xr3:uid="{00000000-0010-0000-0000-000006000000}" name="Themenfeld" dataDxfId="9"/>
    <tableColumn id="7" xr3:uid="{00000000-0010-0000-0000-000007000000}" name="Relevanz" dataDxfId="8"/>
    <tableColumn id="8" xr3:uid="{00000000-0010-0000-0000-000008000000}" name="Status" dataDxfId="7"/>
    <tableColumn id="9" xr3:uid="{00000000-0010-0000-0000-000009000000}" name="Kernaussage" dataDxfId="6"/>
    <tableColumn id="10" xr3:uid="{00000000-0010-0000-0000-00000A000000}" name="Wichtige technische Daten / Zahlenwerte" dataDxfId="5"/>
    <tableColumn id="11" xr3:uid="{00000000-0010-0000-0000-00000B000000}" name="Relevante Seiten / Kapitel" dataDxfId="4"/>
    <tableColumn id="12" xr3:uid="{00000000-0010-0000-0000-00000C000000}" name="Wofür nutzbar?" dataDxfId="3"/>
    <tableColumn id="13" xr3:uid="{00000000-0010-0000-0000-00000D000000}" name="Offene Fragen" dataDxfId="2"/>
    <tableColumn id="14" xr3:uid="{00000000-0010-0000-0000-00000E000000}" name="Bewertung der Quelle" dataDxfId="1"/>
    <tableColumn id="15" xr3:uid="{00000000-0010-0000-0000-00000F000000}" name="Link / Dateiname"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esetze-im-internet.de/kspg/BJNR172610012.html" TargetMode="External"/><Relationship Id="rId1" Type="http://schemas.openxmlformats.org/officeDocument/2006/relationships/hyperlink" Target="https://www.gesetze-im-internet.de/kspg/BJNR172610012.html"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1020"/>
  <sheetViews>
    <sheetView tabSelected="1" zoomScale="55" zoomScaleNormal="55" workbookViewId="0">
      <pane ySplit="3" topLeftCell="A82" activePane="bottomLeft" state="frozen"/>
      <selection activeCell="E1" sqref="E1"/>
      <selection pane="bottomLeft" activeCell="A84" sqref="A84"/>
    </sheetView>
  </sheetViews>
  <sheetFormatPr baseColWidth="10" defaultRowHeight="14.4" x14ac:dyDescent="0.3"/>
  <cols>
    <col min="1" max="1" width="13.109375" bestFit="1" customWidth="1"/>
    <col min="2" max="2" width="40.6640625" customWidth="1"/>
    <col min="3" max="3" width="51.88671875" style="3" customWidth="1"/>
    <col min="4" max="4" width="15.109375" style="3" bestFit="1" customWidth="1"/>
    <col min="5" max="5" width="19.109375" style="3" bestFit="1" customWidth="1"/>
    <col min="6" max="6" width="36.109375" style="3" customWidth="1"/>
    <col min="7" max="7" width="13.88671875" bestFit="1" customWidth="1"/>
    <col min="8" max="8" width="19.109375" customWidth="1"/>
    <col min="9" max="9" width="34.33203125" style="3" customWidth="1"/>
    <col min="10" max="10" width="35.6640625" style="3" bestFit="1" customWidth="1"/>
    <col min="11" max="15" width="34.33203125" style="3" customWidth="1"/>
    <col min="16" max="16" width="34.5546875" bestFit="1" customWidth="1"/>
    <col min="17" max="18" width="26" customWidth="1"/>
  </cols>
  <sheetData>
    <row r="1" spans="1:18" ht="26.25" customHeight="1" x14ac:dyDescent="0.3">
      <c r="A1" s="21" t="s">
        <v>0</v>
      </c>
      <c r="B1" s="22"/>
      <c r="C1" s="23"/>
      <c r="D1" s="23"/>
      <c r="E1" s="23"/>
      <c r="F1" s="23"/>
      <c r="G1" s="22"/>
      <c r="H1" s="22"/>
      <c r="I1" s="23"/>
      <c r="J1" s="23"/>
      <c r="K1" s="23"/>
      <c r="L1" s="23"/>
      <c r="M1" s="23"/>
      <c r="N1" s="23"/>
      <c r="O1" s="23"/>
    </row>
    <row r="2" spans="1:18" x14ac:dyDescent="0.3">
      <c r="A2" s="1"/>
      <c r="B2" s="1"/>
      <c r="C2" s="1"/>
      <c r="D2" s="1"/>
      <c r="E2" s="1"/>
      <c r="F2" s="1"/>
      <c r="G2" s="1"/>
      <c r="H2" s="1"/>
      <c r="I2" s="1"/>
      <c r="J2" s="1"/>
      <c r="K2" s="1"/>
      <c r="L2" s="1"/>
      <c r="M2" s="1"/>
      <c r="N2" s="1"/>
      <c r="O2" s="1"/>
    </row>
    <row r="3" spans="1:18" s="18" customFormat="1" ht="45" customHeight="1" x14ac:dyDescent="0.35">
      <c r="A3" s="11" t="s">
        <v>1</v>
      </c>
      <c r="B3" s="11" t="s">
        <v>2</v>
      </c>
      <c r="C3" s="11" t="s">
        <v>3</v>
      </c>
      <c r="D3" s="11" t="s">
        <v>4</v>
      </c>
      <c r="E3" s="11" t="s">
        <v>5</v>
      </c>
      <c r="F3" s="11" t="s">
        <v>6</v>
      </c>
      <c r="G3" s="11" t="s">
        <v>7</v>
      </c>
      <c r="H3" s="11" t="s">
        <v>8</v>
      </c>
      <c r="I3" s="11" t="s">
        <v>9</v>
      </c>
      <c r="J3" s="11" t="s">
        <v>10</v>
      </c>
      <c r="K3" s="11" t="s">
        <v>11</v>
      </c>
      <c r="L3" s="11" t="s">
        <v>12</v>
      </c>
      <c r="M3" s="11" t="s">
        <v>13</v>
      </c>
      <c r="N3" s="11" t="s">
        <v>14</v>
      </c>
      <c r="O3" s="11" t="s">
        <v>15</v>
      </c>
      <c r="P3" s="11" t="s">
        <v>16</v>
      </c>
      <c r="Q3" s="11" t="s">
        <v>17</v>
      </c>
      <c r="R3" s="11" t="s">
        <v>18</v>
      </c>
    </row>
    <row r="4" spans="1:18" ht="156" customHeight="1" x14ac:dyDescent="0.3">
      <c r="A4" s="12" t="str">
        <f t="shared" ref="A4:A9" si="0">"Q-00" &amp; TEXT(ROW() - ROW($A$4) + 1, "[$-de-DE]0;-0")</f>
        <v>Q-001</v>
      </c>
      <c r="B4" s="12" t="s">
        <v>19</v>
      </c>
      <c r="C4" s="12" t="s">
        <v>20</v>
      </c>
      <c r="D4" s="13">
        <v>2024</v>
      </c>
      <c r="E4" s="12" t="s">
        <v>21</v>
      </c>
      <c r="F4" s="12" t="s">
        <v>22</v>
      </c>
      <c r="G4" s="12" t="s">
        <v>23</v>
      </c>
      <c r="H4" s="12" t="s">
        <v>24</v>
      </c>
      <c r="I4" s="12" t="s">
        <v>25</v>
      </c>
      <c r="J4" s="12" t="s">
        <v>26</v>
      </c>
      <c r="K4" s="12" t="s">
        <v>27</v>
      </c>
      <c r="L4" s="12" t="s">
        <v>28</v>
      </c>
      <c r="M4" s="12"/>
      <c r="N4" s="12"/>
      <c r="O4" s="12" t="s">
        <v>29</v>
      </c>
    </row>
    <row r="5" spans="1:18" ht="165" customHeight="1" x14ac:dyDescent="0.3">
      <c r="A5" s="14" t="str">
        <f t="shared" si="0"/>
        <v>Q-002</v>
      </c>
      <c r="B5" s="12" t="s">
        <v>30</v>
      </c>
      <c r="C5" s="12" t="s">
        <v>31</v>
      </c>
      <c r="D5" s="13">
        <v>2026</v>
      </c>
      <c r="E5" s="12" t="s">
        <v>32</v>
      </c>
      <c r="F5" s="12" t="s">
        <v>33</v>
      </c>
      <c r="G5" s="12" t="s">
        <v>23</v>
      </c>
      <c r="H5" s="12" t="s">
        <v>24</v>
      </c>
      <c r="I5" s="12" t="s">
        <v>34</v>
      </c>
      <c r="J5" s="15" t="s">
        <v>35</v>
      </c>
      <c r="K5" s="12" t="s">
        <v>36</v>
      </c>
      <c r="L5" s="12" t="s">
        <v>37</v>
      </c>
      <c r="M5" s="12"/>
      <c r="N5" s="16" t="s">
        <v>38</v>
      </c>
      <c r="O5" s="12" t="s">
        <v>39</v>
      </c>
    </row>
    <row r="6" spans="1:18" s="2" customFormat="1" ht="210" customHeight="1" x14ac:dyDescent="0.45">
      <c r="A6" s="12" t="str">
        <f t="shared" si="0"/>
        <v>Q-003</v>
      </c>
      <c r="B6" s="12" t="s">
        <v>40</v>
      </c>
      <c r="C6" s="12" t="s">
        <v>41</v>
      </c>
      <c r="D6" s="13">
        <v>2022</v>
      </c>
      <c r="E6" s="12" t="s">
        <v>42</v>
      </c>
      <c r="F6" s="12" t="s">
        <v>43</v>
      </c>
      <c r="G6" s="12" t="s">
        <v>23</v>
      </c>
      <c r="H6" s="12" t="s">
        <v>44</v>
      </c>
      <c r="I6" s="14" t="s">
        <v>45</v>
      </c>
      <c r="J6" s="12"/>
      <c r="K6" s="17" t="s">
        <v>46</v>
      </c>
      <c r="L6" s="17" t="s">
        <v>47</v>
      </c>
      <c r="M6" s="12"/>
      <c r="N6" s="12"/>
      <c r="O6" s="14" t="s">
        <v>48</v>
      </c>
    </row>
    <row r="7" spans="1:18" s="2" customFormat="1" ht="150" customHeight="1" x14ac:dyDescent="0.3">
      <c r="A7" s="12" t="str">
        <f t="shared" si="0"/>
        <v>Q-004</v>
      </c>
      <c r="B7" s="12" t="s">
        <v>49</v>
      </c>
      <c r="C7" s="12" t="s">
        <v>50</v>
      </c>
      <c r="D7" s="13">
        <v>2022</v>
      </c>
      <c r="E7" s="12" t="s">
        <v>51</v>
      </c>
      <c r="F7" s="12" t="s">
        <v>52</v>
      </c>
      <c r="G7" s="12" t="s">
        <v>23</v>
      </c>
      <c r="H7" s="12" t="s">
        <v>44</v>
      </c>
      <c r="I7" s="12" t="s">
        <v>53</v>
      </c>
      <c r="J7" s="12"/>
      <c r="K7" s="12" t="s">
        <v>54</v>
      </c>
      <c r="L7" s="12" t="s">
        <v>55</v>
      </c>
      <c r="M7" s="12"/>
      <c r="N7" s="12"/>
      <c r="O7" s="12" t="s">
        <v>56</v>
      </c>
    </row>
    <row r="8" spans="1:18" s="1" customFormat="1" ht="180" customHeight="1" x14ac:dyDescent="0.3">
      <c r="A8" s="12" t="str">
        <f t="shared" si="0"/>
        <v>Q-005</v>
      </c>
      <c r="B8" s="12" t="s">
        <v>57</v>
      </c>
      <c r="C8" s="12" t="s">
        <v>58</v>
      </c>
      <c r="D8" s="13">
        <v>2004</v>
      </c>
      <c r="E8" s="12" t="s">
        <v>59</v>
      </c>
      <c r="F8" s="12" t="s">
        <v>60</v>
      </c>
      <c r="G8" s="12" t="s">
        <v>23</v>
      </c>
      <c r="H8" s="12" t="s">
        <v>44</v>
      </c>
      <c r="I8" s="12" t="s">
        <v>61</v>
      </c>
      <c r="J8" s="12" t="s">
        <v>62</v>
      </c>
      <c r="K8" s="12" t="s">
        <v>63</v>
      </c>
      <c r="L8" s="12" t="s">
        <v>64</v>
      </c>
      <c r="M8" s="12"/>
      <c r="N8" s="12" t="s">
        <v>65</v>
      </c>
      <c r="O8" s="12" t="s">
        <v>66</v>
      </c>
    </row>
    <row r="9" spans="1:18" ht="195" customHeight="1" x14ac:dyDescent="0.45">
      <c r="A9" s="12" t="str">
        <f t="shared" si="0"/>
        <v>Q-006</v>
      </c>
      <c r="B9" s="17" t="s">
        <v>67</v>
      </c>
      <c r="C9" s="17" t="s">
        <v>68</v>
      </c>
      <c r="D9" s="13">
        <v>2011</v>
      </c>
      <c r="E9" s="17" t="s">
        <v>69</v>
      </c>
      <c r="F9" s="12" t="s">
        <v>70</v>
      </c>
      <c r="G9" s="12" t="s">
        <v>23</v>
      </c>
      <c r="H9" s="12" t="s">
        <v>44</v>
      </c>
      <c r="I9" s="14" t="s">
        <v>71</v>
      </c>
      <c r="J9" s="17" t="s">
        <v>72</v>
      </c>
      <c r="K9" s="17" t="s">
        <v>73</v>
      </c>
      <c r="L9" s="17" t="s">
        <v>74</v>
      </c>
      <c r="M9" s="12"/>
      <c r="N9" s="12"/>
      <c r="O9" s="14" t="s">
        <v>75</v>
      </c>
    </row>
    <row r="10" spans="1:18" ht="90" customHeight="1" x14ac:dyDescent="0.3">
      <c r="A10" s="12" t="s">
        <v>76</v>
      </c>
      <c r="B10" s="12" t="s">
        <v>77</v>
      </c>
      <c r="C10" s="12" t="s">
        <v>78</v>
      </c>
      <c r="D10" s="13" t="s">
        <v>79</v>
      </c>
      <c r="E10" s="12" t="s">
        <v>80</v>
      </c>
      <c r="F10" s="12" t="s">
        <v>81</v>
      </c>
      <c r="G10" s="12" t="s">
        <v>82</v>
      </c>
      <c r="H10" s="12" t="s">
        <v>44</v>
      </c>
      <c r="I10" s="12" t="s">
        <v>83</v>
      </c>
      <c r="J10" s="12" t="s">
        <v>84</v>
      </c>
      <c r="K10" s="12" t="s">
        <v>85</v>
      </c>
      <c r="L10" s="12" t="s">
        <v>86</v>
      </c>
      <c r="M10" s="12" t="s">
        <v>87</v>
      </c>
      <c r="N10" s="12" t="s">
        <v>88</v>
      </c>
      <c r="O10" s="12" t="s">
        <v>89</v>
      </c>
      <c r="P10" t="s">
        <v>90</v>
      </c>
      <c r="Q10" t="s">
        <v>91</v>
      </c>
      <c r="R10" t="s">
        <v>92</v>
      </c>
    </row>
    <row r="11" spans="1:18" ht="135" customHeight="1" x14ac:dyDescent="0.3">
      <c r="A11" s="12" t="s">
        <v>93</v>
      </c>
      <c r="B11" s="12" t="s">
        <v>94</v>
      </c>
      <c r="C11" s="12" t="s">
        <v>95</v>
      </c>
      <c r="D11" s="13" t="s">
        <v>96</v>
      </c>
      <c r="E11" s="12" t="s">
        <v>97</v>
      </c>
      <c r="F11" s="12" t="s">
        <v>98</v>
      </c>
      <c r="G11" s="12" t="s">
        <v>82</v>
      </c>
      <c r="H11" s="12" t="s">
        <v>44</v>
      </c>
      <c r="I11" s="12" t="s">
        <v>99</v>
      </c>
      <c r="J11" s="12" t="s">
        <v>100</v>
      </c>
      <c r="K11" s="12" t="s">
        <v>101</v>
      </c>
      <c r="L11" s="12" t="s">
        <v>102</v>
      </c>
      <c r="M11" s="12" t="s">
        <v>103</v>
      </c>
      <c r="N11" s="12" t="s">
        <v>104</v>
      </c>
      <c r="O11" s="12" t="s">
        <v>105</v>
      </c>
      <c r="P11" t="s">
        <v>106</v>
      </c>
      <c r="Q11" t="s">
        <v>107</v>
      </c>
      <c r="R11" t="s">
        <v>108</v>
      </c>
    </row>
    <row r="12" spans="1:18" ht="120" customHeight="1" x14ac:dyDescent="0.3">
      <c r="A12" s="12" t="s">
        <v>109</v>
      </c>
      <c r="B12" s="12" t="s">
        <v>110</v>
      </c>
      <c r="C12" s="12" t="s">
        <v>111</v>
      </c>
      <c r="D12" s="13" t="s">
        <v>112</v>
      </c>
      <c r="E12" s="12" t="s">
        <v>113</v>
      </c>
      <c r="F12" s="12" t="s">
        <v>114</v>
      </c>
      <c r="G12" s="12" t="s">
        <v>82</v>
      </c>
      <c r="H12" s="12" t="s">
        <v>44</v>
      </c>
      <c r="I12" s="12" t="s">
        <v>115</v>
      </c>
      <c r="J12" s="12" t="s">
        <v>116</v>
      </c>
      <c r="K12" s="12" t="s">
        <v>117</v>
      </c>
      <c r="L12" s="12" t="s">
        <v>118</v>
      </c>
      <c r="M12" s="12" t="s">
        <v>119</v>
      </c>
      <c r="N12" s="12" t="s">
        <v>120</v>
      </c>
      <c r="O12" s="12" t="s">
        <v>121</v>
      </c>
      <c r="P12" t="s">
        <v>90</v>
      </c>
      <c r="Q12" t="s">
        <v>91</v>
      </c>
      <c r="R12" t="s">
        <v>122</v>
      </c>
    </row>
    <row r="13" spans="1:18" ht="105" customHeight="1" x14ac:dyDescent="0.3">
      <c r="A13" s="12" t="s">
        <v>123</v>
      </c>
      <c r="B13" s="12" t="s">
        <v>124</v>
      </c>
      <c r="C13" s="12" t="s">
        <v>125</v>
      </c>
      <c r="D13" s="13" t="s">
        <v>126</v>
      </c>
      <c r="E13" s="12" t="s">
        <v>127</v>
      </c>
      <c r="F13" s="12" t="s">
        <v>128</v>
      </c>
      <c r="G13" s="12" t="s">
        <v>82</v>
      </c>
      <c r="H13" s="12" t="s">
        <v>44</v>
      </c>
      <c r="I13" s="12" t="s">
        <v>129</v>
      </c>
      <c r="J13" s="12" t="s">
        <v>130</v>
      </c>
      <c r="K13" s="12" t="s">
        <v>131</v>
      </c>
      <c r="L13" s="12" t="s">
        <v>132</v>
      </c>
      <c r="M13" s="12" t="s">
        <v>133</v>
      </c>
      <c r="N13" s="12" t="s">
        <v>134</v>
      </c>
      <c r="O13" s="12" t="s">
        <v>135</v>
      </c>
      <c r="P13" t="s">
        <v>106</v>
      </c>
      <c r="R13" t="s">
        <v>108</v>
      </c>
    </row>
    <row r="14" spans="1:18" ht="180" customHeight="1" x14ac:dyDescent="0.3">
      <c r="A14" s="12" t="s">
        <v>136</v>
      </c>
      <c r="B14" s="12" t="s">
        <v>137</v>
      </c>
      <c r="C14" s="12" t="s">
        <v>138</v>
      </c>
      <c r="D14" s="13">
        <v>2022</v>
      </c>
      <c r="E14" s="12" t="s">
        <v>139</v>
      </c>
      <c r="F14" s="12" t="s">
        <v>140</v>
      </c>
      <c r="G14" s="12" t="s">
        <v>82</v>
      </c>
      <c r="H14" s="12" t="s">
        <v>44</v>
      </c>
      <c r="I14" s="12" t="s">
        <v>141</v>
      </c>
      <c r="J14" s="12" t="s">
        <v>142</v>
      </c>
      <c r="K14" s="12" t="s">
        <v>143</v>
      </c>
      <c r="L14" s="12" t="s">
        <v>144</v>
      </c>
      <c r="M14" s="12" t="s">
        <v>145</v>
      </c>
      <c r="N14" s="12" t="s">
        <v>146</v>
      </c>
      <c r="O14" s="12" t="s">
        <v>147</v>
      </c>
      <c r="P14" t="s">
        <v>106</v>
      </c>
      <c r="Q14" t="s">
        <v>148</v>
      </c>
      <c r="R14" t="s">
        <v>149</v>
      </c>
    </row>
    <row r="15" spans="1:18" ht="180" customHeight="1" x14ac:dyDescent="0.3">
      <c r="A15" s="12" t="s">
        <v>150</v>
      </c>
      <c r="B15" s="12" t="s">
        <v>151</v>
      </c>
      <c r="C15" s="12" t="s">
        <v>152</v>
      </c>
      <c r="D15" s="13">
        <v>2026</v>
      </c>
      <c r="E15" s="12" t="s">
        <v>153</v>
      </c>
      <c r="F15" s="12" t="s">
        <v>154</v>
      </c>
      <c r="G15" s="12" t="s">
        <v>23</v>
      </c>
      <c r="H15" s="12" t="s">
        <v>24</v>
      </c>
      <c r="I15" s="12" t="s">
        <v>155</v>
      </c>
      <c r="J15" s="12" t="s">
        <v>156</v>
      </c>
      <c r="K15" s="12" t="s">
        <v>157</v>
      </c>
      <c r="L15" s="12" t="s">
        <v>158</v>
      </c>
      <c r="M15" s="12" t="s">
        <v>159</v>
      </c>
      <c r="N15" s="12" t="s">
        <v>160</v>
      </c>
      <c r="O15" s="12" t="s">
        <v>161</v>
      </c>
      <c r="P15" t="s">
        <v>162</v>
      </c>
      <c r="Q15" t="s">
        <v>163</v>
      </c>
      <c r="R15" t="s">
        <v>164</v>
      </c>
    </row>
    <row r="16" spans="1:18" ht="195" customHeight="1" x14ac:dyDescent="0.3">
      <c r="A16" s="12" t="s">
        <v>165</v>
      </c>
      <c r="B16" s="12" t="s">
        <v>166</v>
      </c>
      <c r="C16" s="12" t="s">
        <v>167</v>
      </c>
      <c r="D16" s="13">
        <v>2025</v>
      </c>
      <c r="E16" s="12" t="s">
        <v>168</v>
      </c>
      <c r="F16" s="12" t="s">
        <v>169</v>
      </c>
      <c r="G16" s="12" t="s">
        <v>23</v>
      </c>
      <c r="H16" s="12" t="s">
        <v>24</v>
      </c>
      <c r="I16" s="12" t="s">
        <v>170</v>
      </c>
      <c r="J16" s="12" t="s">
        <v>171</v>
      </c>
      <c r="K16" s="12" t="s">
        <v>172</v>
      </c>
      <c r="L16" s="12" t="s">
        <v>173</v>
      </c>
      <c r="M16" s="12" t="s">
        <v>174</v>
      </c>
      <c r="N16" s="12" t="s">
        <v>175</v>
      </c>
      <c r="O16" s="12" t="s">
        <v>176</v>
      </c>
      <c r="P16" t="s">
        <v>177</v>
      </c>
      <c r="Q16" t="s">
        <v>178</v>
      </c>
      <c r="R16" t="s">
        <v>179</v>
      </c>
    </row>
    <row r="17" spans="1:18" ht="180" customHeight="1" x14ac:dyDescent="0.3">
      <c r="A17" s="12" t="s">
        <v>180</v>
      </c>
      <c r="B17" s="12" t="s">
        <v>181</v>
      </c>
      <c r="C17" s="12" t="s">
        <v>182</v>
      </c>
      <c r="D17" s="13">
        <v>2015</v>
      </c>
      <c r="E17" s="12" t="s">
        <v>183</v>
      </c>
      <c r="F17" s="12" t="s">
        <v>184</v>
      </c>
      <c r="G17" s="12" t="s">
        <v>23</v>
      </c>
      <c r="H17" s="12" t="s">
        <v>24</v>
      </c>
      <c r="I17" s="12" t="s">
        <v>185</v>
      </c>
      <c r="J17" s="12" t="s">
        <v>186</v>
      </c>
      <c r="K17" s="12" t="s">
        <v>187</v>
      </c>
      <c r="L17" s="12" t="s">
        <v>188</v>
      </c>
      <c r="M17" s="12" t="s">
        <v>189</v>
      </c>
      <c r="N17" s="12" t="s">
        <v>190</v>
      </c>
      <c r="O17" s="12" t="s">
        <v>191</v>
      </c>
      <c r="P17" t="s">
        <v>192</v>
      </c>
      <c r="Q17" t="s">
        <v>91</v>
      </c>
      <c r="R17" t="s">
        <v>193</v>
      </c>
    </row>
    <row r="18" spans="1:18" ht="285" customHeight="1" x14ac:dyDescent="0.3">
      <c r="A18" s="12" t="s">
        <v>194</v>
      </c>
      <c r="B18" s="12" t="s">
        <v>195</v>
      </c>
      <c r="C18" s="12" t="s">
        <v>196</v>
      </c>
      <c r="D18" s="13">
        <v>2024</v>
      </c>
      <c r="E18" s="12" t="s">
        <v>197</v>
      </c>
      <c r="F18" s="12" t="s">
        <v>198</v>
      </c>
      <c r="G18" s="12" t="s">
        <v>23</v>
      </c>
      <c r="H18" s="12" t="s">
        <v>24</v>
      </c>
      <c r="I18" s="12" t="s">
        <v>199</v>
      </c>
      <c r="J18" s="12" t="s">
        <v>200</v>
      </c>
      <c r="K18" s="12" t="s">
        <v>201</v>
      </c>
      <c r="L18" s="12" t="s">
        <v>202</v>
      </c>
      <c r="M18" s="12" t="s">
        <v>203</v>
      </c>
      <c r="N18" s="12" t="s">
        <v>204</v>
      </c>
      <c r="O18" s="12" t="s">
        <v>205</v>
      </c>
      <c r="P18" t="s">
        <v>192</v>
      </c>
      <c r="Q18" t="s">
        <v>206</v>
      </c>
      <c r="R18" t="s">
        <v>207</v>
      </c>
    </row>
    <row r="19" spans="1:18" ht="195" customHeight="1" x14ac:dyDescent="0.3">
      <c r="A19" s="12" t="s">
        <v>208</v>
      </c>
      <c r="B19" s="12" t="s">
        <v>209</v>
      </c>
      <c r="C19" s="12" t="s">
        <v>210</v>
      </c>
      <c r="D19" s="13">
        <v>2023</v>
      </c>
      <c r="E19" s="12" t="s">
        <v>211</v>
      </c>
      <c r="F19" s="12" t="s">
        <v>212</v>
      </c>
      <c r="G19" s="12" t="s">
        <v>23</v>
      </c>
      <c r="H19" s="12" t="s">
        <v>24</v>
      </c>
      <c r="I19" s="12" t="s">
        <v>213</v>
      </c>
      <c r="J19" s="12" t="s">
        <v>214</v>
      </c>
      <c r="K19" s="12" t="s">
        <v>215</v>
      </c>
      <c r="L19" s="12" t="s">
        <v>216</v>
      </c>
      <c r="M19" s="12" t="s">
        <v>217</v>
      </c>
      <c r="N19" s="12" t="s">
        <v>218</v>
      </c>
      <c r="O19" s="12" t="s">
        <v>219</v>
      </c>
      <c r="P19" t="s">
        <v>220</v>
      </c>
      <c r="Q19" t="s">
        <v>221</v>
      </c>
      <c r="R19" t="s">
        <v>222</v>
      </c>
    </row>
    <row r="20" spans="1:18" ht="210" customHeight="1" x14ac:dyDescent="0.3">
      <c r="A20" s="12" t="s">
        <v>223</v>
      </c>
      <c r="B20" s="12" t="s">
        <v>224</v>
      </c>
      <c r="C20" s="12" t="s">
        <v>225</v>
      </c>
      <c r="D20" s="13">
        <v>2010</v>
      </c>
      <c r="E20" s="12" t="s">
        <v>226</v>
      </c>
      <c r="F20" s="12" t="s">
        <v>227</v>
      </c>
      <c r="G20" s="12" t="s">
        <v>23</v>
      </c>
      <c r="H20" s="12" t="s">
        <v>24</v>
      </c>
      <c r="I20" s="12" t="s">
        <v>228</v>
      </c>
      <c r="J20" s="12" t="s">
        <v>229</v>
      </c>
      <c r="K20" s="12" t="s">
        <v>230</v>
      </c>
      <c r="L20" s="12" t="s">
        <v>231</v>
      </c>
      <c r="M20" s="12" t="s">
        <v>232</v>
      </c>
      <c r="N20" s="12" t="s">
        <v>233</v>
      </c>
      <c r="O20" s="12" t="s">
        <v>234</v>
      </c>
      <c r="P20" t="s">
        <v>220</v>
      </c>
      <c r="Q20" t="s">
        <v>235</v>
      </c>
      <c r="R20" t="s">
        <v>222</v>
      </c>
    </row>
    <row r="21" spans="1:18" ht="225" customHeight="1" x14ac:dyDescent="0.3">
      <c r="A21" s="12" t="s">
        <v>236</v>
      </c>
      <c r="B21" s="12" t="s">
        <v>237</v>
      </c>
      <c r="C21" s="12" t="s">
        <v>238</v>
      </c>
      <c r="D21" s="13" t="s">
        <v>239</v>
      </c>
      <c r="E21" s="12" t="s">
        <v>240</v>
      </c>
      <c r="F21" s="12" t="s">
        <v>241</v>
      </c>
      <c r="G21" s="12" t="s">
        <v>23</v>
      </c>
      <c r="H21" s="12" t="s">
        <v>24</v>
      </c>
      <c r="I21" s="12" t="s">
        <v>242</v>
      </c>
      <c r="J21" s="12" t="s">
        <v>243</v>
      </c>
      <c r="K21" s="12" t="s">
        <v>244</v>
      </c>
      <c r="L21" s="12" t="s">
        <v>245</v>
      </c>
      <c r="M21" s="12" t="s">
        <v>246</v>
      </c>
      <c r="N21" s="12" t="s">
        <v>247</v>
      </c>
      <c r="O21" s="12" t="s">
        <v>248</v>
      </c>
      <c r="P21" t="s">
        <v>220</v>
      </c>
      <c r="Q21" t="s">
        <v>249</v>
      </c>
      <c r="R21" t="s">
        <v>222</v>
      </c>
    </row>
    <row r="22" spans="1:18" ht="225" customHeight="1" x14ac:dyDescent="0.3">
      <c r="A22" s="12" t="s">
        <v>250</v>
      </c>
      <c r="B22" s="12" t="s">
        <v>251</v>
      </c>
      <c r="C22" s="12" t="s">
        <v>252</v>
      </c>
      <c r="D22" s="13">
        <v>2026</v>
      </c>
      <c r="E22" s="12" t="s">
        <v>253</v>
      </c>
      <c r="F22" s="12" t="s">
        <v>254</v>
      </c>
      <c r="G22" s="12" t="s">
        <v>23</v>
      </c>
      <c r="H22" s="12" t="s">
        <v>24</v>
      </c>
      <c r="I22" s="12" t="s">
        <v>255</v>
      </c>
      <c r="J22" s="12" t="s">
        <v>256</v>
      </c>
      <c r="K22" s="12" t="s">
        <v>257</v>
      </c>
      <c r="L22" s="12" t="s">
        <v>258</v>
      </c>
      <c r="M22" s="12" t="s">
        <v>259</v>
      </c>
      <c r="N22" s="12" t="s">
        <v>260</v>
      </c>
      <c r="O22" s="12" t="s">
        <v>261</v>
      </c>
      <c r="P22" t="s">
        <v>162</v>
      </c>
      <c r="Q22" t="s">
        <v>262</v>
      </c>
      <c r="R22" t="s">
        <v>263</v>
      </c>
    </row>
    <row r="23" spans="1:18" ht="180" customHeight="1" x14ac:dyDescent="0.3">
      <c r="A23" s="12" t="s">
        <v>264</v>
      </c>
      <c r="B23" s="12" t="s">
        <v>265</v>
      </c>
      <c r="C23" s="12" t="s">
        <v>266</v>
      </c>
      <c r="D23" s="13">
        <v>2007</v>
      </c>
      <c r="E23" s="12" t="s">
        <v>267</v>
      </c>
      <c r="F23" s="12" t="s">
        <v>268</v>
      </c>
      <c r="G23" s="12" t="s">
        <v>23</v>
      </c>
      <c r="H23" s="12" t="s">
        <v>269</v>
      </c>
      <c r="I23" s="12" t="s">
        <v>270</v>
      </c>
      <c r="J23" s="12" t="s">
        <v>271</v>
      </c>
      <c r="K23" s="12" t="s">
        <v>272</v>
      </c>
      <c r="L23" s="12" t="s">
        <v>273</v>
      </c>
      <c r="M23" s="12" t="s">
        <v>274</v>
      </c>
      <c r="N23" s="12" t="s">
        <v>275</v>
      </c>
      <c r="O23" s="12" t="s">
        <v>276</v>
      </c>
      <c r="P23" t="s">
        <v>277</v>
      </c>
      <c r="Q23" t="s">
        <v>278</v>
      </c>
      <c r="R23" t="s">
        <v>279</v>
      </c>
    </row>
    <row r="24" spans="1:18" ht="195" customHeight="1" x14ac:dyDescent="0.3">
      <c r="A24" s="12" t="s">
        <v>280</v>
      </c>
      <c r="B24" s="12" t="s">
        <v>281</v>
      </c>
      <c r="C24" s="12" t="s">
        <v>282</v>
      </c>
      <c r="D24" s="13">
        <v>2025</v>
      </c>
      <c r="E24" s="12" t="s">
        <v>283</v>
      </c>
      <c r="F24" s="12" t="s">
        <v>284</v>
      </c>
      <c r="G24" s="12" t="s">
        <v>285</v>
      </c>
      <c r="H24" s="12" t="s">
        <v>269</v>
      </c>
      <c r="I24" s="12" t="s">
        <v>286</v>
      </c>
      <c r="J24" s="12" t="s">
        <v>287</v>
      </c>
      <c r="K24" s="12" t="s">
        <v>288</v>
      </c>
      <c r="L24" s="12" t="s">
        <v>289</v>
      </c>
      <c r="M24" s="12" t="s">
        <v>290</v>
      </c>
      <c r="N24" s="12" t="s">
        <v>291</v>
      </c>
      <c r="O24" s="12" t="s">
        <v>292</v>
      </c>
      <c r="P24" t="s">
        <v>293</v>
      </c>
      <c r="Q24" t="s">
        <v>294</v>
      </c>
      <c r="R24" t="s">
        <v>295</v>
      </c>
    </row>
    <row r="25" spans="1:18" ht="135" customHeight="1" x14ac:dyDescent="0.3">
      <c r="A25" s="12" t="s">
        <v>296</v>
      </c>
      <c r="B25" s="12" t="s">
        <v>297</v>
      </c>
      <c r="C25" s="12" t="s">
        <v>298</v>
      </c>
      <c r="D25" s="13">
        <v>2022</v>
      </c>
      <c r="E25" s="12" t="s">
        <v>299</v>
      </c>
      <c r="F25" s="12" t="s">
        <v>300</v>
      </c>
      <c r="G25" s="12" t="s">
        <v>23</v>
      </c>
      <c r="H25" s="12" t="s">
        <v>44</v>
      </c>
      <c r="I25" s="12" t="s">
        <v>301</v>
      </c>
      <c r="J25" s="12" t="s">
        <v>302</v>
      </c>
      <c r="K25" s="12" t="s">
        <v>303</v>
      </c>
      <c r="L25" s="12" t="s">
        <v>304</v>
      </c>
      <c r="M25" s="12" t="s">
        <v>305</v>
      </c>
      <c r="N25" s="12" t="s">
        <v>306</v>
      </c>
      <c r="O25" s="12" t="s">
        <v>307</v>
      </c>
      <c r="P25" t="s">
        <v>293</v>
      </c>
      <c r="Q25" t="s">
        <v>308</v>
      </c>
      <c r="R25" t="s">
        <v>295</v>
      </c>
    </row>
    <row r="26" spans="1:18" ht="150" customHeight="1" x14ac:dyDescent="0.3">
      <c r="A26" s="12" t="s">
        <v>309</v>
      </c>
      <c r="B26" s="12" t="s">
        <v>310</v>
      </c>
      <c r="C26" s="12" t="s">
        <v>311</v>
      </c>
      <c r="D26" s="13">
        <v>2024</v>
      </c>
      <c r="E26" s="12" t="s">
        <v>312</v>
      </c>
      <c r="F26" s="12" t="s">
        <v>313</v>
      </c>
      <c r="G26" s="12" t="s">
        <v>23</v>
      </c>
      <c r="H26" s="12" t="s">
        <v>44</v>
      </c>
      <c r="I26" s="12" t="s">
        <v>314</v>
      </c>
      <c r="J26" s="12" t="s">
        <v>315</v>
      </c>
      <c r="K26" s="12" t="s">
        <v>316</v>
      </c>
      <c r="L26" s="12" t="s">
        <v>317</v>
      </c>
      <c r="M26" s="12" t="s">
        <v>318</v>
      </c>
      <c r="N26" s="12" t="s">
        <v>319</v>
      </c>
      <c r="O26" s="12" t="s">
        <v>320</v>
      </c>
      <c r="P26" t="s">
        <v>293</v>
      </c>
      <c r="Q26" t="s">
        <v>294</v>
      </c>
      <c r="R26" t="s">
        <v>295</v>
      </c>
    </row>
    <row r="27" spans="1:18" ht="135" customHeight="1" x14ac:dyDescent="0.3">
      <c r="A27" s="12" t="s">
        <v>321</v>
      </c>
      <c r="B27" s="12" t="s">
        <v>322</v>
      </c>
      <c r="C27" s="12" t="s">
        <v>323</v>
      </c>
      <c r="D27" s="13">
        <v>2025</v>
      </c>
      <c r="E27" s="12" t="s">
        <v>324</v>
      </c>
      <c r="F27" s="12" t="s">
        <v>325</v>
      </c>
      <c r="G27" s="12" t="s">
        <v>82</v>
      </c>
      <c r="H27" s="12" t="s">
        <v>44</v>
      </c>
      <c r="I27" s="12" t="s">
        <v>326</v>
      </c>
      <c r="J27" s="12" t="s">
        <v>327</v>
      </c>
      <c r="K27" s="12" t="s">
        <v>328</v>
      </c>
      <c r="L27" s="12" t="s">
        <v>329</v>
      </c>
      <c r="M27" s="12" t="s">
        <v>330</v>
      </c>
      <c r="N27" s="12" t="s">
        <v>331</v>
      </c>
      <c r="O27" s="12" t="s">
        <v>332</v>
      </c>
      <c r="P27" t="s">
        <v>106</v>
      </c>
      <c r="Q27" t="s">
        <v>294</v>
      </c>
      <c r="R27" t="s">
        <v>333</v>
      </c>
    </row>
    <row r="28" spans="1:18" ht="150" customHeight="1" x14ac:dyDescent="0.3">
      <c r="A28" s="12" t="s">
        <v>334</v>
      </c>
      <c r="B28" s="12" t="s">
        <v>335</v>
      </c>
      <c r="C28" s="12" t="s">
        <v>336</v>
      </c>
      <c r="D28" s="13">
        <v>2017</v>
      </c>
      <c r="E28" s="12" t="s">
        <v>324</v>
      </c>
      <c r="F28" s="12" t="s">
        <v>337</v>
      </c>
      <c r="G28" s="12" t="s">
        <v>23</v>
      </c>
      <c r="H28" s="12" t="s">
        <v>44</v>
      </c>
      <c r="I28" s="12" t="s">
        <v>338</v>
      </c>
      <c r="J28" s="12" t="s">
        <v>339</v>
      </c>
      <c r="K28" s="12" t="s">
        <v>340</v>
      </c>
      <c r="L28" s="12" t="s">
        <v>341</v>
      </c>
      <c r="M28" s="12" t="s">
        <v>342</v>
      </c>
      <c r="N28" s="12" t="s">
        <v>343</v>
      </c>
      <c r="O28" s="12" t="s">
        <v>344</v>
      </c>
      <c r="P28" t="s">
        <v>293</v>
      </c>
      <c r="Q28" t="s">
        <v>294</v>
      </c>
      <c r="R28" t="s">
        <v>295</v>
      </c>
    </row>
    <row r="29" spans="1:18" ht="165" customHeight="1" x14ac:dyDescent="0.3">
      <c r="A29" s="12" t="s">
        <v>345</v>
      </c>
      <c r="B29" s="12" t="s">
        <v>346</v>
      </c>
      <c r="C29" s="12" t="s">
        <v>347</v>
      </c>
      <c r="D29" s="13">
        <v>2021</v>
      </c>
      <c r="E29" s="12" t="s">
        <v>348</v>
      </c>
      <c r="F29" s="12" t="s">
        <v>349</v>
      </c>
      <c r="G29" s="12" t="s">
        <v>82</v>
      </c>
      <c r="H29" s="12" t="s">
        <v>44</v>
      </c>
      <c r="I29" s="12" t="s">
        <v>350</v>
      </c>
      <c r="J29" s="12" t="s">
        <v>351</v>
      </c>
      <c r="K29" s="12" t="s">
        <v>352</v>
      </c>
      <c r="L29" s="12" t="s">
        <v>353</v>
      </c>
      <c r="M29" s="12" t="s">
        <v>354</v>
      </c>
      <c r="N29" s="12" t="s">
        <v>355</v>
      </c>
      <c r="O29" s="12" t="s">
        <v>356</v>
      </c>
      <c r="P29" t="s">
        <v>293</v>
      </c>
      <c r="R29" t="s">
        <v>295</v>
      </c>
    </row>
    <row r="30" spans="1:18" ht="165" customHeight="1" x14ac:dyDescent="0.3">
      <c r="A30" s="12" t="s">
        <v>357</v>
      </c>
      <c r="B30" s="12" t="s">
        <v>358</v>
      </c>
      <c r="C30" s="12" t="s">
        <v>359</v>
      </c>
      <c r="D30" s="13">
        <v>2024</v>
      </c>
      <c r="E30" s="12" t="s">
        <v>211</v>
      </c>
      <c r="F30" s="12" t="s">
        <v>360</v>
      </c>
      <c r="G30" s="12" t="s">
        <v>23</v>
      </c>
      <c r="H30" s="12" t="s">
        <v>44</v>
      </c>
      <c r="I30" s="12" t="s">
        <v>361</v>
      </c>
      <c r="J30" s="12" t="s">
        <v>362</v>
      </c>
      <c r="K30" s="12" t="s">
        <v>363</v>
      </c>
      <c r="L30" s="12" t="s">
        <v>364</v>
      </c>
      <c r="M30" s="12" t="s">
        <v>365</v>
      </c>
      <c r="N30" s="12" t="s">
        <v>366</v>
      </c>
      <c r="O30" s="12" t="s">
        <v>367</v>
      </c>
      <c r="P30" t="s">
        <v>293</v>
      </c>
      <c r="Q30" t="s">
        <v>368</v>
      </c>
      <c r="R30" t="s">
        <v>295</v>
      </c>
    </row>
    <row r="31" spans="1:18" ht="195" customHeight="1" x14ac:dyDescent="0.3">
      <c r="A31" s="12" t="s">
        <v>369</v>
      </c>
      <c r="B31" s="12" t="s">
        <v>370</v>
      </c>
      <c r="C31" s="12" t="s">
        <v>371</v>
      </c>
      <c r="D31" s="13">
        <v>2022</v>
      </c>
      <c r="E31" s="12" t="s">
        <v>372</v>
      </c>
      <c r="F31" s="12" t="s">
        <v>373</v>
      </c>
      <c r="G31" s="12" t="s">
        <v>23</v>
      </c>
      <c r="H31" s="12" t="s">
        <v>44</v>
      </c>
      <c r="I31" s="12" t="s">
        <v>374</v>
      </c>
      <c r="J31" s="12" t="s">
        <v>375</v>
      </c>
      <c r="K31" s="12" t="s">
        <v>376</v>
      </c>
      <c r="L31" s="12" t="s">
        <v>377</v>
      </c>
      <c r="M31" s="12" t="s">
        <v>378</v>
      </c>
      <c r="N31" s="12" t="s">
        <v>379</v>
      </c>
      <c r="O31" s="12" t="s">
        <v>380</v>
      </c>
      <c r="P31" t="s">
        <v>162</v>
      </c>
      <c r="Q31" t="s">
        <v>381</v>
      </c>
      <c r="R31" t="s">
        <v>382</v>
      </c>
    </row>
    <row r="32" spans="1:18" ht="234" x14ac:dyDescent="0.3">
      <c r="A32" s="12" t="s">
        <v>383</v>
      </c>
      <c r="B32" s="12" t="s">
        <v>384</v>
      </c>
      <c r="C32" s="12" t="s">
        <v>385</v>
      </c>
      <c r="D32" s="13" t="s">
        <v>386</v>
      </c>
      <c r="E32" s="12" t="s">
        <v>387</v>
      </c>
      <c r="F32" s="12" t="s">
        <v>388</v>
      </c>
      <c r="G32" s="12" t="s">
        <v>23</v>
      </c>
      <c r="H32" s="12" t="s">
        <v>389</v>
      </c>
      <c r="I32" s="12" t="s">
        <v>390</v>
      </c>
      <c r="J32" s="12" t="s">
        <v>391</v>
      </c>
      <c r="K32" s="12" t="s">
        <v>392</v>
      </c>
      <c r="L32" s="12" t="s">
        <v>393</v>
      </c>
      <c r="M32" s="12" t="s">
        <v>394</v>
      </c>
      <c r="N32" s="12" t="s">
        <v>395</v>
      </c>
      <c r="O32" s="12" t="s">
        <v>396</v>
      </c>
      <c r="P32" s="1" t="s">
        <v>162</v>
      </c>
      <c r="Q32" s="1" t="s">
        <v>397</v>
      </c>
      <c r="R32" s="1" t="s">
        <v>398</v>
      </c>
    </row>
    <row r="33" spans="1:18" ht="187.2" x14ac:dyDescent="0.3">
      <c r="A33" s="12" t="s">
        <v>399</v>
      </c>
      <c r="B33" s="12" t="s">
        <v>400</v>
      </c>
      <c r="C33" s="12" t="s">
        <v>401</v>
      </c>
      <c r="D33" s="13" t="s">
        <v>402</v>
      </c>
      <c r="E33" s="12" t="s">
        <v>387</v>
      </c>
      <c r="F33" s="12" t="s">
        <v>403</v>
      </c>
      <c r="G33" s="12" t="s">
        <v>23</v>
      </c>
      <c r="H33" s="12" t="s">
        <v>389</v>
      </c>
      <c r="I33" s="12" t="s">
        <v>404</v>
      </c>
      <c r="J33" s="12" t="s">
        <v>405</v>
      </c>
      <c r="K33" s="12" t="s">
        <v>406</v>
      </c>
      <c r="L33" s="12" t="s">
        <v>407</v>
      </c>
      <c r="M33" s="12" t="s">
        <v>408</v>
      </c>
      <c r="N33" s="12" t="s">
        <v>409</v>
      </c>
      <c r="O33" s="12" t="s">
        <v>410</v>
      </c>
      <c r="P33" s="1" t="s">
        <v>162</v>
      </c>
      <c r="Q33" s="1" t="s">
        <v>411</v>
      </c>
      <c r="R33" s="1" t="s">
        <v>164</v>
      </c>
    </row>
    <row r="34" spans="1:18" ht="257.39999999999998" x14ac:dyDescent="0.3">
      <c r="A34" s="12" t="s">
        <v>412</v>
      </c>
      <c r="B34" s="12" t="s">
        <v>413</v>
      </c>
      <c r="C34" s="12" t="s">
        <v>414</v>
      </c>
      <c r="D34" s="13" t="s">
        <v>402</v>
      </c>
      <c r="E34" s="12" t="s">
        <v>415</v>
      </c>
      <c r="F34" s="12" t="s">
        <v>416</v>
      </c>
      <c r="G34" s="12" t="s">
        <v>23</v>
      </c>
      <c r="H34" s="12" t="s">
        <v>389</v>
      </c>
      <c r="I34" s="12" t="s">
        <v>417</v>
      </c>
      <c r="J34" s="12" t="s">
        <v>418</v>
      </c>
      <c r="K34" s="12" t="s">
        <v>419</v>
      </c>
      <c r="L34" s="12" t="s">
        <v>420</v>
      </c>
      <c r="M34" s="12" t="s">
        <v>421</v>
      </c>
      <c r="N34" s="12" t="s">
        <v>422</v>
      </c>
      <c r="O34" s="12" t="s">
        <v>423</v>
      </c>
      <c r="P34" s="1" t="s">
        <v>162</v>
      </c>
      <c r="Q34" s="1" t="s">
        <v>411</v>
      </c>
      <c r="R34" s="1" t="s">
        <v>164</v>
      </c>
    </row>
    <row r="35" spans="1:18" ht="351" x14ac:dyDescent="0.3">
      <c r="A35" s="12" t="s">
        <v>424</v>
      </c>
      <c r="B35" s="12" t="s">
        <v>425</v>
      </c>
      <c r="C35" s="12" t="s">
        <v>426</v>
      </c>
      <c r="D35" s="13" t="s">
        <v>386</v>
      </c>
      <c r="E35" s="12" t="s">
        <v>153</v>
      </c>
      <c r="F35" s="12" t="s">
        <v>427</v>
      </c>
      <c r="G35" s="12" t="s">
        <v>23</v>
      </c>
      <c r="H35" s="12" t="s">
        <v>389</v>
      </c>
      <c r="I35" s="12" t="s">
        <v>428</v>
      </c>
      <c r="J35" s="12" t="s">
        <v>429</v>
      </c>
      <c r="K35" s="12" t="s">
        <v>430</v>
      </c>
      <c r="L35" s="12" t="s">
        <v>431</v>
      </c>
      <c r="M35" s="12" t="s">
        <v>432</v>
      </c>
      <c r="N35" s="12" t="s">
        <v>433</v>
      </c>
      <c r="O35" s="12" t="s">
        <v>434</v>
      </c>
      <c r="P35" s="1" t="s">
        <v>277</v>
      </c>
      <c r="Q35" s="1" t="s">
        <v>435</v>
      </c>
      <c r="R35" s="1" t="s">
        <v>436</v>
      </c>
    </row>
    <row r="36" spans="1:18" ht="140.4" x14ac:dyDescent="0.3">
      <c r="A36" s="12" t="s">
        <v>437</v>
      </c>
      <c r="B36" s="12" t="s">
        <v>438</v>
      </c>
      <c r="C36" s="12" t="s">
        <v>439</v>
      </c>
      <c r="D36" s="13" t="s">
        <v>386</v>
      </c>
      <c r="E36" s="12" t="s">
        <v>440</v>
      </c>
      <c r="F36" s="12" t="s">
        <v>441</v>
      </c>
      <c r="G36" s="12" t="s">
        <v>23</v>
      </c>
      <c r="H36" s="12" t="s">
        <v>389</v>
      </c>
      <c r="I36" s="12" t="s">
        <v>442</v>
      </c>
      <c r="J36" s="12" t="s">
        <v>443</v>
      </c>
      <c r="K36" s="12" t="s">
        <v>444</v>
      </c>
      <c r="L36" s="12" t="s">
        <v>445</v>
      </c>
      <c r="M36" s="12"/>
      <c r="N36" s="12" t="s">
        <v>446</v>
      </c>
      <c r="O36" s="12" t="s">
        <v>447</v>
      </c>
      <c r="P36" s="1" t="s">
        <v>162</v>
      </c>
      <c r="Q36" s="1" t="s">
        <v>107</v>
      </c>
      <c r="R36" s="1" t="s">
        <v>448</v>
      </c>
    </row>
    <row r="37" spans="1:18" ht="117" x14ac:dyDescent="0.3">
      <c r="A37" s="12" t="s">
        <v>449</v>
      </c>
      <c r="B37" s="12" t="s">
        <v>450</v>
      </c>
      <c r="C37" s="12" t="s">
        <v>439</v>
      </c>
      <c r="D37" s="13" t="s">
        <v>386</v>
      </c>
      <c r="E37" s="12" t="s">
        <v>451</v>
      </c>
      <c r="F37" s="12" t="s">
        <v>452</v>
      </c>
      <c r="G37" s="12" t="s">
        <v>82</v>
      </c>
      <c r="H37" s="12" t="s">
        <v>389</v>
      </c>
      <c r="I37" s="12" t="s">
        <v>453</v>
      </c>
      <c r="J37" s="12" t="s">
        <v>405</v>
      </c>
      <c r="K37" s="12" t="s">
        <v>454</v>
      </c>
      <c r="L37" s="12" t="s">
        <v>455</v>
      </c>
      <c r="M37" s="12" t="s">
        <v>456</v>
      </c>
      <c r="N37" s="12" t="s">
        <v>457</v>
      </c>
      <c r="O37" s="12" t="s">
        <v>458</v>
      </c>
      <c r="P37" s="1" t="s">
        <v>459</v>
      </c>
      <c r="Q37" s="1" t="s">
        <v>460</v>
      </c>
      <c r="R37" s="1" t="s">
        <v>461</v>
      </c>
    </row>
    <row r="38" spans="1:18" ht="409.6" x14ac:dyDescent="0.3">
      <c r="A38" s="12" t="s">
        <v>462</v>
      </c>
      <c r="B38" s="12" t="s">
        <v>463</v>
      </c>
      <c r="C38" s="12" t="s">
        <v>464</v>
      </c>
      <c r="D38" s="13" t="s">
        <v>386</v>
      </c>
      <c r="E38" s="12" t="s">
        <v>465</v>
      </c>
      <c r="F38" s="12" t="s">
        <v>466</v>
      </c>
      <c r="G38" s="12" t="s">
        <v>23</v>
      </c>
      <c r="H38" s="12" t="s">
        <v>389</v>
      </c>
      <c r="I38" s="12" t="s">
        <v>467</v>
      </c>
      <c r="J38" s="12" t="s">
        <v>468</v>
      </c>
      <c r="K38" s="12" t="s">
        <v>469</v>
      </c>
      <c r="L38" s="12" t="s">
        <v>470</v>
      </c>
      <c r="M38" s="12" t="s">
        <v>471</v>
      </c>
      <c r="N38" s="12" t="s">
        <v>472</v>
      </c>
      <c r="O38" s="12" t="s">
        <v>473</v>
      </c>
      <c r="P38" s="1" t="s">
        <v>162</v>
      </c>
      <c r="Q38" s="1" t="s">
        <v>474</v>
      </c>
      <c r="R38" s="1" t="s">
        <v>475</v>
      </c>
    </row>
    <row r="39" spans="1:18" ht="280.8" x14ac:dyDescent="0.3">
      <c r="A39" s="12" t="s">
        <v>476</v>
      </c>
      <c r="B39" s="12" t="s">
        <v>477</v>
      </c>
      <c r="C39" s="12" t="s">
        <v>478</v>
      </c>
      <c r="D39" s="13" t="s">
        <v>479</v>
      </c>
      <c r="E39" s="12" t="s">
        <v>480</v>
      </c>
      <c r="F39" s="12" t="s">
        <v>481</v>
      </c>
      <c r="G39" s="12" t="s">
        <v>23</v>
      </c>
      <c r="H39" s="12" t="s">
        <v>389</v>
      </c>
      <c r="I39" s="12" t="s">
        <v>482</v>
      </c>
      <c r="J39" s="12" t="s">
        <v>483</v>
      </c>
      <c r="K39" s="12" t="s">
        <v>484</v>
      </c>
      <c r="L39" s="12" t="s">
        <v>485</v>
      </c>
      <c r="M39" s="12" t="s">
        <v>486</v>
      </c>
      <c r="N39" s="12" t="s">
        <v>487</v>
      </c>
      <c r="O39" s="12" t="s">
        <v>488</v>
      </c>
      <c r="P39" s="1" t="s">
        <v>162</v>
      </c>
      <c r="Q39" s="1" t="s">
        <v>489</v>
      </c>
      <c r="R39" s="1" t="s">
        <v>490</v>
      </c>
    </row>
    <row r="40" spans="1:18" ht="280.8" x14ac:dyDescent="0.3">
      <c r="A40" s="12" t="s">
        <v>491</v>
      </c>
      <c r="B40" s="12" t="s">
        <v>492</v>
      </c>
      <c r="C40" s="12" t="s">
        <v>493</v>
      </c>
      <c r="D40" s="13" t="s">
        <v>494</v>
      </c>
      <c r="E40" s="12" t="s">
        <v>495</v>
      </c>
      <c r="F40" s="12" t="s">
        <v>496</v>
      </c>
      <c r="G40" s="12" t="s">
        <v>285</v>
      </c>
      <c r="H40" s="12" t="s">
        <v>389</v>
      </c>
      <c r="I40" s="12" t="s">
        <v>497</v>
      </c>
      <c r="J40" s="12" t="s">
        <v>498</v>
      </c>
      <c r="K40" s="12" t="s">
        <v>499</v>
      </c>
      <c r="L40" s="12" t="s">
        <v>500</v>
      </c>
      <c r="M40" s="12" t="s">
        <v>501</v>
      </c>
      <c r="N40" s="12" t="s">
        <v>502</v>
      </c>
      <c r="O40" s="12" t="s">
        <v>503</v>
      </c>
      <c r="P40" s="1" t="s">
        <v>277</v>
      </c>
      <c r="Q40" s="1" t="s">
        <v>504</v>
      </c>
      <c r="R40" s="1" t="s">
        <v>505</v>
      </c>
    </row>
    <row r="41" spans="1:18" ht="257.39999999999998" x14ac:dyDescent="0.3">
      <c r="A41" s="12" t="s">
        <v>506</v>
      </c>
      <c r="B41" s="12" t="s">
        <v>507</v>
      </c>
      <c r="C41" s="12" t="s">
        <v>508</v>
      </c>
      <c r="D41" s="13" t="s">
        <v>402</v>
      </c>
      <c r="E41" s="12" t="s">
        <v>509</v>
      </c>
      <c r="F41" s="12" t="s">
        <v>510</v>
      </c>
      <c r="G41" s="12" t="s">
        <v>82</v>
      </c>
      <c r="H41" s="12" t="s">
        <v>389</v>
      </c>
      <c r="I41" s="12" t="s">
        <v>511</v>
      </c>
      <c r="J41" s="12" t="s">
        <v>512</v>
      </c>
      <c r="K41" s="12" t="s">
        <v>513</v>
      </c>
      <c r="L41" s="12" t="s">
        <v>514</v>
      </c>
      <c r="M41" s="12" t="s">
        <v>515</v>
      </c>
      <c r="N41" s="12" t="s">
        <v>516</v>
      </c>
      <c r="O41" s="12" t="s">
        <v>517</v>
      </c>
      <c r="P41" s="1" t="s">
        <v>162</v>
      </c>
      <c r="Q41" s="1" t="s">
        <v>518</v>
      </c>
      <c r="R41" s="1" t="s">
        <v>519</v>
      </c>
    </row>
    <row r="42" spans="1:18" ht="257.39999999999998" x14ac:dyDescent="0.3">
      <c r="A42" s="12" t="s">
        <v>520</v>
      </c>
      <c r="B42" s="12" t="s">
        <v>521</v>
      </c>
      <c r="C42" s="12" t="s">
        <v>522</v>
      </c>
      <c r="D42" s="13" t="s">
        <v>523</v>
      </c>
      <c r="E42" s="12" t="s">
        <v>524</v>
      </c>
      <c r="F42" s="12" t="s">
        <v>525</v>
      </c>
      <c r="G42" s="12" t="s">
        <v>285</v>
      </c>
      <c r="H42" s="12" t="s">
        <v>389</v>
      </c>
      <c r="I42" s="12" t="s">
        <v>526</v>
      </c>
      <c r="J42" s="12" t="s">
        <v>405</v>
      </c>
      <c r="K42" s="12" t="s">
        <v>527</v>
      </c>
      <c r="L42" s="12" t="s">
        <v>528</v>
      </c>
      <c r="M42" s="12" t="s">
        <v>529</v>
      </c>
      <c r="N42" s="12" t="s">
        <v>530</v>
      </c>
      <c r="O42" s="12" t="s">
        <v>531</v>
      </c>
      <c r="P42" s="1" t="s">
        <v>162</v>
      </c>
      <c r="Q42" s="1" t="s">
        <v>532</v>
      </c>
      <c r="R42" s="1" t="s">
        <v>519</v>
      </c>
    </row>
    <row r="43" spans="1:18" ht="187.2" x14ac:dyDescent="0.3">
      <c r="A43" s="12" t="s">
        <v>533</v>
      </c>
      <c r="B43" s="12" t="s">
        <v>534</v>
      </c>
      <c r="C43" s="12" t="s">
        <v>535</v>
      </c>
      <c r="D43" s="13" t="s">
        <v>536</v>
      </c>
      <c r="E43" s="12" t="s">
        <v>537</v>
      </c>
      <c r="F43" s="12" t="s">
        <v>538</v>
      </c>
      <c r="G43" s="12" t="s">
        <v>23</v>
      </c>
      <c r="H43" s="12" t="s">
        <v>389</v>
      </c>
      <c r="I43" s="12" t="s">
        <v>539</v>
      </c>
      <c r="J43" s="12" t="s">
        <v>540</v>
      </c>
      <c r="K43" s="12" t="s">
        <v>541</v>
      </c>
      <c r="L43" s="12" t="s">
        <v>542</v>
      </c>
      <c r="M43" s="12" t="s">
        <v>543</v>
      </c>
      <c r="N43" s="12" t="s">
        <v>544</v>
      </c>
      <c r="O43" s="12" t="s">
        <v>545</v>
      </c>
      <c r="P43" s="1" t="s">
        <v>546</v>
      </c>
      <c r="Q43" s="1" t="s">
        <v>547</v>
      </c>
      <c r="R43" s="1" t="s">
        <v>548</v>
      </c>
    </row>
    <row r="44" spans="1:18" ht="257.39999999999998" x14ac:dyDescent="0.3">
      <c r="A44" s="12" t="s">
        <v>549</v>
      </c>
      <c r="B44" s="12" t="s">
        <v>550</v>
      </c>
      <c r="C44" s="12" t="s">
        <v>551</v>
      </c>
      <c r="D44" s="13" t="s">
        <v>494</v>
      </c>
      <c r="E44" s="12" t="s">
        <v>552</v>
      </c>
      <c r="F44" s="12" t="s">
        <v>553</v>
      </c>
      <c r="G44" s="12" t="s">
        <v>82</v>
      </c>
      <c r="H44" s="12" t="s">
        <v>389</v>
      </c>
      <c r="I44" s="12" t="s">
        <v>554</v>
      </c>
      <c r="J44" s="12" t="s">
        <v>555</v>
      </c>
      <c r="K44" s="12" t="s">
        <v>556</v>
      </c>
      <c r="L44" s="12" t="s">
        <v>557</v>
      </c>
      <c r="M44" s="12" t="s">
        <v>558</v>
      </c>
      <c r="N44" s="12" t="s">
        <v>559</v>
      </c>
      <c r="O44" s="12" t="s">
        <v>560</v>
      </c>
      <c r="P44" s="1" t="s">
        <v>546</v>
      </c>
      <c r="Q44" s="1" t="s">
        <v>561</v>
      </c>
      <c r="R44" s="1" t="s">
        <v>562</v>
      </c>
    </row>
    <row r="45" spans="1:18" ht="409.6" x14ac:dyDescent="0.3">
      <c r="A45" s="12" t="s">
        <v>563</v>
      </c>
      <c r="B45" s="12" t="s">
        <v>564</v>
      </c>
      <c r="C45" s="12" t="s">
        <v>565</v>
      </c>
      <c r="D45" s="13" t="s">
        <v>536</v>
      </c>
      <c r="E45" s="12" t="s">
        <v>566</v>
      </c>
      <c r="F45" s="12" t="s">
        <v>567</v>
      </c>
      <c r="G45" s="12" t="s">
        <v>82</v>
      </c>
      <c r="H45" s="12" t="s">
        <v>389</v>
      </c>
      <c r="I45" s="12" t="s">
        <v>568</v>
      </c>
      <c r="J45" s="12" t="s">
        <v>569</v>
      </c>
      <c r="K45" s="12" t="s">
        <v>570</v>
      </c>
      <c r="L45" s="12" t="s">
        <v>571</v>
      </c>
      <c r="M45" s="12" t="s">
        <v>572</v>
      </c>
      <c r="N45" s="12" t="s">
        <v>573</v>
      </c>
      <c r="O45" s="12" t="s">
        <v>574</v>
      </c>
      <c r="P45" s="1" t="s">
        <v>546</v>
      </c>
      <c r="Q45" s="1" t="s">
        <v>561</v>
      </c>
      <c r="R45" s="1" t="s">
        <v>575</v>
      </c>
    </row>
    <row r="46" spans="1:18" ht="374.4" x14ac:dyDescent="0.3">
      <c r="A46" s="12" t="s">
        <v>576</v>
      </c>
      <c r="B46" s="12" t="s">
        <v>577</v>
      </c>
      <c r="C46" s="12" t="s">
        <v>578</v>
      </c>
      <c r="D46" s="13" t="s">
        <v>536</v>
      </c>
      <c r="E46" s="12" t="s">
        <v>579</v>
      </c>
      <c r="F46" s="12" t="s">
        <v>580</v>
      </c>
      <c r="G46" s="12" t="s">
        <v>23</v>
      </c>
      <c r="H46" s="12" t="s">
        <v>389</v>
      </c>
      <c r="I46" s="12" t="s">
        <v>581</v>
      </c>
      <c r="J46" s="12" t="s">
        <v>582</v>
      </c>
      <c r="K46" s="12" t="s">
        <v>570</v>
      </c>
      <c r="L46" s="12" t="s">
        <v>583</v>
      </c>
      <c r="M46" s="12" t="s">
        <v>584</v>
      </c>
      <c r="N46" s="12" t="s">
        <v>585</v>
      </c>
      <c r="O46" s="12" t="s">
        <v>586</v>
      </c>
      <c r="P46" s="1" t="s">
        <v>587</v>
      </c>
      <c r="Q46" s="1" t="s">
        <v>588</v>
      </c>
      <c r="R46" s="1" t="s">
        <v>589</v>
      </c>
    </row>
    <row r="47" spans="1:18" ht="327.60000000000002" x14ac:dyDescent="0.3">
      <c r="A47" s="12" t="s">
        <v>590</v>
      </c>
      <c r="B47" s="12" t="s">
        <v>591</v>
      </c>
      <c r="C47" s="12" t="s">
        <v>592</v>
      </c>
      <c r="D47" s="13" t="s">
        <v>593</v>
      </c>
      <c r="E47" s="12" t="s">
        <v>594</v>
      </c>
      <c r="F47" s="12" t="s">
        <v>595</v>
      </c>
      <c r="G47" s="12" t="s">
        <v>23</v>
      </c>
      <c r="H47" s="12" t="s">
        <v>389</v>
      </c>
      <c r="I47" s="12" t="s">
        <v>596</v>
      </c>
      <c r="J47" s="12" t="s">
        <v>597</v>
      </c>
      <c r="K47" s="12" t="s">
        <v>598</v>
      </c>
      <c r="L47" s="12" t="s">
        <v>599</v>
      </c>
      <c r="M47" s="12" t="s">
        <v>600</v>
      </c>
      <c r="N47" s="12" t="s">
        <v>601</v>
      </c>
      <c r="O47" s="12" t="s">
        <v>602</v>
      </c>
      <c r="P47" s="1" t="s">
        <v>277</v>
      </c>
      <c r="Q47" s="1" t="s">
        <v>603</v>
      </c>
      <c r="R47" s="1" t="s">
        <v>604</v>
      </c>
    </row>
    <row r="48" spans="1:18" ht="280.8" x14ac:dyDescent="0.3">
      <c r="A48" s="12" t="s">
        <v>605</v>
      </c>
      <c r="B48" s="12" t="s">
        <v>606</v>
      </c>
      <c r="C48" s="12" t="s">
        <v>607</v>
      </c>
      <c r="D48" s="13" t="s">
        <v>608</v>
      </c>
      <c r="E48" s="12" t="s">
        <v>609</v>
      </c>
      <c r="F48" s="12" t="s">
        <v>610</v>
      </c>
      <c r="G48" s="12" t="s">
        <v>23</v>
      </c>
      <c r="H48" s="12" t="s">
        <v>389</v>
      </c>
      <c r="I48" s="12" t="s">
        <v>611</v>
      </c>
      <c r="J48" s="12" t="s">
        <v>612</v>
      </c>
      <c r="K48" s="12" t="s">
        <v>613</v>
      </c>
      <c r="L48" s="12" t="s">
        <v>614</v>
      </c>
      <c r="M48" s="12" t="s">
        <v>615</v>
      </c>
      <c r="N48" s="12" t="s">
        <v>616</v>
      </c>
      <c r="O48" s="12" t="s">
        <v>617</v>
      </c>
      <c r="P48" s="1" t="s">
        <v>618</v>
      </c>
      <c r="Q48" s="1" t="s">
        <v>619</v>
      </c>
      <c r="R48" s="1" t="s">
        <v>620</v>
      </c>
    </row>
    <row r="49" spans="1:18" ht="187.2" x14ac:dyDescent="0.3">
      <c r="A49" s="12" t="s">
        <v>621</v>
      </c>
      <c r="B49" s="12" t="s">
        <v>622</v>
      </c>
      <c r="C49" s="12" t="s">
        <v>623</v>
      </c>
      <c r="D49" s="13" t="s">
        <v>624</v>
      </c>
      <c r="E49" s="12" t="s">
        <v>625</v>
      </c>
      <c r="F49" s="12" t="s">
        <v>626</v>
      </c>
      <c r="G49" s="12" t="s">
        <v>82</v>
      </c>
      <c r="H49" s="12" t="s">
        <v>389</v>
      </c>
      <c r="I49" s="12" t="s">
        <v>627</v>
      </c>
      <c r="J49" s="12" t="s">
        <v>405</v>
      </c>
      <c r="K49" s="12" t="s">
        <v>628</v>
      </c>
      <c r="L49" s="12" t="s">
        <v>629</v>
      </c>
      <c r="M49" s="12" t="s">
        <v>630</v>
      </c>
      <c r="N49" s="12" t="s">
        <v>631</v>
      </c>
      <c r="O49" s="12" t="s">
        <v>632</v>
      </c>
      <c r="P49" s="1" t="s">
        <v>177</v>
      </c>
      <c r="Q49" s="1" t="s">
        <v>518</v>
      </c>
      <c r="R49" s="1" t="s">
        <v>505</v>
      </c>
    </row>
    <row r="50" spans="1:18" ht="187.2" x14ac:dyDescent="0.3">
      <c r="A50" s="12" t="s">
        <v>633</v>
      </c>
      <c r="B50" s="12" t="s">
        <v>634</v>
      </c>
      <c r="C50" s="12" t="s">
        <v>635</v>
      </c>
      <c r="D50" s="13" t="s">
        <v>386</v>
      </c>
      <c r="E50" s="12" t="s">
        <v>636</v>
      </c>
      <c r="F50" s="12" t="s">
        <v>637</v>
      </c>
      <c r="G50" s="12" t="s">
        <v>285</v>
      </c>
      <c r="H50" s="12" t="s">
        <v>389</v>
      </c>
      <c r="I50" s="12" t="s">
        <v>638</v>
      </c>
      <c r="J50" s="12" t="s">
        <v>639</v>
      </c>
      <c r="K50" s="12" t="s">
        <v>640</v>
      </c>
      <c r="L50" s="12" t="s">
        <v>641</v>
      </c>
      <c r="M50" s="12" t="s">
        <v>642</v>
      </c>
      <c r="N50" s="12" t="s">
        <v>643</v>
      </c>
      <c r="O50" s="12" t="s">
        <v>644</v>
      </c>
      <c r="P50" s="1" t="s">
        <v>220</v>
      </c>
      <c r="Q50" s="1" t="s">
        <v>294</v>
      </c>
      <c r="R50" s="1" t="s">
        <v>222</v>
      </c>
    </row>
    <row r="51" spans="1:18" ht="257.39999999999998" x14ac:dyDescent="0.3">
      <c r="A51" s="12" t="s">
        <v>645</v>
      </c>
      <c r="B51" s="12" t="s">
        <v>646</v>
      </c>
      <c r="C51" s="12" t="s">
        <v>647</v>
      </c>
      <c r="D51" s="13" t="s">
        <v>624</v>
      </c>
      <c r="E51" s="12" t="s">
        <v>648</v>
      </c>
      <c r="F51" s="12" t="s">
        <v>649</v>
      </c>
      <c r="G51" s="12" t="s">
        <v>82</v>
      </c>
      <c r="H51" s="12" t="s">
        <v>389</v>
      </c>
      <c r="I51" s="12" t="s">
        <v>650</v>
      </c>
      <c r="J51" s="12" t="s">
        <v>651</v>
      </c>
      <c r="K51" s="12" t="s">
        <v>652</v>
      </c>
      <c r="L51" s="12" t="s">
        <v>653</v>
      </c>
      <c r="M51" s="12" t="s">
        <v>654</v>
      </c>
      <c r="N51" s="12" t="s">
        <v>655</v>
      </c>
      <c r="O51" s="12" t="s">
        <v>656</v>
      </c>
      <c r="P51" s="1" t="s">
        <v>220</v>
      </c>
      <c r="Q51" s="1"/>
      <c r="R51" s="1" t="s">
        <v>222</v>
      </c>
    </row>
    <row r="52" spans="1:18" ht="304.2" x14ac:dyDescent="0.3">
      <c r="A52" s="12" t="s">
        <v>657</v>
      </c>
      <c r="B52" s="12" t="s">
        <v>658</v>
      </c>
      <c r="C52" s="12" t="s">
        <v>659</v>
      </c>
      <c r="D52" s="13" t="s">
        <v>593</v>
      </c>
      <c r="E52" s="12" t="s">
        <v>660</v>
      </c>
      <c r="F52" s="12" t="s">
        <v>661</v>
      </c>
      <c r="G52" s="12" t="s">
        <v>82</v>
      </c>
      <c r="H52" s="12" t="s">
        <v>389</v>
      </c>
      <c r="I52" s="12" t="s">
        <v>662</v>
      </c>
      <c r="J52" s="12" t="s">
        <v>663</v>
      </c>
      <c r="K52" s="12" t="s">
        <v>664</v>
      </c>
      <c r="L52" s="12" t="s">
        <v>665</v>
      </c>
      <c r="M52" s="12" t="s">
        <v>666</v>
      </c>
      <c r="N52" s="12" t="s">
        <v>667</v>
      </c>
      <c r="O52" s="12" t="s">
        <v>668</v>
      </c>
      <c r="P52" s="1" t="s">
        <v>220</v>
      </c>
      <c r="Q52" s="1" t="s">
        <v>294</v>
      </c>
      <c r="R52" s="1" t="s">
        <v>222</v>
      </c>
    </row>
    <row r="53" spans="1:18" ht="374.4" x14ac:dyDescent="0.3">
      <c r="A53" s="12" t="s">
        <v>669</v>
      </c>
      <c r="B53" s="12" t="s">
        <v>670</v>
      </c>
      <c r="C53" s="12" t="s">
        <v>671</v>
      </c>
      <c r="D53" s="13" t="s">
        <v>523</v>
      </c>
      <c r="E53" s="12" t="s">
        <v>672</v>
      </c>
      <c r="F53" s="12" t="s">
        <v>673</v>
      </c>
      <c r="G53" s="12" t="s">
        <v>23</v>
      </c>
      <c r="H53" s="12" t="s">
        <v>389</v>
      </c>
      <c r="I53" s="12" t="s">
        <v>674</v>
      </c>
      <c r="J53" s="12" t="s">
        <v>675</v>
      </c>
      <c r="K53" s="12" t="s">
        <v>676</v>
      </c>
      <c r="L53" s="12" t="s">
        <v>677</v>
      </c>
      <c r="M53" s="12" t="s">
        <v>678</v>
      </c>
      <c r="N53" s="12" t="s">
        <v>679</v>
      </c>
      <c r="O53" s="12" t="s">
        <v>680</v>
      </c>
      <c r="P53" s="1" t="s">
        <v>192</v>
      </c>
      <c r="Q53" s="1" t="s">
        <v>489</v>
      </c>
      <c r="R53" s="1" t="s">
        <v>681</v>
      </c>
    </row>
    <row r="54" spans="1:18" ht="280.8" x14ac:dyDescent="0.3">
      <c r="A54" s="12" t="s">
        <v>682</v>
      </c>
      <c r="B54" s="12" t="s">
        <v>683</v>
      </c>
      <c r="C54" s="12" t="s">
        <v>684</v>
      </c>
      <c r="D54" s="13" t="s">
        <v>624</v>
      </c>
      <c r="E54" s="12" t="s">
        <v>685</v>
      </c>
      <c r="F54" s="12" t="s">
        <v>686</v>
      </c>
      <c r="G54" s="12" t="s">
        <v>82</v>
      </c>
      <c r="H54" s="12" t="s">
        <v>389</v>
      </c>
      <c r="I54" s="12" t="s">
        <v>687</v>
      </c>
      <c r="J54" s="12" t="s">
        <v>688</v>
      </c>
      <c r="K54" s="12" t="s">
        <v>689</v>
      </c>
      <c r="L54" s="12" t="s">
        <v>690</v>
      </c>
      <c r="M54" s="12" t="s">
        <v>691</v>
      </c>
      <c r="N54" s="12" t="s">
        <v>692</v>
      </c>
      <c r="O54" s="12" t="s">
        <v>693</v>
      </c>
      <c r="P54" s="1" t="s">
        <v>192</v>
      </c>
      <c r="Q54" s="1" t="s">
        <v>489</v>
      </c>
      <c r="R54" s="1" t="s">
        <v>681</v>
      </c>
    </row>
    <row r="55" spans="1:18" ht="409.6" x14ac:dyDescent="0.3">
      <c r="A55" s="12" t="s">
        <v>694</v>
      </c>
      <c r="B55" s="12" t="s">
        <v>695</v>
      </c>
      <c r="C55" s="12" t="s">
        <v>696</v>
      </c>
      <c r="D55" s="13" t="s">
        <v>697</v>
      </c>
      <c r="E55" s="12" t="s">
        <v>698</v>
      </c>
      <c r="F55" s="12" t="s">
        <v>699</v>
      </c>
      <c r="G55" s="12" t="s">
        <v>82</v>
      </c>
      <c r="H55" s="12" t="s">
        <v>389</v>
      </c>
      <c r="I55" s="12" t="s">
        <v>700</v>
      </c>
      <c r="J55" s="12" t="s">
        <v>701</v>
      </c>
      <c r="K55" s="12" t="s">
        <v>702</v>
      </c>
      <c r="L55" s="12" t="s">
        <v>703</v>
      </c>
      <c r="M55" s="12" t="s">
        <v>704</v>
      </c>
      <c r="N55" s="12" t="s">
        <v>705</v>
      </c>
      <c r="O55" s="12" t="s">
        <v>706</v>
      </c>
      <c r="P55" s="1" t="s">
        <v>293</v>
      </c>
      <c r="Q55" s="1" t="s">
        <v>368</v>
      </c>
      <c r="R55" s="1" t="s">
        <v>707</v>
      </c>
    </row>
    <row r="56" spans="1:18" ht="210.6" x14ac:dyDescent="0.3">
      <c r="A56" s="12" t="s">
        <v>708</v>
      </c>
      <c r="B56" s="12" t="s">
        <v>709</v>
      </c>
      <c r="C56" s="12" t="s">
        <v>710</v>
      </c>
      <c r="D56" s="13" t="s">
        <v>523</v>
      </c>
      <c r="E56" s="12" t="s">
        <v>711</v>
      </c>
      <c r="F56" s="12" t="s">
        <v>712</v>
      </c>
      <c r="G56" s="12" t="s">
        <v>285</v>
      </c>
      <c r="H56" s="12" t="s">
        <v>389</v>
      </c>
      <c r="I56" s="12" t="s">
        <v>713</v>
      </c>
      <c r="J56" s="12" t="s">
        <v>714</v>
      </c>
      <c r="K56" s="12" t="s">
        <v>715</v>
      </c>
      <c r="L56" s="12" t="s">
        <v>716</v>
      </c>
      <c r="M56" s="12" t="s">
        <v>717</v>
      </c>
      <c r="N56" s="12" t="s">
        <v>718</v>
      </c>
      <c r="O56" s="12" t="s">
        <v>719</v>
      </c>
      <c r="P56" s="1" t="s">
        <v>293</v>
      </c>
      <c r="Q56" s="1" t="s">
        <v>206</v>
      </c>
      <c r="R56" s="1" t="s">
        <v>720</v>
      </c>
    </row>
    <row r="57" spans="1:18" ht="280.8" x14ac:dyDescent="0.3">
      <c r="A57" s="12" t="s">
        <v>721</v>
      </c>
      <c r="B57" s="12" t="s">
        <v>722</v>
      </c>
      <c r="C57" s="12" t="s">
        <v>723</v>
      </c>
      <c r="D57" s="13" t="s">
        <v>624</v>
      </c>
      <c r="E57" s="12" t="s">
        <v>724</v>
      </c>
      <c r="F57" s="12" t="s">
        <v>725</v>
      </c>
      <c r="G57" s="12" t="s">
        <v>82</v>
      </c>
      <c r="H57" s="12" t="s">
        <v>389</v>
      </c>
      <c r="I57" s="12" t="s">
        <v>726</v>
      </c>
      <c r="J57" s="12" t="s">
        <v>727</v>
      </c>
      <c r="K57" s="12" t="s">
        <v>728</v>
      </c>
      <c r="L57" s="12" t="s">
        <v>729</v>
      </c>
      <c r="M57" s="12" t="s">
        <v>730</v>
      </c>
      <c r="N57" s="12" t="s">
        <v>731</v>
      </c>
      <c r="O57" s="12" t="s">
        <v>732</v>
      </c>
      <c r="P57" s="1" t="s">
        <v>293</v>
      </c>
      <c r="Q57" s="1" t="s">
        <v>294</v>
      </c>
      <c r="R57" s="1" t="s">
        <v>295</v>
      </c>
    </row>
    <row r="58" spans="1:18" ht="304.2" x14ac:dyDescent="0.3">
      <c r="A58" s="12" t="s">
        <v>733</v>
      </c>
      <c r="B58" s="12" t="s">
        <v>734</v>
      </c>
      <c r="C58" s="12" t="s">
        <v>735</v>
      </c>
      <c r="D58" s="13" t="s">
        <v>624</v>
      </c>
      <c r="E58" s="12" t="s">
        <v>736</v>
      </c>
      <c r="F58" s="12" t="s">
        <v>737</v>
      </c>
      <c r="G58" s="12" t="s">
        <v>82</v>
      </c>
      <c r="H58" s="12" t="s">
        <v>389</v>
      </c>
      <c r="I58" s="12" t="s">
        <v>738</v>
      </c>
      <c r="J58" s="12" t="s">
        <v>405</v>
      </c>
      <c r="K58" s="12" t="s">
        <v>664</v>
      </c>
      <c r="L58" s="12" t="s">
        <v>739</v>
      </c>
      <c r="M58" s="12" t="s">
        <v>740</v>
      </c>
      <c r="N58" s="12" t="s">
        <v>741</v>
      </c>
      <c r="O58" s="12" t="s">
        <v>742</v>
      </c>
      <c r="P58" s="1" t="s">
        <v>293</v>
      </c>
      <c r="Q58" s="1" t="s">
        <v>460</v>
      </c>
      <c r="R58" s="1" t="s">
        <v>295</v>
      </c>
    </row>
    <row r="59" spans="1:18" ht="280.8" x14ac:dyDescent="0.3">
      <c r="A59" s="12" t="s">
        <v>743</v>
      </c>
      <c r="B59" s="12" t="s">
        <v>744</v>
      </c>
      <c r="C59" s="12" t="s">
        <v>745</v>
      </c>
      <c r="D59" s="13" t="s">
        <v>402</v>
      </c>
      <c r="E59" s="12" t="s">
        <v>746</v>
      </c>
      <c r="F59" s="12" t="s">
        <v>747</v>
      </c>
      <c r="G59" s="12" t="s">
        <v>82</v>
      </c>
      <c r="H59" s="12" t="s">
        <v>389</v>
      </c>
      <c r="I59" s="12" t="s">
        <v>748</v>
      </c>
      <c r="J59" s="12" t="s">
        <v>749</v>
      </c>
      <c r="K59" s="12" t="s">
        <v>750</v>
      </c>
      <c r="L59" s="12" t="s">
        <v>751</v>
      </c>
      <c r="M59" s="12" t="s">
        <v>752</v>
      </c>
      <c r="N59" s="12" t="s">
        <v>753</v>
      </c>
      <c r="O59" s="12" t="s">
        <v>754</v>
      </c>
      <c r="P59" s="1" t="s">
        <v>293</v>
      </c>
      <c r="Q59" s="1" t="s">
        <v>460</v>
      </c>
      <c r="R59" s="1" t="s">
        <v>295</v>
      </c>
    </row>
    <row r="60" spans="1:18" ht="234" x14ac:dyDescent="0.3">
      <c r="A60" s="12" t="s">
        <v>755</v>
      </c>
      <c r="B60" s="12" t="s">
        <v>756</v>
      </c>
      <c r="C60" s="12" t="s">
        <v>757</v>
      </c>
      <c r="D60" s="13" t="s">
        <v>758</v>
      </c>
      <c r="E60" s="12" t="s">
        <v>759</v>
      </c>
      <c r="F60" s="12" t="s">
        <v>760</v>
      </c>
      <c r="G60" s="12" t="s">
        <v>285</v>
      </c>
      <c r="H60" s="12" t="s">
        <v>389</v>
      </c>
      <c r="I60" s="12" t="s">
        <v>761</v>
      </c>
      <c r="J60" s="12" t="s">
        <v>762</v>
      </c>
      <c r="K60" s="12" t="s">
        <v>763</v>
      </c>
      <c r="L60" s="12" t="s">
        <v>764</v>
      </c>
      <c r="M60" s="12" t="s">
        <v>765</v>
      </c>
      <c r="N60" s="12" t="s">
        <v>766</v>
      </c>
      <c r="O60" s="12" t="s">
        <v>767</v>
      </c>
      <c r="P60" s="1" t="s">
        <v>293</v>
      </c>
      <c r="Q60" s="1" t="s">
        <v>460</v>
      </c>
      <c r="R60" s="1" t="s">
        <v>295</v>
      </c>
    </row>
    <row r="61" spans="1:18" ht="210.6" x14ac:dyDescent="0.3">
      <c r="A61" s="12" t="s">
        <v>768</v>
      </c>
      <c r="B61" s="12" t="s">
        <v>769</v>
      </c>
      <c r="C61" s="12" t="s">
        <v>770</v>
      </c>
      <c r="D61" s="13" t="s">
        <v>624</v>
      </c>
      <c r="E61" s="12" t="s">
        <v>771</v>
      </c>
      <c r="F61" s="12" t="s">
        <v>772</v>
      </c>
      <c r="G61" s="12" t="s">
        <v>285</v>
      </c>
      <c r="H61" s="12" t="s">
        <v>389</v>
      </c>
      <c r="I61" s="12" t="s">
        <v>773</v>
      </c>
      <c r="J61" s="12" t="s">
        <v>774</v>
      </c>
      <c r="K61" s="12" t="s">
        <v>775</v>
      </c>
      <c r="L61" s="12" t="s">
        <v>776</v>
      </c>
      <c r="M61" s="12" t="s">
        <v>777</v>
      </c>
      <c r="N61" s="12" t="s">
        <v>778</v>
      </c>
      <c r="O61" s="12" t="s">
        <v>779</v>
      </c>
      <c r="P61" s="1" t="s">
        <v>587</v>
      </c>
      <c r="Q61" s="1" t="s">
        <v>780</v>
      </c>
      <c r="R61" s="1" t="s">
        <v>781</v>
      </c>
    </row>
    <row r="62" spans="1:18" ht="409.6" x14ac:dyDescent="0.3">
      <c r="A62" s="12" t="s">
        <v>782</v>
      </c>
      <c r="B62" s="12" t="s">
        <v>783</v>
      </c>
      <c r="C62" s="12" t="s">
        <v>784</v>
      </c>
      <c r="D62" s="13" t="s">
        <v>624</v>
      </c>
      <c r="E62" s="12" t="s">
        <v>785</v>
      </c>
      <c r="F62" s="12" t="s">
        <v>786</v>
      </c>
      <c r="G62" s="12" t="s">
        <v>23</v>
      </c>
      <c r="H62" s="12" t="s">
        <v>389</v>
      </c>
      <c r="I62" s="12" t="s">
        <v>787</v>
      </c>
      <c r="J62" s="12" t="s">
        <v>788</v>
      </c>
      <c r="K62" s="12" t="s">
        <v>789</v>
      </c>
      <c r="L62" s="12" t="s">
        <v>790</v>
      </c>
      <c r="M62" s="12" t="s">
        <v>791</v>
      </c>
      <c r="N62" s="12" t="s">
        <v>792</v>
      </c>
      <c r="O62" s="12" t="s">
        <v>793</v>
      </c>
      <c r="P62" s="1" t="s">
        <v>587</v>
      </c>
      <c r="Q62" s="1" t="s">
        <v>794</v>
      </c>
      <c r="R62" s="1" t="s">
        <v>795</v>
      </c>
    </row>
    <row r="63" spans="1:18" ht="163.80000000000001" x14ac:dyDescent="0.3">
      <c r="A63" s="12" t="s">
        <v>796</v>
      </c>
      <c r="B63" s="12" t="s">
        <v>797</v>
      </c>
      <c r="C63" s="12" t="s">
        <v>798</v>
      </c>
      <c r="D63" s="13" t="s">
        <v>799</v>
      </c>
      <c r="E63" s="12" t="s">
        <v>800</v>
      </c>
      <c r="F63" s="12" t="s">
        <v>801</v>
      </c>
      <c r="G63" s="12" t="s">
        <v>802</v>
      </c>
      <c r="H63" s="12" t="s">
        <v>389</v>
      </c>
      <c r="I63" s="12" t="s">
        <v>803</v>
      </c>
      <c r="J63" s="12" t="s">
        <v>405</v>
      </c>
      <c r="K63" s="12" t="s">
        <v>804</v>
      </c>
      <c r="L63" s="12" t="s">
        <v>805</v>
      </c>
      <c r="M63" s="12" t="s">
        <v>806</v>
      </c>
      <c r="N63" s="12" t="s">
        <v>807</v>
      </c>
      <c r="O63" s="12" t="s">
        <v>808</v>
      </c>
      <c r="P63" s="1" t="s">
        <v>459</v>
      </c>
      <c r="Q63" s="1" t="s">
        <v>294</v>
      </c>
      <c r="R63" s="1" t="s">
        <v>461</v>
      </c>
    </row>
    <row r="64" spans="1:18" ht="140.4" x14ac:dyDescent="0.3">
      <c r="A64" s="12" t="s">
        <v>809</v>
      </c>
      <c r="B64" s="12" t="s">
        <v>810</v>
      </c>
      <c r="C64" s="12" t="s">
        <v>811</v>
      </c>
      <c r="D64" s="13" t="s">
        <v>812</v>
      </c>
      <c r="E64" s="12" t="s">
        <v>813</v>
      </c>
      <c r="F64" s="12" t="s">
        <v>814</v>
      </c>
      <c r="G64" s="12" t="s">
        <v>802</v>
      </c>
      <c r="H64" s="12" t="s">
        <v>389</v>
      </c>
      <c r="I64" s="12" t="s">
        <v>815</v>
      </c>
      <c r="J64" s="12" t="s">
        <v>405</v>
      </c>
      <c r="K64" s="12" t="s">
        <v>816</v>
      </c>
      <c r="L64" s="12" t="s">
        <v>817</v>
      </c>
      <c r="M64" s="12" t="s">
        <v>818</v>
      </c>
      <c r="N64" s="12" t="s">
        <v>819</v>
      </c>
      <c r="O64" s="12" t="s">
        <v>820</v>
      </c>
      <c r="P64" s="1" t="s">
        <v>177</v>
      </c>
      <c r="Q64" s="1"/>
      <c r="R64" s="1" t="s">
        <v>505</v>
      </c>
    </row>
    <row r="65" spans="1:18" ht="140.4" x14ac:dyDescent="0.3">
      <c r="A65" s="12" t="s">
        <v>821</v>
      </c>
      <c r="B65" s="12" t="s">
        <v>822</v>
      </c>
      <c r="C65" s="12" t="s">
        <v>823</v>
      </c>
      <c r="D65" s="13" t="s">
        <v>824</v>
      </c>
      <c r="E65" s="12" t="s">
        <v>825</v>
      </c>
      <c r="F65" s="12" t="s">
        <v>826</v>
      </c>
      <c r="G65" s="12" t="s">
        <v>82</v>
      </c>
      <c r="H65" s="12" t="s">
        <v>389</v>
      </c>
      <c r="I65" s="12" t="s">
        <v>827</v>
      </c>
      <c r="J65" s="12" t="s">
        <v>405</v>
      </c>
      <c r="K65" s="12" t="s">
        <v>828</v>
      </c>
      <c r="L65" s="12" t="s">
        <v>829</v>
      </c>
      <c r="M65" s="12" t="s">
        <v>830</v>
      </c>
      <c r="N65" s="12" t="s">
        <v>831</v>
      </c>
      <c r="O65" s="12" t="s">
        <v>832</v>
      </c>
      <c r="P65" s="1" t="s">
        <v>587</v>
      </c>
      <c r="Q65" s="1" t="s">
        <v>294</v>
      </c>
      <c r="R65" s="1" t="s">
        <v>833</v>
      </c>
    </row>
    <row r="66" spans="1:18" ht="210.6" x14ac:dyDescent="0.3">
      <c r="A66" s="12" t="s">
        <v>834</v>
      </c>
      <c r="B66" s="12" t="s">
        <v>835</v>
      </c>
      <c r="C66" s="12" t="s">
        <v>836</v>
      </c>
      <c r="D66" s="13" t="s">
        <v>837</v>
      </c>
      <c r="E66" s="12" t="s">
        <v>838</v>
      </c>
      <c r="F66" s="12" t="s">
        <v>839</v>
      </c>
      <c r="G66" s="12" t="s">
        <v>285</v>
      </c>
      <c r="H66" s="12" t="s">
        <v>389</v>
      </c>
      <c r="I66" s="12" t="s">
        <v>840</v>
      </c>
      <c r="J66" s="12" t="s">
        <v>841</v>
      </c>
      <c r="K66" s="12" t="s">
        <v>842</v>
      </c>
      <c r="L66" s="12" t="s">
        <v>843</v>
      </c>
      <c r="M66" s="12" t="s">
        <v>844</v>
      </c>
      <c r="N66" s="12" t="s">
        <v>845</v>
      </c>
      <c r="O66" s="12" t="s">
        <v>846</v>
      </c>
      <c r="P66" s="1" t="s">
        <v>220</v>
      </c>
      <c r="Q66" s="1" t="s">
        <v>278</v>
      </c>
      <c r="R66" s="1" t="s">
        <v>222</v>
      </c>
    </row>
    <row r="67" spans="1:18" ht="187.2" x14ac:dyDescent="0.3">
      <c r="A67" s="12" t="s">
        <v>847</v>
      </c>
      <c r="B67" s="12" t="s">
        <v>848</v>
      </c>
      <c r="C67" s="12" t="s">
        <v>849</v>
      </c>
      <c r="D67" s="13" t="s">
        <v>593</v>
      </c>
      <c r="E67" s="12" t="s">
        <v>850</v>
      </c>
      <c r="F67" s="12" t="s">
        <v>851</v>
      </c>
      <c r="G67" s="12" t="s">
        <v>82</v>
      </c>
      <c r="H67" s="12" t="s">
        <v>389</v>
      </c>
      <c r="I67" s="12" t="s">
        <v>852</v>
      </c>
      <c r="J67" s="12" t="s">
        <v>405</v>
      </c>
      <c r="K67" s="12" t="s">
        <v>853</v>
      </c>
      <c r="L67" s="12" t="s">
        <v>854</v>
      </c>
      <c r="M67" s="12" t="s">
        <v>855</v>
      </c>
      <c r="N67" s="12" t="s">
        <v>856</v>
      </c>
      <c r="O67" s="12" t="s">
        <v>857</v>
      </c>
      <c r="P67" s="1" t="s">
        <v>587</v>
      </c>
      <c r="Q67" s="1" t="s">
        <v>460</v>
      </c>
      <c r="R67" s="1" t="s">
        <v>833</v>
      </c>
    </row>
    <row r="68" spans="1:18" ht="304.2" x14ac:dyDescent="0.3">
      <c r="A68" s="12" t="s">
        <v>858</v>
      </c>
      <c r="B68" s="12" t="s">
        <v>859</v>
      </c>
      <c r="C68" s="12" t="s">
        <v>860</v>
      </c>
      <c r="D68" s="13" t="s">
        <v>861</v>
      </c>
      <c r="E68" s="12" t="s">
        <v>862</v>
      </c>
      <c r="F68" s="12" t="s">
        <v>863</v>
      </c>
      <c r="G68" s="12" t="s">
        <v>864</v>
      </c>
      <c r="H68" s="12" t="s">
        <v>389</v>
      </c>
      <c r="I68" s="12" t="s">
        <v>865</v>
      </c>
      <c r="J68" s="12" t="s">
        <v>866</v>
      </c>
      <c r="K68" s="12" t="s">
        <v>867</v>
      </c>
      <c r="L68" s="12" t="s">
        <v>868</v>
      </c>
      <c r="M68" s="12" t="s">
        <v>869</v>
      </c>
      <c r="N68" s="12" t="s">
        <v>870</v>
      </c>
      <c r="O68" s="12" t="s">
        <v>871</v>
      </c>
      <c r="P68" s="1" t="s">
        <v>587</v>
      </c>
      <c r="Q68" s="1" t="s">
        <v>460</v>
      </c>
      <c r="R68" s="1" t="s">
        <v>872</v>
      </c>
    </row>
    <row r="69" spans="1:18" ht="163.80000000000001" x14ac:dyDescent="0.3">
      <c r="A69" s="12" t="s">
        <v>873</v>
      </c>
      <c r="B69" s="12" t="s">
        <v>874</v>
      </c>
      <c r="C69" s="12" t="s">
        <v>875</v>
      </c>
      <c r="D69" s="13" t="s">
        <v>876</v>
      </c>
      <c r="E69" s="12" t="s">
        <v>850</v>
      </c>
      <c r="F69" s="12" t="s">
        <v>877</v>
      </c>
      <c r="G69" s="12" t="s">
        <v>864</v>
      </c>
      <c r="H69" s="12" t="s">
        <v>389</v>
      </c>
      <c r="I69" s="12" t="s">
        <v>878</v>
      </c>
      <c r="J69" s="12" t="s">
        <v>405</v>
      </c>
      <c r="K69" s="12" t="s">
        <v>879</v>
      </c>
      <c r="L69" s="12" t="s">
        <v>880</v>
      </c>
      <c r="M69" s="12" t="s">
        <v>881</v>
      </c>
      <c r="N69" s="12" t="s">
        <v>882</v>
      </c>
      <c r="O69" s="12" t="s">
        <v>883</v>
      </c>
      <c r="P69" s="1" t="s">
        <v>459</v>
      </c>
      <c r="Q69" s="1"/>
      <c r="R69" s="1" t="s">
        <v>872</v>
      </c>
    </row>
    <row r="70" spans="1:18" ht="397.8" x14ac:dyDescent="0.3">
      <c r="A70" s="12" t="s">
        <v>884</v>
      </c>
      <c r="B70" s="12" t="s">
        <v>885</v>
      </c>
      <c r="C70" s="12" t="s">
        <v>886</v>
      </c>
      <c r="D70" s="13" t="s">
        <v>887</v>
      </c>
      <c r="E70" s="12" t="s">
        <v>888</v>
      </c>
      <c r="F70" s="12" t="s">
        <v>889</v>
      </c>
      <c r="G70" s="12" t="s">
        <v>864</v>
      </c>
      <c r="H70" s="12" t="s">
        <v>389</v>
      </c>
      <c r="I70" s="12" t="s">
        <v>890</v>
      </c>
      <c r="J70" s="12" t="s">
        <v>891</v>
      </c>
      <c r="K70" s="12" t="s">
        <v>892</v>
      </c>
      <c r="L70" s="12" t="s">
        <v>893</v>
      </c>
      <c r="M70" s="12" t="s">
        <v>894</v>
      </c>
      <c r="N70" s="12" t="s">
        <v>895</v>
      </c>
      <c r="O70" s="12" t="s">
        <v>896</v>
      </c>
      <c r="P70" s="1" t="s">
        <v>277</v>
      </c>
      <c r="Q70" s="1" t="s">
        <v>460</v>
      </c>
      <c r="R70" s="1" t="s">
        <v>897</v>
      </c>
    </row>
    <row r="71" spans="1:18" ht="280.8" x14ac:dyDescent="0.3">
      <c r="A71" s="12" t="s">
        <v>898</v>
      </c>
      <c r="B71" s="12" t="s">
        <v>899</v>
      </c>
      <c r="C71" s="12" t="s">
        <v>900</v>
      </c>
      <c r="D71" s="13" t="s">
        <v>593</v>
      </c>
      <c r="E71" s="12" t="s">
        <v>901</v>
      </c>
      <c r="F71" s="12" t="s">
        <v>902</v>
      </c>
      <c r="G71" s="12" t="s">
        <v>802</v>
      </c>
      <c r="H71" s="12" t="s">
        <v>389</v>
      </c>
      <c r="I71" s="12" t="s">
        <v>903</v>
      </c>
      <c r="J71" s="12" t="s">
        <v>904</v>
      </c>
      <c r="K71" s="12" t="s">
        <v>905</v>
      </c>
      <c r="L71" s="12" t="s">
        <v>906</v>
      </c>
      <c r="M71" s="12" t="s">
        <v>907</v>
      </c>
      <c r="N71" s="12" t="s">
        <v>908</v>
      </c>
      <c r="O71" s="12" t="s">
        <v>909</v>
      </c>
      <c r="P71" s="1" t="s">
        <v>277</v>
      </c>
      <c r="Q71" s="1" t="s">
        <v>910</v>
      </c>
      <c r="R71" s="1" t="s">
        <v>911</v>
      </c>
    </row>
    <row r="72" spans="1:18" ht="163.80000000000001" x14ac:dyDescent="0.3">
      <c r="A72" s="12" t="s">
        <v>912</v>
      </c>
      <c r="B72" s="12" t="s">
        <v>913</v>
      </c>
      <c r="C72" s="12" t="s">
        <v>914</v>
      </c>
      <c r="D72" s="13" t="s">
        <v>915</v>
      </c>
      <c r="E72" s="12" t="s">
        <v>916</v>
      </c>
      <c r="F72" s="12" t="s">
        <v>917</v>
      </c>
      <c r="G72" s="12" t="s">
        <v>864</v>
      </c>
      <c r="H72" s="12" t="s">
        <v>389</v>
      </c>
      <c r="I72" s="12" t="s">
        <v>918</v>
      </c>
      <c r="J72" s="12" t="s">
        <v>866</v>
      </c>
      <c r="K72" s="12" t="s">
        <v>919</v>
      </c>
      <c r="L72" s="12" t="s">
        <v>920</v>
      </c>
      <c r="M72" s="12" t="s">
        <v>921</v>
      </c>
      <c r="N72" s="12" t="s">
        <v>922</v>
      </c>
      <c r="O72" s="12" t="s">
        <v>923</v>
      </c>
      <c r="P72" s="1" t="s">
        <v>277</v>
      </c>
      <c r="Q72" s="1" t="s">
        <v>910</v>
      </c>
      <c r="R72" s="1" t="s">
        <v>897</v>
      </c>
    </row>
    <row r="73" spans="1:18" ht="163.80000000000001" x14ac:dyDescent="0.3">
      <c r="A73" s="12" t="s">
        <v>924</v>
      </c>
      <c r="B73" s="12" t="s">
        <v>925</v>
      </c>
      <c r="C73" s="12" t="s">
        <v>926</v>
      </c>
      <c r="D73" s="13" t="s">
        <v>536</v>
      </c>
      <c r="E73" s="12" t="s">
        <v>927</v>
      </c>
      <c r="F73" s="12" t="s">
        <v>928</v>
      </c>
      <c r="G73" s="12" t="s">
        <v>802</v>
      </c>
      <c r="H73" s="12" t="s">
        <v>389</v>
      </c>
      <c r="I73" s="12" t="s">
        <v>929</v>
      </c>
      <c r="J73" s="12" t="s">
        <v>872</v>
      </c>
      <c r="K73" s="12" t="s">
        <v>930</v>
      </c>
      <c r="L73" s="12" t="s">
        <v>931</v>
      </c>
      <c r="M73" s="12" t="s">
        <v>932</v>
      </c>
      <c r="N73" s="12" t="s">
        <v>933</v>
      </c>
      <c r="O73" s="12" t="s">
        <v>934</v>
      </c>
      <c r="P73" s="1" t="s">
        <v>277</v>
      </c>
      <c r="Q73" s="1" t="s">
        <v>910</v>
      </c>
      <c r="R73" s="1" t="s">
        <v>505</v>
      </c>
    </row>
    <row r="74" spans="1:18" ht="257.39999999999998" x14ac:dyDescent="0.3">
      <c r="A74" s="12" t="s">
        <v>935</v>
      </c>
      <c r="B74" s="12" t="s">
        <v>936</v>
      </c>
      <c r="C74" s="12" t="s">
        <v>937</v>
      </c>
      <c r="D74" s="13" t="s">
        <v>624</v>
      </c>
      <c r="E74" s="12" t="s">
        <v>938</v>
      </c>
      <c r="F74" s="12" t="s">
        <v>939</v>
      </c>
      <c r="G74" s="12" t="s">
        <v>82</v>
      </c>
      <c r="H74" s="12" t="s">
        <v>389</v>
      </c>
      <c r="I74" s="12" t="s">
        <v>940</v>
      </c>
      <c r="J74" s="12" t="s">
        <v>941</v>
      </c>
      <c r="K74" s="12" t="s">
        <v>942</v>
      </c>
      <c r="L74" s="12" t="s">
        <v>943</v>
      </c>
      <c r="M74" s="12" t="s">
        <v>944</v>
      </c>
      <c r="N74" s="12" t="s">
        <v>945</v>
      </c>
      <c r="O74" s="12" t="s">
        <v>946</v>
      </c>
      <c r="P74" s="1" t="s">
        <v>947</v>
      </c>
      <c r="Q74" s="1" t="s">
        <v>948</v>
      </c>
      <c r="R74" s="1" t="s">
        <v>949</v>
      </c>
    </row>
    <row r="75" spans="1:18" ht="163.80000000000001" x14ac:dyDescent="0.3">
      <c r="A75" s="12" t="s">
        <v>950</v>
      </c>
      <c r="B75" s="12" t="s">
        <v>951</v>
      </c>
      <c r="C75" s="12" t="s">
        <v>952</v>
      </c>
      <c r="D75" s="13" t="s">
        <v>536</v>
      </c>
      <c r="E75" s="12" t="s">
        <v>953</v>
      </c>
      <c r="F75" s="12" t="s">
        <v>954</v>
      </c>
      <c r="G75" s="12" t="s">
        <v>864</v>
      </c>
      <c r="H75" s="12" t="s">
        <v>389</v>
      </c>
      <c r="I75" s="12" t="s">
        <v>955</v>
      </c>
      <c r="J75" s="12" t="s">
        <v>956</v>
      </c>
      <c r="K75" s="12" t="s">
        <v>957</v>
      </c>
      <c r="L75" s="12" t="s">
        <v>958</v>
      </c>
      <c r="M75" s="12" t="s">
        <v>959</v>
      </c>
      <c r="N75" s="12" t="s">
        <v>960</v>
      </c>
      <c r="O75" s="12" t="s">
        <v>961</v>
      </c>
      <c r="P75" s="1" t="s">
        <v>546</v>
      </c>
      <c r="Q75" s="1" t="s">
        <v>962</v>
      </c>
      <c r="R75" s="1" t="s">
        <v>963</v>
      </c>
    </row>
    <row r="76" spans="1:18" ht="93.6" x14ac:dyDescent="0.3">
      <c r="A76" s="12" t="s">
        <v>964</v>
      </c>
      <c r="B76" s="12" t="s">
        <v>965</v>
      </c>
      <c r="C76" s="12" t="s">
        <v>966</v>
      </c>
      <c r="D76" s="13" t="s">
        <v>624</v>
      </c>
      <c r="E76" s="12" t="s">
        <v>967</v>
      </c>
      <c r="F76" s="12" t="s">
        <v>968</v>
      </c>
      <c r="G76" s="12" t="s">
        <v>864</v>
      </c>
      <c r="H76" s="12" t="s">
        <v>389</v>
      </c>
      <c r="I76" s="12" t="s">
        <v>969</v>
      </c>
      <c r="J76" s="12" t="s">
        <v>405</v>
      </c>
      <c r="K76" s="12" t="s">
        <v>872</v>
      </c>
      <c r="L76" s="12" t="s">
        <v>970</v>
      </c>
      <c r="M76" s="12" t="s">
        <v>971</v>
      </c>
      <c r="N76" s="12" t="s">
        <v>972</v>
      </c>
      <c r="O76" s="12" t="s">
        <v>973</v>
      </c>
      <c r="P76" s="1" t="s">
        <v>90</v>
      </c>
      <c r="Q76" s="1"/>
      <c r="R76" s="1" t="s">
        <v>872</v>
      </c>
    </row>
    <row r="77" spans="1:18" ht="409.6" x14ac:dyDescent="0.3">
      <c r="A77" s="12" t="s">
        <v>1071</v>
      </c>
      <c r="B77" s="12" t="s">
        <v>1072</v>
      </c>
      <c r="C77" s="12" t="s">
        <v>1073</v>
      </c>
      <c r="D77" s="13">
        <v>2022</v>
      </c>
      <c r="E77" s="12" t="s">
        <v>197</v>
      </c>
      <c r="F77" s="12" t="s">
        <v>1074</v>
      </c>
      <c r="G77" s="12" t="s">
        <v>82</v>
      </c>
      <c r="H77" s="12" t="s">
        <v>24</v>
      </c>
      <c r="I77" s="12" t="s">
        <v>1075</v>
      </c>
      <c r="J77" s="12" t="s">
        <v>1076</v>
      </c>
      <c r="K77" s="12" t="s">
        <v>1077</v>
      </c>
      <c r="L77" s="12" t="s">
        <v>1078</v>
      </c>
      <c r="M77" s="12" t="s">
        <v>1079</v>
      </c>
      <c r="N77" s="12" t="s">
        <v>1080</v>
      </c>
      <c r="O77" s="12" t="s">
        <v>1086</v>
      </c>
      <c r="P77" s="1" t="s">
        <v>162</v>
      </c>
      <c r="Q77" s="1" t="s">
        <v>1081</v>
      </c>
      <c r="R77" s="1" t="s">
        <v>1082</v>
      </c>
    </row>
    <row r="78" spans="1:18" ht="111.75" customHeight="1" x14ac:dyDescent="0.3">
      <c r="A78" s="12" t="s">
        <v>1087</v>
      </c>
      <c r="B78" s="12" t="s">
        <v>1088</v>
      </c>
      <c r="C78" s="12" t="s">
        <v>1089</v>
      </c>
      <c r="D78" s="13">
        <v>2010</v>
      </c>
      <c r="E78" s="12" t="s">
        <v>1090</v>
      </c>
      <c r="F78" s="12" t="s">
        <v>1091</v>
      </c>
      <c r="G78" s="12" t="s">
        <v>82</v>
      </c>
      <c r="H78" s="12" t="s">
        <v>1051</v>
      </c>
      <c r="I78" s="12" t="s">
        <v>1092</v>
      </c>
      <c r="J78" s="12" t="s">
        <v>1093</v>
      </c>
      <c r="K78" s="12" t="s">
        <v>1094</v>
      </c>
      <c r="L78" s="12" t="s">
        <v>1095</v>
      </c>
      <c r="M78" s="12" t="s">
        <v>1096</v>
      </c>
      <c r="N78" s="12" t="s">
        <v>1097</v>
      </c>
      <c r="O78" s="12" t="s">
        <v>1098</v>
      </c>
      <c r="P78" s="3" t="s">
        <v>220</v>
      </c>
      <c r="Q78" s="3" t="s">
        <v>1099</v>
      </c>
      <c r="R78" s="3" t="s">
        <v>949</v>
      </c>
    </row>
    <row r="79" spans="1:18" ht="409.6" x14ac:dyDescent="0.3">
      <c r="A79" s="12" t="s">
        <v>1100</v>
      </c>
      <c r="B79" s="12" t="s">
        <v>1101</v>
      </c>
      <c r="C79" s="12" t="s">
        <v>1102</v>
      </c>
      <c r="D79" s="13">
        <v>2015</v>
      </c>
      <c r="E79" s="12" t="s">
        <v>1103</v>
      </c>
      <c r="F79" s="12" t="s">
        <v>1104</v>
      </c>
      <c r="G79" s="12" t="s">
        <v>82</v>
      </c>
      <c r="H79" s="12" t="s">
        <v>1051</v>
      </c>
      <c r="I79" s="12" t="s">
        <v>1105</v>
      </c>
      <c r="J79" s="12" t="s">
        <v>1106</v>
      </c>
      <c r="K79" s="12" t="s">
        <v>1107</v>
      </c>
      <c r="L79" s="12" t="s">
        <v>1108</v>
      </c>
      <c r="M79" s="12" t="s">
        <v>1109</v>
      </c>
      <c r="N79" s="12" t="s">
        <v>1110</v>
      </c>
      <c r="O79" s="12" t="s">
        <v>1111</v>
      </c>
      <c r="P79" s="3" t="s">
        <v>90</v>
      </c>
      <c r="Q79" s="3"/>
      <c r="R79" s="3" t="s">
        <v>1112</v>
      </c>
    </row>
    <row r="80" spans="1:18" ht="409.6" x14ac:dyDescent="0.3">
      <c r="A80" s="12" t="s">
        <v>1113</v>
      </c>
      <c r="B80" s="12" t="s">
        <v>1114</v>
      </c>
      <c r="C80" s="12" t="s">
        <v>1115</v>
      </c>
      <c r="D80" s="13">
        <v>2022</v>
      </c>
      <c r="E80" s="12" t="s">
        <v>1116</v>
      </c>
      <c r="F80" s="12" t="s">
        <v>1117</v>
      </c>
      <c r="G80" s="12" t="s">
        <v>285</v>
      </c>
      <c r="H80" s="12" t="s">
        <v>1051</v>
      </c>
      <c r="I80" s="12" t="s">
        <v>1118</v>
      </c>
      <c r="J80" s="12" t="s">
        <v>1119</v>
      </c>
      <c r="K80" s="12" t="s">
        <v>1120</v>
      </c>
      <c r="L80" s="12" t="s">
        <v>1121</v>
      </c>
      <c r="M80" s="12" t="s">
        <v>1122</v>
      </c>
      <c r="N80" s="12" t="s">
        <v>1123</v>
      </c>
      <c r="O80" s="12" t="s">
        <v>1124</v>
      </c>
      <c r="P80" s="3" t="s">
        <v>220</v>
      </c>
      <c r="Q80" s="3" t="s">
        <v>1125</v>
      </c>
      <c r="R80" s="3" t="s">
        <v>1126</v>
      </c>
    </row>
    <row r="81" spans="1:18" ht="409.6" x14ac:dyDescent="0.3">
      <c r="A81" s="12" t="s">
        <v>1129</v>
      </c>
      <c r="B81" s="12" t="s">
        <v>1130</v>
      </c>
      <c r="C81" s="12" t="s">
        <v>1131</v>
      </c>
      <c r="D81" s="13" t="s">
        <v>624</v>
      </c>
      <c r="E81" s="12" t="s">
        <v>1132</v>
      </c>
      <c r="F81" s="12" t="s">
        <v>1133</v>
      </c>
      <c r="G81" s="12" t="s">
        <v>285</v>
      </c>
      <c r="H81" s="12" t="s">
        <v>1061</v>
      </c>
      <c r="I81" s="12" t="s">
        <v>1134</v>
      </c>
      <c r="J81" s="12" t="s">
        <v>1135</v>
      </c>
      <c r="K81" s="12" t="s">
        <v>1136</v>
      </c>
      <c r="L81" s="12" t="s">
        <v>1137</v>
      </c>
      <c r="M81" s="12" t="s">
        <v>1138</v>
      </c>
      <c r="N81" s="12" t="s">
        <v>1139</v>
      </c>
      <c r="O81" s="12" t="s">
        <v>1140</v>
      </c>
      <c r="P81" s="3" t="s">
        <v>177</v>
      </c>
      <c r="Q81" s="3" t="s">
        <v>518</v>
      </c>
      <c r="R81" s="3">
        <v>2.2000000000000002</v>
      </c>
    </row>
    <row r="82" spans="1:18" ht="409.6" x14ac:dyDescent="0.3">
      <c r="A82" s="12" t="s">
        <v>1141</v>
      </c>
      <c r="B82" s="12" t="s">
        <v>1142</v>
      </c>
      <c r="C82" s="12" t="s">
        <v>1143</v>
      </c>
      <c r="D82" s="13" t="s">
        <v>624</v>
      </c>
      <c r="E82" s="12" t="s">
        <v>1144</v>
      </c>
      <c r="F82" s="12" t="s">
        <v>1145</v>
      </c>
      <c r="G82" s="12" t="s">
        <v>23</v>
      </c>
      <c r="H82" s="12" t="s">
        <v>1061</v>
      </c>
      <c r="I82" s="12" t="s">
        <v>1146</v>
      </c>
      <c r="J82" s="12" t="s">
        <v>1147</v>
      </c>
      <c r="K82" s="12" t="s">
        <v>1148</v>
      </c>
      <c r="L82" s="12" t="s">
        <v>1149</v>
      </c>
      <c r="M82" s="12" t="s">
        <v>1150</v>
      </c>
      <c r="N82" s="12" t="s">
        <v>1151</v>
      </c>
      <c r="O82" s="12" t="s">
        <v>1152</v>
      </c>
      <c r="P82" s="3" t="s">
        <v>177</v>
      </c>
      <c r="Q82" s="3" t="s">
        <v>518</v>
      </c>
      <c r="R82" s="3" t="s">
        <v>279</v>
      </c>
    </row>
    <row r="83" spans="1:18" ht="93.6" x14ac:dyDescent="0.3">
      <c r="A83" s="12" t="s">
        <v>1173</v>
      </c>
      <c r="B83" s="20" t="s">
        <v>1156</v>
      </c>
      <c r="C83" s="19" t="s">
        <v>1155</v>
      </c>
      <c r="D83" s="13"/>
      <c r="E83" s="12"/>
      <c r="F83" s="12"/>
      <c r="G83" s="12"/>
      <c r="H83" s="12"/>
      <c r="I83" s="12"/>
      <c r="J83" s="12"/>
      <c r="K83" s="12"/>
      <c r="L83" s="12"/>
      <c r="M83" s="12"/>
      <c r="N83" s="12"/>
      <c r="O83" s="12"/>
    </row>
    <row r="84" spans="1:18" ht="409.6" x14ac:dyDescent="0.3">
      <c r="A84" s="12" t="s">
        <v>1157</v>
      </c>
      <c r="B84" s="20" t="s">
        <v>1158</v>
      </c>
      <c r="C84" s="20" t="s">
        <v>1159</v>
      </c>
      <c r="D84" s="13">
        <v>2001</v>
      </c>
      <c r="E84" s="12" t="s">
        <v>1160</v>
      </c>
      <c r="F84" s="12" t="s">
        <v>1161</v>
      </c>
      <c r="G84" s="12" t="s">
        <v>285</v>
      </c>
      <c r="H84" s="12" t="s">
        <v>389</v>
      </c>
      <c r="I84" s="12" t="s">
        <v>1162</v>
      </c>
      <c r="J84" s="12" t="s">
        <v>1163</v>
      </c>
      <c r="K84" s="12" t="s">
        <v>1164</v>
      </c>
      <c r="L84" s="12" t="s">
        <v>1165</v>
      </c>
      <c r="M84" s="12" t="s">
        <v>1166</v>
      </c>
      <c r="N84" s="12" t="s">
        <v>1167</v>
      </c>
      <c r="O84" s="12" t="s">
        <v>1168</v>
      </c>
      <c r="P84" t="s">
        <v>192</v>
      </c>
      <c r="Q84" t="s">
        <v>1169</v>
      </c>
      <c r="R84" t="s">
        <v>1170</v>
      </c>
    </row>
    <row r="85" spans="1:18" x14ac:dyDescent="0.3">
      <c r="D85" s="5"/>
    </row>
    <row r="86" spans="1:18" x14ac:dyDescent="0.3">
      <c r="D86" s="5"/>
    </row>
    <row r="87" spans="1:18" x14ac:dyDescent="0.3">
      <c r="D87" s="5"/>
    </row>
    <row r="88" spans="1:18" x14ac:dyDescent="0.3">
      <c r="D88" s="5"/>
    </row>
    <row r="89" spans="1:18" x14ac:dyDescent="0.3">
      <c r="D89" s="5"/>
    </row>
    <row r="90" spans="1:18" x14ac:dyDescent="0.3">
      <c r="D90" s="5"/>
    </row>
    <row r="91" spans="1:18" x14ac:dyDescent="0.3">
      <c r="D91" s="5"/>
    </row>
    <row r="92" spans="1:18" x14ac:dyDescent="0.3">
      <c r="D92" s="5"/>
    </row>
    <row r="93" spans="1:18" x14ac:dyDescent="0.3">
      <c r="D93" s="5"/>
    </row>
    <row r="94" spans="1:18" x14ac:dyDescent="0.3">
      <c r="D94" s="5"/>
    </row>
    <row r="95" spans="1:18" x14ac:dyDescent="0.3">
      <c r="D95" s="5"/>
    </row>
    <row r="96" spans="1:18" x14ac:dyDescent="0.3">
      <c r="D96" s="5"/>
    </row>
    <row r="97" spans="4:4" x14ac:dyDescent="0.3">
      <c r="D97" s="5"/>
    </row>
    <row r="98" spans="4:4" x14ac:dyDescent="0.3">
      <c r="D98" s="5"/>
    </row>
    <row r="99" spans="4:4" x14ac:dyDescent="0.3">
      <c r="D99" s="5"/>
    </row>
    <row r="100" spans="4:4" x14ac:dyDescent="0.3">
      <c r="D100" s="5"/>
    </row>
    <row r="101" spans="4:4" x14ac:dyDescent="0.3">
      <c r="D101" s="5"/>
    </row>
    <row r="102" spans="4:4" x14ac:dyDescent="0.3">
      <c r="D102" s="5"/>
    </row>
    <row r="103" spans="4:4" x14ac:dyDescent="0.3">
      <c r="D103" s="5"/>
    </row>
    <row r="104" spans="4:4" x14ac:dyDescent="0.3">
      <c r="D104" s="5"/>
    </row>
    <row r="105" spans="4:4" x14ac:dyDescent="0.3">
      <c r="D105" s="5"/>
    </row>
    <row r="106" spans="4:4" x14ac:dyDescent="0.3">
      <c r="D106" s="5"/>
    </row>
    <row r="107" spans="4:4" x14ac:dyDescent="0.3">
      <c r="D107" s="5"/>
    </row>
    <row r="108" spans="4:4" x14ac:dyDescent="0.3">
      <c r="D108" s="5"/>
    </row>
    <row r="109" spans="4:4" x14ac:dyDescent="0.3">
      <c r="D109" s="5"/>
    </row>
    <row r="110" spans="4:4" x14ac:dyDescent="0.3">
      <c r="D110" s="5"/>
    </row>
    <row r="111" spans="4:4" x14ac:dyDescent="0.3">
      <c r="D111" s="5"/>
    </row>
    <row r="112" spans="4:4" x14ac:dyDescent="0.3">
      <c r="D112" s="5"/>
    </row>
    <row r="113" spans="4:4" x14ac:dyDescent="0.3">
      <c r="D113" s="5"/>
    </row>
    <row r="114" spans="4:4" x14ac:dyDescent="0.3">
      <c r="D114" s="5"/>
    </row>
    <row r="115" spans="4:4" x14ac:dyDescent="0.3">
      <c r="D115" s="5"/>
    </row>
    <row r="116" spans="4:4" x14ac:dyDescent="0.3">
      <c r="D116" s="5"/>
    </row>
    <row r="117" spans="4:4" x14ac:dyDescent="0.3">
      <c r="D117" s="5"/>
    </row>
    <row r="118" spans="4:4" x14ac:dyDescent="0.3">
      <c r="D118" s="5"/>
    </row>
    <row r="119" spans="4:4" x14ac:dyDescent="0.3">
      <c r="D119" s="5"/>
    </row>
    <row r="120" spans="4:4" x14ac:dyDescent="0.3">
      <c r="D120" s="5"/>
    </row>
    <row r="121" spans="4:4" x14ac:dyDescent="0.3">
      <c r="D121" s="5"/>
    </row>
    <row r="122" spans="4:4" x14ac:dyDescent="0.3">
      <c r="D122" s="5"/>
    </row>
    <row r="123" spans="4:4" x14ac:dyDescent="0.3">
      <c r="D123" s="5"/>
    </row>
    <row r="124" spans="4:4" x14ac:dyDescent="0.3">
      <c r="D124" s="5"/>
    </row>
    <row r="125" spans="4:4" x14ac:dyDescent="0.3">
      <c r="D125" s="5"/>
    </row>
    <row r="126" spans="4:4" x14ac:dyDescent="0.3">
      <c r="D126" s="5"/>
    </row>
    <row r="127" spans="4:4" x14ac:dyDescent="0.3">
      <c r="D127" s="5"/>
    </row>
    <row r="128" spans="4:4" x14ac:dyDescent="0.3">
      <c r="D128" s="5"/>
    </row>
    <row r="129" spans="4:4" x14ac:dyDescent="0.3">
      <c r="D129" s="5"/>
    </row>
    <row r="130" spans="4:4" x14ac:dyDescent="0.3">
      <c r="D130" s="5"/>
    </row>
    <row r="131" spans="4:4" x14ac:dyDescent="0.3">
      <c r="D131" s="5"/>
    </row>
    <row r="132" spans="4:4" x14ac:dyDescent="0.3">
      <c r="D132" s="5"/>
    </row>
    <row r="133" spans="4:4" x14ac:dyDescent="0.3">
      <c r="D133" s="5"/>
    </row>
    <row r="134" spans="4:4" x14ac:dyDescent="0.3">
      <c r="D134" s="5"/>
    </row>
    <row r="135" spans="4:4" x14ac:dyDescent="0.3">
      <c r="D135" s="5"/>
    </row>
    <row r="136" spans="4:4" x14ac:dyDescent="0.3">
      <c r="D136" s="5"/>
    </row>
    <row r="137" spans="4:4" x14ac:dyDescent="0.3">
      <c r="D137" s="5"/>
    </row>
    <row r="138" spans="4:4" x14ac:dyDescent="0.3">
      <c r="D138" s="5"/>
    </row>
    <row r="139" spans="4:4" x14ac:dyDescent="0.3">
      <c r="D139" s="5"/>
    </row>
    <row r="140" spans="4:4" x14ac:dyDescent="0.3">
      <c r="D140" s="5"/>
    </row>
    <row r="141" spans="4:4" x14ac:dyDescent="0.3">
      <c r="D141" s="5"/>
    </row>
    <row r="142" spans="4:4" x14ac:dyDescent="0.3">
      <c r="D142" s="5"/>
    </row>
    <row r="143" spans="4:4" x14ac:dyDescent="0.3">
      <c r="D143" s="5"/>
    </row>
    <row r="144" spans="4:4" x14ac:dyDescent="0.3">
      <c r="D144" s="5"/>
    </row>
    <row r="145" spans="4:4" x14ac:dyDescent="0.3">
      <c r="D145" s="5"/>
    </row>
    <row r="146" spans="4:4" x14ac:dyDescent="0.3">
      <c r="D146" s="5"/>
    </row>
    <row r="147" spans="4:4" x14ac:dyDescent="0.3">
      <c r="D147" s="5"/>
    </row>
    <row r="148" spans="4:4" x14ac:dyDescent="0.3">
      <c r="D148" s="5"/>
    </row>
    <row r="149" spans="4:4" x14ac:dyDescent="0.3">
      <c r="D149" s="5"/>
    </row>
    <row r="150" spans="4:4" x14ac:dyDescent="0.3">
      <c r="D150" s="5"/>
    </row>
    <row r="151" spans="4:4" x14ac:dyDescent="0.3">
      <c r="D151" s="5"/>
    </row>
    <row r="152" spans="4:4" x14ac:dyDescent="0.3">
      <c r="D152" s="5"/>
    </row>
    <row r="153" spans="4:4" x14ac:dyDescent="0.3">
      <c r="D153" s="5"/>
    </row>
    <row r="154" spans="4:4" x14ac:dyDescent="0.3">
      <c r="D154" s="5"/>
    </row>
    <row r="155" spans="4:4" x14ac:dyDescent="0.3">
      <c r="D155" s="5"/>
    </row>
    <row r="156" spans="4:4" x14ac:dyDescent="0.3">
      <c r="D156" s="5"/>
    </row>
    <row r="157" spans="4:4" x14ac:dyDescent="0.3">
      <c r="D157" s="5"/>
    </row>
    <row r="158" spans="4:4" x14ac:dyDescent="0.3">
      <c r="D158" s="5"/>
    </row>
    <row r="159" spans="4:4" x14ac:dyDescent="0.3">
      <c r="D159" s="5"/>
    </row>
    <row r="160" spans="4:4" x14ac:dyDescent="0.3">
      <c r="D160" s="5"/>
    </row>
    <row r="161" spans="4:4" x14ac:dyDescent="0.3">
      <c r="D161" s="5"/>
    </row>
    <row r="162" spans="4:4" x14ac:dyDescent="0.3">
      <c r="D162" s="5"/>
    </row>
    <row r="163" spans="4:4" x14ac:dyDescent="0.3">
      <c r="D163" s="5"/>
    </row>
    <row r="164" spans="4:4" x14ac:dyDescent="0.3">
      <c r="D164" s="5"/>
    </row>
    <row r="165" spans="4:4" x14ac:dyDescent="0.3">
      <c r="D165" s="5"/>
    </row>
    <row r="166" spans="4:4" x14ac:dyDescent="0.3">
      <c r="D166" s="5"/>
    </row>
    <row r="167" spans="4:4" x14ac:dyDescent="0.3">
      <c r="D167" s="5"/>
    </row>
    <row r="168" spans="4:4" x14ac:dyDescent="0.3">
      <c r="D168" s="5"/>
    </row>
    <row r="169" spans="4:4" x14ac:dyDescent="0.3">
      <c r="D169" s="5"/>
    </row>
    <row r="170" spans="4:4" x14ac:dyDescent="0.3">
      <c r="D170" s="5"/>
    </row>
    <row r="171" spans="4:4" x14ac:dyDescent="0.3">
      <c r="D171" s="5"/>
    </row>
    <row r="172" spans="4:4" x14ac:dyDescent="0.3">
      <c r="D172" s="5"/>
    </row>
    <row r="173" spans="4:4" x14ac:dyDescent="0.3">
      <c r="D173" s="5"/>
    </row>
    <row r="174" spans="4:4" x14ac:dyDescent="0.3">
      <c r="D174" s="5"/>
    </row>
    <row r="175" spans="4:4" x14ac:dyDescent="0.3">
      <c r="D175" s="5"/>
    </row>
    <row r="176" spans="4:4" x14ac:dyDescent="0.3">
      <c r="D176" s="5"/>
    </row>
    <row r="177" spans="4:4" x14ac:dyDescent="0.3">
      <c r="D177" s="5"/>
    </row>
    <row r="178" spans="4:4" x14ac:dyDescent="0.3">
      <c r="D178" s="5"/>
    </row>
    <row r="179" spans="4:4" x14ac:dyDescent="0.3">
      <c r="D179" s="5"/>
    </row>
    <row r="180" spans="4:4" x14ac:dyDescent="0.3">
      <c r="D180" s="5"/>
    </row>
    <row r="181" spans="4:4" x14ac:dyDescent="0.3">
      <c r="D181" s="5"/>
    </row>
    <row r="182" spans="4:4" x14ac:dyDescent="0.3">
      <c r="D182" s="5"/>
    </row>
    <row r="183" spans="4:4" x14ac:dyDescent="0.3">
      <c r="D183" s="5"/>
    </row>
    <row r="184" spans="4:4" x14ac:dyDescent="0.3">
      <c r="D184" s="5"/>
    </row>
    <row r="185" spans="4:4" x14ac:dyDescent="0.3">
      <c r="D185" s="5"/>
    </row>
    <row r="186" spans="4:4" x14ac:dyDescent="0.3">
      <c r="D186" s="5"/>
    </row>
    <row r="187" spans="4:4" x14ac:dyDescent="0.3">
      <c r="D187" s="5"/>
    </row>
    <row r="188" spans="4:4" x14ac:dyDescent="0.3">
      <c r="D188" s="5"/>
    </row>
    <row r="189" spans="4:4" x14ac:dyDescent="0.3">
      <c r="D189" s="5"/>
    </row>
    <row r="190" spans="4:4" x14ac:dyDescent="0.3">
      <c r="D190" s="5"/>
    </row>
    <row r="191" spans="4:4" x14ac:dyDescent="0.3">
      <c r="D191" s="5"/>
    </row>
    <row r="192" spans="4:4" x14ac:dyDescent="0.3">
      <c r="D192" s="5"/>
    </row>
    <row r="193" spans="4:4" x14ac:dyDescent="0.3">
      <c r="D193" s="5"/>
    </row>
    <row r="194" spans="4:4" x14ac:dyDescent="0.3">
      <c r="D194" s="5"/>
    </row>
    <row r="195" spans="4:4" x14ac:dyDescent="0.3">
      <c r="D195" s="5"/>
    </row>
    <row r="196" spans="4:4" x14ac:dyDescent="0.3">
      <c r="D196" s="5"/>
    </row>
    <row r="197" spans="4:4" x14ac:dyDescent="0.3">
      <c r="D197" s="5"/>
    </row>
    <row r="198" spans="4:4" x14ac:dyDescent="0.3">
      <c r="D198" s="5"/>
    </row>
    <row r="199" spans="4:4" x14ac:dyDescent="0.3">
      <c r="D199" s="5"/>
    </row>
    <row r="200" spans="4:4" x14ac:dyDescent="0.3">
      <c r="D200" s="5"/>
    </row>
    <row r="201" spans="4:4" x14ac:dyDescent="0.3">
      <c r="D201" s="5"/>
    </row>
    <row r="202" spans="4:4" x14ac:dyDescent="0.3">
      <c r="D202" s="5"/>
    </row>
    <row r="203" spans="4:4" x14ac:dyDescent="0.3">
      <c r="D203" s="5"/>
    </row>
    <row r="204" spans="4:4" x14ac:dyDescent="0.3">
      <c r="D204" s="5"/>
    </row>
    <row r="205" spans="4:4" x14ac:dyDescent="0.3">
      <c r="D205" s="5"/>
    </row>
    <row r="206" spans="4:4" x14ac:dyDescent="0.3">
      <c r="D206" s="5"/>
    </row>
    <row r="207" spans="4:4" x14ac:dyDescent="0.3">
      <c r="D207" s="5"/>
    </row>
    <row r="208" spans="4:4" x14ac:dyDescent="0.3">
      <c r="D208" s="5"/>
    </row>
    <row r="209" spans="4:4" x14ac:dyDescent="0.3">
      <c r="D209" s="5"/>
    </row>
    <row r="210" spans="4:4" x14ac:dyDescent="0.3">
      <c r="D210" s="5"/>
    </row>
    <row r="211" spans="4:4" x14ac:dyDescent="0.3">
      <c r="D211" s="5"/>
    </row>
    <row r="212" spans="4:4" x14ac:dyDescent="0.3">
      <c r="D212" s="5"/>
    </row>
    <row r="213" spans="4:4" x14ac:dyDescent="0.3">
      <c r="D213" s="5"/>
    </row>
    <row r="214" spans="4:4" x14ac:dyDescent="0.3">
      <c r="D214" s="5"/>
    </row>
    <row r="215" spans="4:4" x14ac:dyDescent="0.3">
      <c r="D215" s="5"/>
    </row>
    <row r="216" spans="4:4" x14ac:dyDescent="0.3">
      <c r="D216" s="5"/>
    </row>
    <row r="217" spans="4:4" x14ac:dyDescent="0.3">
      <c r="D217" s="5"/>
    </row>
    <row r="218" spans="4:4" x14ac:dyDescent="0.3">
      <c r="D218" s="5"/>
    </row>
    <row r="219" spans="4:4" x14ac:dyDescent="0.3">
      <c r="D219" s="5"/>
    </row>
    <row r="220" spans="4:4" x14ac:dyDescent="0.3">
      <c r="D220" s="5"/>
    </row>
    <row r="221" spans="4:4" x14ac:dyDescent="0.3">
      <c r="D221" s="5"/>
    </row>
    <row r="222" spans="4:4" x14ac:dyDescent="0.3">
      <c r="D222" s="5"/>
    </row>
    <row r="223" spans="4:4" x14ac:dyDescent="0.3">
      <c r="D223" s="5"/>
    </row>
    <row r="224" spans="4:4" x14ac:dyDescent="0.3">
      <c r="D224" s="5"/>
    </row>
    <row r="225" spans="4:4" x14ac:dyDescent="0.3">
      <c r="D225" s="5"/>
    </row>
    <row r="226" spans="4:4" x14ac:dyDescent="0.3">
      <c r="D226" s="5"/>
    </row>
    <row r="227" spans="4:4" x14ac:dyDescent="0.3">
      <c r="D227" s="5"/>
    </row>
    <row r="228" spans="4:4" x14ac:dyDescent="0.3">
      <c r="D228" s="5"/>
    </row>
    <row r="229" spans="4:4" x14ac:dyDescent="0.3">
      <c r="D229" s="5"/>
    </row>
    <row r="230" spans="4:4" x14ac:dyDescent="0.3">
      <c r="D230" s="5"/>
    </row>
    <row r="231" spans="4:4" x14ac:dyDescent="0.3">
      <c r="D231" s="5"/>
    </row>
    <row r="232" spans="4:4" x14ac:dyDescent="0.3">
      <c r="D232" s="5"/>
    </row>
    <row r="233" spans="4:4" x14ac:dyDescent="0.3">
      <c r="D233" s="5"/>
    </row>
    <row r="234" spans="4:4" x14ac:dyDescent="0.3">
      <c r="D234" s="5"/>
    </row>
    <row r="235" spans="4:4" x14ac:dyDescent="0.3">
      <c r="D235" s="5"/>
    </row>
    <row r="236" spans="4:4" x14ac:dyDescent="0.3">
      <c r="D236" s="5"/>
    </row>
    <row r="237" spans="4:4" x14ac:dyDescent="0.3">
      <c r="D237" s="5"/>
    </row>
    <row r="238" spans="4:4" x14ac:dyDescent="0.3">
      <c r="D238" s="5"/>
    </row>
    <row r="239" spans="4:4" x14ac:dyDescent="0.3">
      <c r="D239" s="5"/>
    </row>
    <row r="240" spans="4:4" x14ac:dyDescent="0.3">
      <c r="D240" s="5"/>
    </row>
    <row r="241" spans="4:4" x14ac:dyDescent="0.3">
      <c r="D241" s="5"/>
    </row>
    <row r="242" spans="4:4" x14ac:dyDescent="0.3">
      <c r="D242" s="5"/>
    </row>
    <row r="243" spans="4:4" x14ac:dyDescent="0.3">
      <c r="D243" s="5"/>
    </row>
    <row r="244" spans="4:4" x14ac:dyDescent="0.3">
      <c r="D244" s="5"/>
    </row>
    <row r="245" spans="4:4" x14ac:dyDescent="0.3">
      <c r="D245" s="5"/>
    </row>
    <row r="246" spans="4:4" x14ac:dyDescent="0.3">
      <c r="D246" s="5"/>
    </row>
    <row r="247" spans="4:4" x14ac:dyDescent="0.3">
      <c r="D247" s="5"/>
    </row>
    <row r="248" spans="4:4" x14ac:dyDescent="0.3">
      <c r="D248" s="5"/>
    </row>
    <row r="249" spans="4:4" x14ac:dyDescent="0.3">
      <c r="D249" s="5"/>
    </row>
    <row r="250" spans="4:4" x14ac:dyDescent="0.3">
      <c r="D250" s="5"/>
    </row>
    <row r="251" spans="4:4" x14ac:dyDescent="0.3">
      <c r="D251" s="5"/>
    </row>
    <row r="252" spans="4:4" x14ac:dyDescent="0.3">
      <c r="D252" s="5"/>
    </row>
    <row r="253" spans="4:4" x14ac:dyDescent="0.3">
      <c r="D253" s="5"/>
    </row>
    <row r="254" spans="4:4" x14ac:dyDescent="0.3">
      <c r="D254" s="5"/>
    </row>
    <row r="255" spans="4:4" x14ac:dyDescent="0.3">
      <c r="D255" s="5"/>
    </row>
    <row r="256" spans="4:4" x14ac:dyDescent="0.3">
      <c r="D256" s="5"/>
    </row>
    <row r="257" spans="4:4" x14ac:dyDescent="0.3">
      <c r="D257" s="5"/>
    </row>
    <row r="258" spans="4:4" x14ac:dyDescent="0.3">
      <c r="D258" s="5"/>
    </row>
    <row r="259" spans="4:4" x14ac:dyDescent="0.3">
      <c r="D259" s="5"/>
    </row>
    <row r="260" spans="4:4" x14ac:dyDescent="0.3">
      <c r="D260" s="5"/>
    </row>
    <row r="261" spans="4:4" x14ac:dyDescent="0.3">
      <c r="D261" s="5"/>
    </row>
    <row r="262" spans="4:4" x14ac:dyDescent="0.3">
      <c r="D262" s="5"/>
    </row>
    <row r="263" spans="4:4" x14ac:dyDescent="0.3">
      <c r="D263" s="5"/>
    </row>
    <row r="264" spans="4:4" x14ac:dyDescent="0.3">
      <c r="D264" s="5"/>
    </row>
    <row r="265" spans="4:4" x14ac:dyDescent="0.3">
      <c r="D265" s="5"/>
    </row>
    <row r="266" spans="4:4" x14ac:dyDescent="0.3">
      <c r="D266" s="5"/>
    </row>
    <row r="267" spans="4:4" x14ac:dyDescent="0.3">
      <c r="D267" s="5"/>
    </row>
    <row r="268" spans="4:4" x14ac:dyDescent="0.3">
      <c r="D268" s="5"/>
    </row>
    <row r="269" spans="4:4" x14ac:dyDescent="0.3">
      <c r="D269" s="5"/>
    </row>
    <row r="270" spans="4:4" x14ac:dyDescent="0.3">
      <c r="D270" s="5"/>
    </row>
    <row r="271" spans="4:4" x14ac:dyDescent="0.3">
      <c r="D271" s="5"/>
    </row>
    <row r="272" spans="4:4" x14ac:dyDescent="0.3">
      <c r="D272" s="5"/>
    </row>
    <row r="273" spans="4:4" x14ac:dyDescent="0.3">
      <c r="D273" s="5"/>
    </row>
    <row r="274" spans="4:4" x14ac:dyDescent="0.3">
      <c r="D274" s="5"/>
    </row>
    <row r="275" spans="4:4" x14ac:dyDescent="0.3">
      <c r="D275" s="5"/>
    </row>
    <row r="276" spans="4:4" x14ac:dyDescent="0.3">
      <c r="D276" s="5"/>
    </row>
    <row r="277" spans="4:4" x14ac:dyDescent="0.3">
      <c r="D277" s="5"/>
    </row>
    <row r="278" spans="4:4" x14ac:dyDescent="0.3">
      <c r="D278" s="5"/>
    </row>
    <row r="279" spans="4:4" x14ac:dyDescent="0.3">
      <c r="D279" s="5"/>
    </row>
    <row r="280" spans="4:4" x14ac:dyDescent="0.3">
      <c r="D280" s="5"/>
    </row>
    <row r="281" spans="4:4" x14ac:dyDescent="0.3">
      <c r="D281" s="5"/>
    </row>
    <row r="282" spans="4:4" x14ac:dyDescent="0.3">
      <c r="D282" s="5"/>
    </row>
    <row r="283" spans="4:4" x14ac:dyDescent="0.3">
      <c r="D283" s="5"/>
    </row>
    <row r="284" spans="4:4" x14ac:dyDescent="0.3">
      <c r="D284" s="5"/>
    </row>
    <row r="285" spans="4:4" x14ac:dyDescent="0.3">
      <c r="D285" s="5"/>
    </row>
    <row r="286" spans="4:4" x14ac:dyDescent="0.3">
      <c r="D286" s="5"/>
    </row>
    <row r="287" spans="4:4" x14ac:dyDescent="0.3">
      <c r="D287" s="5"/>
    </row>
    <row r="288" spans="4:4" x14ac:dyDescent="0.3">
      <c r="D288" s="5"/>
    </row>
    <row r="289" spans="4:4" x14ac:dyDescent="0.3">
      <c r="D289" s="5"/>
    </row>
    <row r="290" spans="4:4" x14ac:dyDescent="0.3">
      <c r="D290" s="5"/>
    </row>
    <row r="291" spans="4:4" x14ac:dyDescent="0.3">
      <c r="D291" s="5"/>
    </row>
    <row r="292" spans="4:4" x14ac:dyDescent="0.3">
      <c r="D292" s="5"/>
    </row>
    <row r="293" spans="4:4" x14ac:dyDescent="0.3">
      <c r="D293" s="5"/>
    </row>
    <row r="294" spans="4:4" x14ac:dyDescent="0.3">
      <c r="D294" s="5"/>
    </row>
    <row r="295" spans="4:4" x14ac:dyDescent="0.3">
      <c r="D295" s="5"/>
    </row>
    <row r="296" spans="4:4" x14ac:dyDescent="0.3">
      <c r="D296" s="5"/>
    </row>
    <row r="297" spans="4:4" x14ac:dyDescent="0.3">
      <c r="D297" s="5"/>
    </row>
    <row r="298" spans="4:4" x14ac:dyDescent="0.3">
      <c r="D298" s="5"/>
    </row>
    <row r="299" spans="4:4" x14ac:dyDescent="0.3">
      <c r="D299" s="5"/>
    </row>
    <row r="300" spans="4:4" x14ac:dyDescent="0.3">
      <c r="D300" s="5"/>
    </row>
    <row r="301" spans="4:4" x14ac:dyDescent="0.3">
      <c r="D301" s="5"/>
    </row>
    <row r="302" spans="4:4" x14ac:dyDescent="0.3">
      <c r="D302" s="5"/>
    </row>
    <row r="303" spans="4:4" x14ac:dyDescent="0.3">
      <c r="D303" s="5"/>
    </row>
    <row r="304" spans="4:4" x14ac:dyDescent="0.3">
      <c r="D304" s="5"/>
    </row>
    <row r="305" spans="4:4" x14ac:dyDescent="0.3">
      <c r="D305" s="5"/>
    </row>
    <row r="306" spans="4:4" x14ac:dyDescent="0.3">
      <c r="D306" s="5"/>
    </row>
    <row r="307" spans="4:4" x14ac:dyDescent="0.3">
      <c r="D307" s="5"/>
    </row>
    <row r="308" spans="4:4" x14ac:dyDescent="0.3">
      <c r="D308" s="5"/>
    </row>
    <row r="309" spans="4:4" x14ac:dyDescent="0.3">
      <c r="D309" s="5"/>
    </row>
    <row r="310" spans="4:4" x14ac:dyDescent="0.3">
      <c r="D310" s="5"/>
    </row>
    <row r="311" spans="4:4" x14ac:dyDescent="0.3">
      <c r="D311" s="5"/>
    </row>
    <row r="312" spans="4:4" x14ac:dyDescent="0.3">
      <c r="D312" s="5"/>
    </row>
    <row r="313" spans="4:4" x14ac:dyDescent="0.3">
      <c r="D313" s="5"/>
    </row>
    <row r="314" spans="4:4" x14ac:dyDescent="0.3">
      <c r="D314" s="5"/>
    </row>
    <row r="315" spans="4:4" x14ac:dyDescent="0.3">
      <c r="D315" s="5"/>
    </row>
    <row r="316" spans="4:4" x14ac:dyDescent="0.3">
      <c r="D316" s="5"/>
    </row>
    <row r="317" spans="4:4" x14ac:dyDescent="0.3">
      <c r="D317" s="5"/>
    </row>
    <row r="318" spans="4:4" x14ac:dyDescent="0.3">
      <c r="D318" s="5"/>
    </row>
    <row r="319" spans="4:4" x14ac:dyDescent="0.3">
      <c r="D319" s="5"/>
    </row>
    <row r="320" spans="4:4" x14ac:dyDescent="0.3">
      <c r="D320" s="5"/>
    </row>
    <row r="321" spans="4:4" x14ac:dyDescent="0.3">
      <c r="D321" s="5"/>
    </row>
    <row r="322" spans="4:4" x14ac:dyDescent="0.3">
      <c r="D322" s="5"/>
    </row>
    <row r="323" spans="4:4" x14ac:dyDescent="0.3">
      <c r="D323" s="5"/>
    </row>
    <row r="324" spans="4:4" x14ac:dyDescent="0.3">
      <c r="D324" s="5"/>
    </row>
    <row r="325" spans="4:4" x14ac:dyDescent="0.3">
      <c r="D325" s="5"/>
    </row>
    <row r="326" spans="4:4" x14ac:dyDescent="0.3">
      <c r="D326" s="5"/>
    </row>
    <row r="327" spans="4:4" x14ac:dyDescent="0.3">
      <c r="D327" s="5"/>
    </row>
    <row r="328" spans="4:4" x14ac:dyDescent="0.3">
      <c r="D328" s="5"/>
    </row>
    <row r="329" spans="4:4" x14ac:dyDescent="0.3">
      <c r="D329" s="5"/>
    </row>
    <row r="330" spans="4:4" x14ac:dyDescent="0.3">
      <c r="D330" s="5"/>
    </row>
    <row r="331" spans="4:4" x14ac:dyDescent="0.3">
      <c r="D331" s="5"/>
    </row>
    <row r="332" spans="4:4" x14ac:dyDescent="0.3">
      <c r="D332" s="5"/>
    </row>
    <row r="333" spans="4:4" x14ac:dyDescent="0.3">
      <c r="D333" s="5"/>
    </row>
    <row r="334" spans="4:4" x14ac:dyDescent="0.3">
      <c r="D334" s="5"/>
    </row>
    <row r="335" spans="4:4" x14ac:dyDescent="0.3">
      <c r="D335" s="5"/>
    </row>
    <row r="336" spans="4:4" x14ac:dyDescent="0.3">
      <c r="D336" s="5"/>
    </row>
    <row r="337" spans="4:4" x14ac:dyDescent="0.3">
      <c r="D337" s="5"/>
    </row>
    <row r="338" spans="4:4" x14ac:dyDescent="0.3">
      <c r="D338" s="5"/>
    </row>
    <row r="339" spans="4:4" x14ac:dyDescent="0.3">
      <c r="D339" s="5"/>
    </row>
    <row r="340" spans="4:4" x14ac:dyDescent="0.3">
      <c r="D340" s="5"/>
    </row>
    <row r="341" spans="4:4" x14ac:dyDescent="0.3">
      <c r="D341" s="5"/>
    </row>
    <row r="342" spans="4:4" x14ac:dyDescent="0.3">
      <c r="D342" s="5"/>
    </row>
    <row r="343" spans="4:4" x14ac:dyDescent="0.3">
      <c r="D343" s="5"/>
    </row>
    <row r="344" spans="4:4" x14ac:dyDescent="0.3">
      <c r="D344" s="5"/>
    </row>
    <row r="345" spans="4:4" x14ac:dyDescent="0.3">
      <c r="D345" s="5"/>
    </row>
    <row r="346" spans="4:4" x14ac:dyDescent="0.3">
      <c r="D346" s="5"/>
    </row>
    <row r="347" spans="4:4" x14ac:dyDescent="0.3">
      <c r="D347" s="5"/>
    </row>
    <row r="348" spans="4:4" x14ac:dyDescent="0.3">
      <c r="D348" s="5"/>
    </row>
    <row r="349" spans="4:4" x14ac:dyDescent="0.3">
      <c r="D349" s="5"/>
    </row>
    <row r="350" spans="4:4" x14ac:dyDescent="0.3">
      <c r="D350" s="5"/>
    </row>
    <row r="351" spans="4:4" x14ac:dyDescent="0.3">
      <c r="D351" s="5"/>
    </row>
    <row r="352" spans="4:4" x14ac:dyDescent="0.3">
      <c r="D352" s="5"/>
    </row>
    <row r="353" spans="4:4" x14ac:dyDescent="0.3">
      <c r="D353" s="5"/>
    </row>
    <row r="354" spans="4:4" x14ac:dyDescent="0.3">
      <c r="D354" s="5"/>
    </row>
    <row r="355" spans="4:4" x14ac:dyDescent="0.3">
      <c r="D355" s="5"/>
    </row>
    <row r="356" spans="4:4" x14ac:dyDescent="0.3">
      <c r="D356" s="5"/>
    </row>
    <row r="357" spans="4:4" x14ac:dyDescent="0.3">
      <c r="D357" s="5"/>
    </row>
    <row r="358" spans="4:4" x14ac:dyDescent="0.3">
      <c r="D358" s="5"/>
    </row>
    <row r="359" spans="4:4" x14ac:dyDescent="0.3">
      <c r="D359" s="5"/>
    </row>
    <row r="360" spans="4:4" x14ac:dyDescent="0.3">
      <c r="D360" s="5"/>
    </row>
    <row r="361" spans="4:4" x14ac:dyDescent="0.3">
      <c r="D361" s="5"/>
    </row>
    <row r="362" spans="4:4" x14ac:dyDescent="0.3">
      <c r="D362" s="5"/>
    </row>
    <row r="363" spans="4:4" x14ac:dyDescent="0.3">
      <c r="D363" s="5"/>
    </row>
    <row r="364" spans="4:4" x14ac:dyDescent="0.3">
      <c r="D364" s="5"/>
    </row>
    <row r="365" spans="4:4" x14ac:dyDescent="0.3">
      <c r="D365" s="5"/>
    </row>
    <row r="366" spans="4:4" x14ac:dyDescent="0.3">
      <c r="D366" s="5"/>
    </row>
    <row r="367" spans="4:4" x14ac:dyDescent="0.3">
      <c r="D367" s="5"/>
    </row>
    <row r="368" spans="4:4" x14ac:dyDescent="0.3">
      <c r="D368" s="5"/>
    </row>
    <row r="369" spans="4:4" x14ac:dyDescent="0.3">
      <c r="D369" s="5"/>
    </row>
    <row r="370" spans="4:4" x14ac:dyDescent="0.3">
      <c r="D370" s="5"/>
    </row>
    <row r="371" spans="4:4" x14ac:dyDescent="0.3">
      <c r="D371" s="5"/>
    </row>
    <row r="372" spans="4:4" x14ac:dyDescent="0.3">
      <c r="D372" s="5"/>
    </row>
    <row r="373" spans="4:4" x14ac:dyDescent="0.3">
      <c r="D373" s="5"/>
    </row>
    <row r="374" spans="4:4" x14ac:dyDescent="0.3">
      <c r="D374" s="5"/>
    </row>
    <row r="375" spans="4:4" x14ac:dyDescent="0.3">
      <c r="D375" s="5"/>
    </row>
    <row r="376" spans="4:4" x14ac:dyDescent="0.3">
      <c r="D376" s="5"/>
    </row>
    <row r="377" spans="4:4" x14ac:dyDescent="0.3">
      <c r="D377" s="5"/>
    </row>
    <row r="378" spans="4:4" x14ac:dyDescent="0.3">
      <c r="D378" s="5"/>
    </row>
    <row r="379" spans="4:4" x14ac:dyDescent="0.3">
      <c r="D379" s="5"/>
    </row>
    <row r="380" spans="4:4" x14ac:dyDescent="0.3">
      <c r="D380" s="5"/>
    </row>
    <row r="381" spans="4:4" x14ac:dyDescent="0.3">
      <c r="D381" s="5"/>
    </row>
    <row r="382" spans="4:4" x14ac:dyDescent="0.3">
      <c r="D382" s="5"/>
    </row>
    <row r="383" spans="4:4" x14ac:dyDescent="0.3">
      <c r="D383" s="5"/>
    </row>
    <row r="384" spans="4:4" x14ac:dyDescent="0.3">
      <c r="D384" s="5"/>
    </row>
    <row r="385" spans="4:4" x14ac:dyDescent="0.3">
      <c r="D385" s="5"/>
    </row>
    <row r="386" spans="4:4" x14ac:dyDescent="0.3">
      <c r="D386" s="5"/>
    </row>
    <row r="387" spans="4:4" x14ac:dyDescent="0.3">
      <c r="D387" s="5"/>
    </row>
    <row r="388" spans="4:4" x14ac:dyDescent="0.3">
      <c r="D388" s="5"/>
    </row>
    <row r="389" spans="4:4" x14ac:dyDescent="0.3">
      <c r="D389" s="5"/>
    </row>
    <row r="390" spans="4:4" x14ac:dyDescent="0.3">
      <c r="D390" s="5"/>
    </row>
    <row r="391" spans="4:4" x14ac:dyDescent="0.3">
      <c r="D391" s="5"/>
    </row>
    <row r="392" spans="4:4" x14ac:dyDescent="0.3">
      <c r="D392" s="5"/>
    </row>
    <row r="393" spans="4:4" x14ac:dyDescent="0.3">
      <c r="D393" s="5"/>
    </row>
    <row r="394" spans="4:4" x14ac:dyDescent="0.3">
      <c r="D394" s="5"/>
    </row>
    <row r="395" spans="4:4" x14ac:dyDescent="0.3">
      <c r="D395" s="5"/>
    </row>
    <row r="396" spans="4:4" x14ac:dyDescent="0.3">
      <c r="D396" s="5"/>
    </row>
    <row r="397" spans="4:4" x14ac:dyDescent="0.3">
      <c r="D397" s="5"/>
    </row>
    <row r="398" spans="4:4" x14ac:dyDescent="0.3">
      <c r="D398" s="5"/>
    </row>
    <row r="399" spans="4:4" x14ac:dyDescent="0.3">
      <c r="D399" s="5"/>
    </row>
    <row r="400" spans="4:4" x14ac:dyDescent="0.3">
      <c r="D400" s="5"/>
    </row>
    <row r="401" spans="4:4" x14ac:dyDescent="0.3">
      <c r="D401" s="5"/>
    </row>
    <row r="402" spans="4:4" x14ac:dyDescent="0.3">
      <c r="D402" s="5"/>
    </row>
    <row r="403" spans="4:4" x14ac:dyDescent="0.3">
      <c r="D403" s="5"/>
    </row>
    <row r="404" spans="4:4" x14ac:dyDescent="0.3">
      <c r="D404" s="5"/>
    </row>
    <row r="405" spans="4:4" x14ac:dyDescent="0.3">
      <c r="D405" s="5"/>
    </row>
    <row r="406" spans="4:4" x14ac:dyDescent="0.3">
      <c r="D406" s="5"/>
    </row>
    <row r="407" spans="4:4" x14ac:dyDescent="0.3">
      <c r="D407" s="5"/>
    </row>
    <row r="408" spans="4:4" x14ac:dyDescent="0.3">
      <c r="D408" s="5"/>
    </row>
    <row r="409" spans="4:4" x14ac:dyDescent="0.3">
      <c r="D409" s="5"/>
    </row>
    <row r="410" spans="4:4" x14ac:dyDescent="0.3">
      <c r="D410" s="5"/>
    </row>
    <row r="411" spans="4:4" x14ac:dyDescent="0.3">
      <c r="D411" s="5"/>
    </row>
    <row r="412" spans="4:4" x14ac:dyDescent="0.3">
      <c r="D412" s="5"/>
    </row>
    <row r="413" spans="4:4" x14ac:dyDescent="0.3">
      <c r="D413" s="5"/>
    </row>
    <row r="414" spans="4:4" x14ac:dyDescent="0.3">
      <c r="D414" s="5"/>
    </row>
    <row r="415" spans="4:4" x14ac:dyDescent="0.3">
      <c r="D415" s="5"/>
    </row>
    <row r="416" spans="4:4" x14ac:dyDescent="0.3">
      <c r="D416" s="5"/>
    </row>
    <row r="417" spans="4:4" x14ac:dyDescent="0.3">
      <c r="D417" s="5"/>
    </row>
    <row r="418" spans="4:4" x14ac:dyDescent="0.3">
      <c r="D418" s="5"/>
    </row>
    <row r="419" spans="4:4" x14ac:dyDescent="0.3">
      <c r="D419" s="5"/>
    </row>
    <row r="420" spans="4:4" x14ac:dyDescent="0.3">
      <c r="D420" s="5"/>
    </row>
    <row r="421" spans="4:4" x14ac:dyDescent="0.3">
      <c r="D421" s="5"/>
    </row>
    <row r="422" spans="4:4" x14ac:dyDescent="0.3">
      <c r="D422" s="5"/>
    </row>
    <row r="423" spans="4:4" x14ac:dyDescent="0.3">
      <c r="D423" s="5"/>
    </row>
    <row r="424" spans="4:4" x14ac:dyDescent="0.3">
      <c r="D424" s="5"/>
    </row>
    <row r="425" spans="4:4" x14ac:dyDescent="0.3">
      <c r="D425" s="5"/>
    </row>
    <row r="426" spans="4:4" x14ac:dyDescent="0.3">
      <c r="D426" s="5"/>
    </row>
    <row r="427" spans="4:4" x14ac:dyDescent="0.3">
      <c r="D427" s="5"/>
    </row>
    <row r="428" spans="4:4" x14ac:dyDescent="0.3">
      <c r="D428" s="5"/>
    </row>
    <row r="429" spans="4:4" x14ac:dyDescent="0.3">
      <c r="D429" s="5"/>
    </row>
    <row r="430" spans="4:4" x14ac:dyDescent="0.3">
      <c r="D430" s="5"/>
    </row>
    <row r="431" spans="4:4" x14ac:dyDescent="0.3">
      <c r="D431" s="5"/>
    </row>
    <row r="432" spans="4:4" x14ac:dyDescent="0.3">
      <c r="D432" s="5"/>
    </row>
    <row r="433" spans="4:4" x14ac:dyDescent="0.3">
      <c r="D433" s="5"/>
    </row>
    <row r="434" spans="4:4" x14ac:dyDescent="0.3">
      <c r="D434" s="5"/>
    </row>
    <row r="435" spans="4:4" x14ac:dyDescent="0.3">
      <c r="D435" s="5"/>
    </row>
    <row r="436" spans="4:4" x14ac:dyDescent="0.3">
      <c r="D436" s="5"/>
    </row>
    <row r="437" spans="4:4" x14ac:dyDescent="0.3">
      <c r="D437" s="5"/>
    </row>
    <row r="438" spans="4:4" x14ac:dyDescent="0.3">
      <c r="D438" s="5"/>
    </row>
    <row r="439" spans="4:4" x14ac:dyDescent="0.3">
      <c r="D439" s="5"/>
    </row>
    <row r="440" spans="4:4" x14ac:dyDescent="0.3">
      <c r="D440" s="5"/>
    </row>
    <row r="441" spans="4:4" x14ac:dyDescent="0.3">
      <c r="D441" s="5"/>
    </row>
    <row r="442" spans="4:4" x14ac:dyDescent="0.3">
      <c r="D442" s="5"/>
    </row>
    <row r="443" spans="4:4" x14ac:dyDescent="0.3">
      <c r="D443" s="5"/>
    </row>
    <row r="444" spans="4:4" x14ac:dyDescent="0.3">
      <c r="D444" s="5"/>
    </row>
    <row r="445" spans="4:4" x14ac:dyDescent="0.3">
      <c r="D445" s="5"/>
    </row>
    <row r="446" spans="4:4" x14ac:dyDescent="0.3">
      <c r="D446" s="5"/>
    </row>
    <row r="447" spans="4:4" x14ac:dyDescent="0.3">
      <c r="D447" s="5"/>
    </row>
    <row r="448" spans="4:4" x14ac:dyDescent="0.3">
      <c r="D448" s="5"/>
    </row>
    <row r="449" spans="4:4" x14ac:dyDescent="0.3">
      <c r="D449" s="5"/>
    </row>
    <row r="450" spans="4:4" x14ac:dyDescent="0.3">
      <c r="D450" s="5"/>
    </row>
    <row r="451" spans="4:4" x14ac:dyDescent="0.3">
      <c r="D451" s="5"/>
    </row>
    <row r="452" spans="4:4" x14ac:dyDescent="0.3">
      <c r="D452" s="5"/>
    </row>
    <row r="453" spans="4:4" x14ac:dyDescent="0.3">
      <c r="D453" s="5"/>
    </row>
    <row r="454" spans="4:4" x14ac:dyDescent="0.3">
      <c r="D454" s="5"/>
    </row>
    <row r="455" spans="4:4" x14ac:dyDescent="0.3">
      <c r="D455" s="5"/>
    </row>
    <row r="456" spans="4:4" x14ac:dyDescent="0.3">
      <c r="D456" s="5"/>
    </row>
    <row r="457" spans="4:4" x14ac:dyDescent="0.3">
      <c r="D457" s="5"/>
    </row>
    <row r="458" spans="4:4" x14ac:dyDescent="0.3">
      <c r="D458" s="5"/>
    </row>
    <row r="459" spans="4:4" x14ac:dyDescent="0.3">
      <c r="D459" s="5"/>
    </row>
    <row r="460" spans="4:4" x14ac:dyDescent="0.3">
      <c r="D460" s="5"/>
    </row>
    <row r="461" spans="4:4" x14ac:dyDescent="0.3">
      <c r="D461" s="5"/>
    </row>
    <row r="462" spans="4:4" x14ac:dyDescent="0.3">
      <c r="D462" s="5"/>
    </row>
    <row r="463" spans="4:4" x14ac:dyDescent="0.3">
      <c r="D463" s="5"/>
    </row>
    <row r="464" spans="4:4" x14ac:dyDescent="0.3">
      <c r="D464" s="5"/>
    </row>
    <row r="465" spans="4:4" x14ac:dyDescent="0.3">
      <c r="D465" s="5"/>
    </row>
    <row r="466" spans="4:4" x14ac:dyDescent="0.3">
      <c r="D466" s="5"/>
    </row>
    <row r="467" spans="4:4" x14ac:dyDescent="0.3">
      <c r="D467" s="5"/>
    </row>
    <row r="468" spans="4:4" x14ac:dyDescent="0.3">
      <c r="D468" s="5"/>
    </row>
    <row r="469" spans="4:4" x14ac:dyDescent="0.3">
      <c r="D469" s="5"/>
    </row>
    <row r="470" spans="4:4" x14ac:dyDescent="0.3">
      <c r="D470" s="5"/>
    </row>
    <row r="471" spans="4:4" x14ac:dyDescent="0.3">
      <c r="D471" s="5"/>
    </row>
    <row r="472" spans="4:4" x14ac:dyDescent="0.3">
      <c r="D472" s="5"/>
    </row>
    <row r="473" spans="4:4" x14ac:dyDescent="0.3">
      <c r="D473" s="5"/>
    </row>
    <row r="474" spans="4:4" x14ac:dyDescent="0.3">
      <c r="D474" s="5"/>
    </row>
    <row r="475" spans="4:4" x14ac:dyDescent="0.3">
      <c r="D475" s="5"/>
    </row>
    <row r="476" spans="4:4" x14ac:dyDescent="0.3">
      <c r="D476" s="5"/>
    </row>
    <row r="477" spans="4:4" x14ac:dyDescent="0.3">
      <c r="D477" s="5"/>
    </row>
    <row r="478" spans="4:4" x14ac:dyDescent="0.3">
      <c r="D478" s="5"/>
    </row>
    <row r="479" spans="4:4" x14ac:dyDescent="0.3">
      <c r="D479" s="5"/>
    </row>
    <row r="480" spans="4:4" x14ac:dyDescent="0.3">
      <c r="D480" s="5"/>
    </row>
    <row r="481" spans="4:4" x14ac:dyDescent="0.3">
      <c r="D481" s="5"/>
    </row>
    <row r="482" spans="4:4" x14ac:dyDescent="0.3">
      <c r="D482" s="5"/>
    </row>
    <row r="483" spans="4:4" x14ac:dyDescent="0.3">
      <c r="D483" s="5"/>
    </row>
    <row r="484" spans="4:4" x14ac:dyDescent="0.3">
      <c r="D484" s="5"/>
    </row>
    <row r="485" spans="4:4" x14ac:dyDescent="0.3">
      <c r="D485" s="5"/>
    </row>
    <row r="486" spans="4:4" x14ac:dyDescent="0.3">
      <c r="D486" s="5"/>
    </row>
    <row r="487" spans="4:4" x14ac:dyDescent="0.3">
      <c r="D487" s="5"/>
    </row>
    <row r="488" spans="4:4" x14ac:dyDescent="0.3">
      <c r="D488" s="5"/>
    </row>
    <row r="489" spans="4:4" x14ac:dyDescent="0.3">
      <c r="D489" s="5"/>
    </row>
    <row r="490" spans="4:4" x14ac:dyDescent="0.3">
      <c r="D490" s="5"/>
    </row>
    <row r="491" spans="4:4" x14ac:dyDescent="0.3">
      <c r="D491" s="5"/>
    </row>
    <row r="492" spans="4:4" x14ac:dyDescent="0.3">
      <c r="D492" s="5"/>
    </row>
    <row r="493" spans="4:4" x14ac:dyDescent="0.3">
      <c r="D493" s="5"/>
    </row>
    <row r="494" spans="4:4" x14ac:dyDescent="0.3">
      <c r="D494" s="5"/>
    </row>
    <row r="495" spans="4:4" x14ac:dyDescent="0.3">
      <c r="D495" s="5"/>
    </row>
    <row r="496" spans="4:4" x14ac:dyDescent="0.3">
      <c r="D496" s="5"/>
    </row>
    <row r="497" spans="4:4" x14ac:dyDescent="0.3">
      <c r="D497" s="5"/>
    </row>
    <row r="498" spans="4:4" x14ac:dyDescent="0.3">
      <c r="D498" s="5"/>
    </row>
    <row r="499" spans="4:4" x14ac:dyDescent="0.3">
      <c r="D499" s="5"/>
    </row>
    <row r="500" spans="4:4" x14ac:dyDescent="0.3">
      <c r="D500" s="5"/>
    </row>
    <row r="501" spans="4:4" x14ac:dyDescent="0.3">
      <c r="D501" s="5"/>
    </row>
    <row r="502" spans="4:4" x14ac:dyDescent="0.3">
      <c r="D502" s="5"/>
    </row>
    <row r="503" spans="4:4" x14ac:dyDescent="0.3">
      <c r="D503" s="5"/>
    </row>
    <row r="504" spans="4:4" x14ac:dyDescent="0.3">
      <c r="D504" s="5"/>
    </row>
    <row r="505" spans="4:4" x14ac:dyDescent="0.3">
      <c r="D505" s="5"/>
    </row>
    <row r="506" spans="4:4" x14ac:dyDescent="0.3">
      <c r="D506" s="5"/>
    </row>
    <row r="507" spans="4:4" x14ac:dyDescent="0.3">
      <c r="D507" s="5"/>
    </row>
    <row r="508" spans="4:4" x14ac:dyDescent="0.3">
      <c r="D508" s="5"/>
    </row>
    <row r="509" spans="4:4" x14ac:dyDescent="0.3">
      <c r="D509" s="5"/>
    </row>
    <row r="510" spans="4:4" x14ac:dyDescent="0.3">
      <c r="D510" s="5"/>
    </row>
    <row r="511" spans="4:4" x14ac:dyDescent="0.3">
      <c r="D511" s="5"/>
    </row>
    <row r="512" spans="4:4" x14ac:dyDescent="0.3">
      <c r="D512" s="5"/>
    </row>
    <row r="513" spans="4:4" x14ac:dyDescent="0.3">
      <c r="D513" s="5"/>
    </row>
    <row r="514" spans="4:4" x14ac:dyDescent="0.3">
      <c r="D514" s="5"/>
    </row>
    <row r="515" spans="4:4" x14ac:dyDescent="0.3">
      <c r="D515" s="5"/>
    </row>
    <row r="516" spans="4:4" x14ac:dyDescent="0.3">
      <c r="D516" s="5"/>
    </row>
    <row r="517" spans="4:4" x14ac:dyDescent="0.3">
      <c r="D517" s="5"/>
    </row>
    <row r="518" spans="4:4" x14ac:dyDescent="0.3">
      <c r="D518" s="5"/>
    </row>
    <row r="519" spans="4:4" x14ac:dyDescent="0.3">
      <c r="D519" s="5"/>
    </row>
    <row r="520" spans="4:4" x14ac:dyDescent="0.3">
      <c r="D520" s="5"/>
    </row>
    <row r="521" spans="4:4" x14ac:dyDescent="0.3">
      <c r="D521" s="5"/>
    </row>
    <row r="522" spans="4:4" x14ac:dyDescent="0.3">
      <c r="D522" s="5"/>
    </row>
    <row r="523" spans="4:4" x14ac:dyDescent="0.3">
      <c r="D523" s="5"/>
    </row>
    <row r="524" spans="4:4" x14ac:dyDescent="0.3">
      <c r="D524" s="5"/>
    </row>
    <row r="525" spans="4:4" x14ac:dyDescent="0.3">
      <c r="D525" s="5"/>
    </row>
    <row r="526" spans="4:4" x14ac:dyDescent="0.3">
      <c r="D526" s="5"/>
    </row>
    <row r="527" spans="4:4" x14ac:dyDescent="0.3">
      <c r="D527" s="5"/>
    </row>
    <row r="528" spans="4:4" x14ac:dyDescent="0.3">
      <c r="D528" s="5"/>
    </row>
    <row r="529" spans="4:4" x14ac:dyDescent="0.3">
      <c r="D529" s="5"/>
    </row>
    <row r="530" spans="4:4" x14ac:dyDescent="0.3">
      <c r="D530" s="5"/>
    </row>
    <row r="531" spans="4:4" x14ac:dyDescent="0.3">
      <c r="D531" s="5"/>
    </row>
    <row r="532" spans="4:4" x14ac:dyDescent="0.3">
      <c r="D532" s="5"/>
    </row>
    <row r="533" spans="4:4" x14ac:dyDescent="0.3">
      <c r="D533" s="5"/>
    </row>
    <row r="534" spans="4:4" x14ac:dyDescent="0.3">
      <c r="D534" s="5"/>
    </row>
    <row r="535" spans="4:4" x14ac:dyDescent="0.3">
      <c r="D535" s="5"/>
    </row>
    <row r="536" spans="4:4" x14ac:dyDescent="0.3">
      <c r="D536" s="5"/>
    </row>
    <row r="537" spans="4:4" x14ac:dyDescent="0.3">
      <c r="D537" s="5"/>
    </row>
    <row r="538" spans="4:4" x14ac:dyDescent="0.3">
      <c r="D538" s="5"/>
    </row>
    <row r="539" spans="4:4" x14ac:dyDescent="0.3">
      <c r="D539" s="5"/>
    </row>
    <row r="540" spans="4:4" x14ac:dyDescent="0.3">
      <c r="D540" s="5"/>
    </row>
    <row r="541" spans="4:4" x14ac:dyDescent="0.3">
      <c r="D541" s="5"/>
    </row>
    <row r="542" spans="4:4" x14ac:dyDescent="0.3">
      <c r="D542" s="5"/>
    </row>
    <row r="543" spans="4:4" x14ac:dyDescent="0.3">
      <c r="D543" s="5"/>
    </row>
    <row r="544" spans="4:4" x14ac:dyDescent="0.3">
      <c r="D544" s="5"/>
    </row>
    <row r="545" spans="4:4" x14ac:dyDescent="0.3">
      <c r="D545" s="5"/>
    </row>
    <row r="546" spans="4:4" x14ac:dyDescent="0.3">
      <c r="D546" s="5"/>
    </row>
    <row r="547" spans="4:4" x14ac:dyDescent="0.3">
      <c r="D547" s="5"/>
    </row>
    <row r="548" spans="4:4" x14ac:dyDescent="0.3">
      <c r="D548" s="5"/>
    </row>
    <row r="549" spans="4:4" x14ac:dyDescent="0.3">
      <c r="D549" s="5"/>
    </row>
    <row r="550" spans="4:4" x14ac:dyDescent="0.3">
      <c r="D550" s="5"/>
    </row>
    <row r="551" spans="4:4" x14ac:dyDescent="0.3">
      <c r="D551" s="5"/>
    </row>
    <row r="552" spans="4:4" x14ac:dyDescent="0.3">
      <c r="D552" s="5"/>
    </row>
    <row r="553" spans="4:4" x14ac:dyDescent="0.3">
      <c r="D553" s="5"/>
    </row>
    <row r="554" spans="4:4" x14ac:dyDescent="0.3">
      <c r="D554" s="5"/>
    </row>
    <row r="555" spans="4:4" x14ac:dyDescent="0.3">
      <c r="D555" s="5"/>
    </row>
    <row r="556" spans="4:4" x14ac:dyDescent="0.3">
      <c r="D556" s="5"/>
    </row>
    <row r="557" spans="4:4" x14ac:dyDescent="0.3">
      <c r="D557" s="5"/>
    </row>
    <row r="558" spans="4:4" x14ac:dyDescent="0.3">
      <c r="D558" s="5"/>
    </row>
    <row r="559" spans="4:4" x14ac:dyDescent="0.3">
      <c r="D559" s="5"/>
    </row>
    <row r="560" spans="4:4" x14ac:dyDescent="0.3">
      <c r="D560" s="5"/>
    </row>
    <row r="561" spans="4:4" x14ac:dyDescent="0.3">
      <c r="D561" s="5"/>
    </row>
    <row r="562" spans="4:4" x14ac:dyDescent="0.3">
      <c r="D562" s="5"/>
    </row>
    <row r="563" spans="4:4" x14ac:dyDescent="0.3">
      <c r="D563" s="5"/>
    </row>
    <row r="564" spans="4:4" x14ac:dyDescent="0.3">
      <c r="D564" s="5"/>
    </row>
    <row r="565" spans="4:4" x14ac:dyDescent="0.3">
      <c r="D565" s="5"/>
    </row>
    <row r="566" spans="4:4" x14ac:dyDescent="0.3">
      <c r="D566" s="5"/>
    </row>
    <row r="567" spans="4:4" x14ac:dyDescent="0.3">
      <c r="D567" s="5"/>
    </row>
    <row r="568" spans="4:4" x14ac:dyDescent="0.3">
      <c r="D568" s="5"/>
    </row>
    <row r="569" spans="4:4" x14ac:dyDescent="0.3">
      <c r="D569" s="5"/>
    </row>
    <row r="570" spans="4:4" x14ac:dyDescent="0.3">
      <c r="D570" s="5"/>
    </row>
    <row r="571" spans="4:4" x14ac:dyDescent="0.3">
      <c r="D571" s="5"/>
    </row>
    <row r="572" spans="4:4" x14ac:dyDescent="0.3">
      <c r="D572" s="5"/>
    </row>
    <row r="573" spans="4:4" x14ac:dyDescent="0.3">
      <c r="D573" s="5"/>
    </row>
    <row r="574" spans="4:4" x14ac:dyDescent="0.3">
      <c r="D574" s="5"/>
    </row>
    <row r="575" spans="4:4" x14ac:dyDescent="0.3">
      <c r="D575" s="5"/>
    </row>
    <row r="576" spans="4:4" x14ac:dyDescent="0.3">
      <c r="D576" s="5"/>
    </row>
    <row r="577" spans="4:4" x14ac:dyDescent="0.3">
      <c r="D577" s="5"/>
    </row>
    <row r="578" spans="4:4" x14ac:dyDescent="0.3">
      <c r="D578" s="5"/>
    </row>
    <row r="579" spans="4:4" x14ac:dyDescent="0.3">
      <c r="D579" s="5"/>
    </row>
    <row r="580" spans="4:4" x14ac:dyDescent="0.3">
      <c r="D580" s="5"/>
    </row>
    <row r="581" spans="4:4" x14ac:dyDescent="0.3">
      <c r="D581" s="5"/>
    </row>
    <row r="582" spans="4:4" x14ac:dyDescent="0.3">
      <c r="D582" s="5"/>
    </row>
    <row r="583" spans="4:4" x14ac:dyDescent="0.3">
      <c r="D583" s="5"/>
    </row>
    <row r="584" spans="4:4" x14ac:dyDescent="0.3">
      <c r="D584" s="5"/>
    </row>
    <row r="585" spans="4:4" x14ac:dyDescent="0.3">
      <c r="D585" s="5"/>
    </row>
    <row r="586" spans="4:4" x14ac:dyDescent="0.3">
      <c r="D586" s="5"/>
    </row>
    <row r="587" spans="4:4" x14ac:dyDescent="0.3">
      <c r="D587" s="5"/>
    </row>
    <row r="588" spans="4:4" x14ac:dyDescent="0.3">
      <c r="D588" s="5"/>
    </row>
    <row r="589" spans="4:4" x14ac:dyDescent="0.3">
      <c r="D589" s="5"/>
    </row>
    <row r="590" spans="4:4" x14ac:dyDescent="0.3">
      <c r="D590" s="5"/>
    </row>
    <row r="591" spans="4:4" x14ac:dyDescent="0.3">
      <c r="D591" s="5"/>
    </row>
    <row r="592" spans="4:4" x14ac:dyDescent="0.3">
      <c r="D592" s="5"/>
    </row>
    <row r="593" spans="4:4" x14ac:dyDescent="0.3">
      <c r="D593" s="5"/>
    </row>
    <row r="594" spans="4:4" x14ac:dyDescent="0.3">
      <c r="D594" s="5"/>
    </row>
    <row r="595" spans="4:4" x14ac:dyDescent="0.3">
      <c r="D595" s="5"/>
    </row>
    <row r="596" spans="4:4" x14ac:dyDescent="0.3">
      <c r="D596" s="5"/>
    </row>
    <row r="597" spans="4:4" x14ac:dyDescent="0.3">
      <c r="D597" s="5"/>
    </row>
    <row r="598" spans="4:4" x14ac:dyDescent="0.3">
      <c r="D598" s="5"/>
    </row>
    <row r="599" spans="4:4" x14ac:dyDescent="0.3">
      <c r="D599" s="5"/>
    </row>
    <row r="600" spans="4:4" x14ac:dyDescent="0.3">
      <c r="D600" s="5"/>
    </row>
    <row r="601" spans="4:4" x14ac:dyDescent="0.3">
      <c r="D601" s="5"/>
    </row>
    <row r="602" spans="4:4" x14ac:dyDescent="0.3">
      <c r="D602" s="5"/>
    </row>
    <row r="603" spans="4:4" x14ac:dyDescent="0.3">
      <c r="D603" s="5"/>
    </row>
    <row r="604" spans="4:4" x14ac:dyDescent="0.3">
      <c r="D604" s="5"/>
    </row>
    <row r="605" spans="4:4" x14ac:dyDescent="0.3">
      <c r="D605" s="5"/>
    </row>
    <row r="606" spans="4:4" x14ac:dyDescent="0.3">
      <c r="D606" s="5"/>
    </row>
    <row r="607" spans="4:4" x14ac:dyDescent="0.3">
      <c r="D607" s="5"/>
    </row>
    <row r="608" spans="4:4" x14ac:dyDescent="0.3">
      <c r="D608" s="5"/>
    </row>
    <row r="609" spans="4:4" x14ac:dyDescent="0.3">
      <c r="D609" s="5"/>
    </row>
    <row r="610" spans="4:4" x14ac:dyDescent="0.3">
      <c r="D610" s="5"/>
    </row>
    <row r="611" spans="4:4" x14ac:dyDescent="0.3">
      <c r="D611" s="5"/>
    </row>
    <row r="612" spans="4:4" x14ac:dyDescent="0.3">
      <c r="D612" s="5"/>
    </row>
    <row r="613" spans="4:4" x14ac:dyDescent="0.3">
      <c r="D613" s="5"/>
    </row>
    <row r="614" spans="4:4" x14ac:dyDescent="0.3">
      <c r="D614" s="5"/>
    </row>
    <row r="615" spans="4:4" x14ac:dyDescent="0.3">
      <c r="D615" s="5"/>
    </row>
    <row r="616" spans="4:4" x14ac:dyDescent="0.3">
      <c r="D616" s="5"/>
    </row>
    <row r="617" spans="4:4" x14ac:dyDescent="0.3">
      <c r="D617" s="5"/>
    </row>
    <row r="618" spans="4:4" x14ac:dyDescent="0.3">
      <c r="D618" s="5"/>
    </row>
    <row r="619" spans="4:4" x14ac:dyDescent="0.3">
      <c r="D619" s="5"/>
    </row>
    <row r="620" spans="4:4" x14ac:dyDescent="0.3">
      <c r="D620" s="5"/>
    </row>
    <row r="621" spans="4:4" x14ac:dyDescent="0.3">
      <c r="D621" s="5"/>
    </row>
    <row r="622" spans="4:4" x14ac:dyDescent="0.3">
      <c r="D622" s="5"/>
    </row>
    <row r="623" spans="4:4" x14ac:dyDescent="0.3">
      <c r="D623" s="5"/>
    </row>
    <row r="624" spans="4:4" x14ac:dyDescent="0.3">
      <c r="D624" s="5"/>
    </row>
    <row r="625" spans="4:4" x14ac:dyDescent="0.3">
      <c r="D625" s="5"/>
    </row>
    <row r="626" spans="4:4" x14ac:dyDescent="0.3">
      <c r="D626" s="5"/>
    </row>
    <row r="627" spans="4:4" x14ac:dyDescent="0.3">
      <c r="D627" s="5"/>
    </row>
    <row r="628" spans="4:4" x14ac:dyDescent="0.3">
      <c r="D628" s="5"/>
    </row>
    <row r="629" spans="4:4" x14ac:dyDescent="0.3">
      <c r="D629" s="5"/>
    </row>
    <row r="630" spans="4:4" x14ac:dyDescent="0.3">
      <c r="D630" s="5"/>
    </row>
    <row r="631" spans="4:4" x14ac:dyDescent="0.3">
      <c r="D631" s="5"/>
    </row>
    <row r="632" spans="4:4" x14ac:dyDescent="0.3">
      <c r="D632" s="5"/>
    </row>
    <row r="633" spans="4:4" x14ac:dyDescent="0.3">
      <c r="D633" s="5"/>
    </row>
    <row r="634" spans="4:4" x14ac:dyDescent="0.3">
      <c r="D634" s="5"/>
    </row>
    <row r="635" spans="4:4" x14ac:dyDescent="0.3">
      <c r="D635" s="5"/>
    </row>
    <row r="636" spans="4:4" x14ac:dyDescent="0.3">
      <c r="D636" s="5"/>
    </row>
    <row r="637" spans="4:4" x14ac:dyDescent="0.3">
      <c r="D637" s="5"/>
    </row>
    <row r="638" spans="4:4" x14ac:dyDescent="0.3">
      <c r="D638" s="5"/>
    </row>
    <row r="639" spans="4:4" x14ac:dyDescent="0.3">
      <c r="D639" s="5"/>
    </row>
    <row r="640" spans="4:4" x14ac:dyDescent="0.3">
      <c r="D640" s="5"/>
    </row>
    <row r="641" spans="4:4" x14ac:dyDescent="0.3">
      <c r="D641" s="5"/>
    </row>
    <row r="642" spans="4:4" x14ac:dyDescent="0.3">
      <c r="D642" s="5"/>
    </row>
    <row r="643" spans="4:4" x14ac:dyDescent="0.3">
      <c r="D643" s="5"/>
    </row>
    <row r="644" spans="4:4" x14ac:dyDescent="0.3">
      <c r="D644" s="5"/>
    </row>
    <row r="645" spans="4:4" x14ac:dyDescent="0.3">
      <c r="D645" s="5"/>
    </row>
    <row r="646" spans="4:4" x14ac:dyDescent="0.3">
      <c r="D646" s="5"/>
    </row>
    <row r="647" spans="4:4" x14ac:dyDescent="0.3">
      <c r="D647" s="5"/>
    </row>
    <row r="648" spans="4:4" x14ac:dyDescent="0.3">
      <c r="D648" s="5"/>
    </row>
    <row r="649" spans="4:4" x14ac:dyDescent="0.3">
      <c r="D649" s="5"/>
    </row>
    <row r="650" spans="4:4" x14ac:dyDescent="0.3">
      <c r="D650" s="5"/>
    </row>
    <row r="651" spans="4:4" x14ac:dyDescent="0.3">
      <c r="D651" s="5"/>
    </row>
    <row r="652" spans="4:4" x14ac:dyDescent="0.3">
      <c r="D652" s="5"/>
    </row>
    <row r="653" spans="4:4" x14ac:dyDescent="0.3">
      <c r="D653" s="5"/>
    </row>
    <row r="654" spans="4:4" x14ac:dyDescent="0.3">
      <c r="D654" s="5"/>
    </row>
    <row r="655" spans="4:4" x14ac:dyDescent="0.3">
      <c r="D655" s="5"/>
    </row>
    <row r="656" spans="4:4" x14ac:dyDescent="0.3">
      <c r="D656" s="5"/>
    </row>
    <row r="657" spans="4:4" x14ac:dyDescent="0.3">
      <c r="D657" s="5"/>
    </row>
    <row r="658" spans="4:4" x14ac:dyDescent="0.3">
      <c r="D658" s="5"/>
    </row>
    <row r="659" spans="4:4" x14ac:dyDescent="0.3">
      <c r="D659" s="5"/>
    </row>
    <row r="660" spans="4:4" x14ac:dyDescent="0.3">
      <c r="D660" s="5"/>
    </row>
    <row r="661" spans="4:4" x14ac:dyDescent="0.3">
      <c r="D661" s="5"/>
    </row>
    <row r="662" spans="4:4" x14ac:dyDescent="0.3">
      <c r="D662" s="5"/>
    </row>
    <row r="663" spans="4:4" x14ac:dyDescent="0.3">
      <c r="D663" s="5"/>
    </row>
    <row r="664" spans="4:4" x14ac:dyDescent="0.3">
      <c r="D664" s="5"/>
    </row>
    <row r="665" spans="4:4" x14ac:dyDescent="0.3">
      <c r="D665" s="5"/>
    </row>
    <row r="666" spans="4:4" x14ac:dyDescent="0.3">
      <c r="D666" s="5"/>
    </row>
    <row r="667" spans="4:4" x14ac:dyDescent="0.3">
      <c r="D667" s="5"/>
    </row>
    <row r="668" spans="4:4" x14ac:dyDescent="0.3">
      <c r="D668" s="5"/>
    </row>
    <row r="669" spans="4:4" x14ac:dyDescent="0.3">
      <c r="D669" s="5"/>
    </row>
    <row r="670" spans="4:4" x14ac:dyDescent="0.3">
      <c r="D670" s="5"/>
    </row>
    <row r="671" spans="4:4" x14ac:dyDescent="0.3">
      <c r="D671" s="5"/>
    </row>
    <row r="672" spans="4:4" x14ac:dyDescent="0.3">
      <c r="D672" s="5"/>
    </row>
    <row r="673" spans="4:4" x14ac:dyDescent="0.3">
      <c r="D673" s="5"/>
    </row>
    <row r="674" spans="4:4" x14ac:dyDescent="0.3">
      <c r="D674" s="5"/>
    </row>
    <row r="675" spans="4:4" x14ac:dyDescent="0.3">
      <c r="D675" s="5"/>
    </row>
    <row r="676" spans="4:4" x14ac:dyDescent="0.3">
      <c r="D676" s="5"/>
    </row>
    <row r="677" spans="4:4" x14ac:dyDescent="0.3">
      <c r="D677" s="5"/>
    </row>
    <row r="678" spans="4:4" x14ac:dyDescent="0.3">
      <c r="D678" s="5"/>
    </row>
    <row r="679" spans="4:4" x14ac:dyDescent="0.3">
      <c r="D679" s="5"/>
    </row>
    <row r="680" spans="4:4" x14ac:dyDescent="0.3">
      <c r="D680" s="5"/>
    </row>
    <row r="681" spans="4:4" x14ac:dyDescent="0.3">
      <c r="D681" s="5"/>
    </row>
    <row r="682" spans="4:4" x14ac:dyDescent="0.3">
      <c r="D682" s="5"/>
    </row>
    <row r="683" spans="4:4" x14ac:dyDescent="0.3">
      <c r="D683" s="5"/>
    </row>
    <row r="684" spans="4:4" x14ac:dyDescent="0.3">
      <c r="D684" s="5"/>
    </row>
    <row r="685" spans="4:4" x14ac:dyDescent="0.3">
      <c r="D685" s="5"/>
    </row>
    <row r="686" spans="4:4" x14ac:dyDescent="0.3">
      <c r="D686" s="5"/>
    </row>
    <row r="687" spans="4:4" x14ac:dyDescent="0.3">
      <c r="D687" s="5"/>
    </row>
    <row r="688" spans="4:4" x14ac:dyDescent="0.3">
      <c r="D688" s="5"/>
    </row>
    <row r="689" spans="4:4" x14ac:dyDescent="0.3">
      <c r="D689" s="5"/>
    </row>
    <row r="690" spans="4:4" x14ac:dyDescent="0.3">
      <c r="D690" s="5"/>
    </row>
    <row r="691" spans="4:4" x14ac:dyDescent="0.3">
      <c r="D691" s="5"/>
    </row>
    <row r="692" spans="4:4" x14ac:dyDescent="0.3">
      <c r="D692" s="5"/>
    </row>
    <row r="693" spans="4:4" x14ac:dyDescent="0.3">
      <c r="D693" s="5"/>
    </row>
    <row r="694" spans="4:4" x14ac:dyDescent="0.3">
      <c r="D694" s="5"/>
    </row>
    <row r="695" spans="4:4" x14ac:dyDescent="0.3">
      <c r="D695" s="5"/>
    </row>
    <row r="696" spans="4:4" x14ac:dyDescent="0.3">
      <c r="D696" s="5"/>
    </row>
    <row r="697" spans="4:4" x14ac:dyDescent="0.3">
      <c r="D697" s="5"/>
    </row>
    <row r="698" spans="4:4" x14ac:dyDescent="0.3">
      <c r="D698" s="5"/>
    </row>
    <row r="699" spans="4:4" x14ac:dyDescent="0.3">
      <c r="D699" s="5"/>
    </row>
    <row r="700" spans="4:4" x14ac:dyDescent="0.3">
      <c r="D700" s="5"/>
    </row>
    <row r="701" spans="4:4" x14ac:dyDescent="0.3">
      <c r="D701" s="5"/>
    </row>
    <row r="702" spans="4:4" x14ac:dyDescent="0.3">
      <c r="D702" s="5"/>
    </row>
    <row r="703" spans="4:4" x14ac:dyDescent="0.3">
      <c r="D703" s="5"/>
    </row>
    <row r="704" spans="4:4" x14ac:dyDescent="0.3">
      <c r="D704" s="5"/>
    </row>
    <row r="705" spans="4:4" x14ac:dyDescent="0.3">
      <c r="D705" s="5"/>
    </row>
    <row r="706" spans="4:4" x14ac:dyDescent="0.3">
      <c r="D706" s="5"/>
    </row>
    <row r="707" spans="4:4" x14ac:dyDescent="0.3">
      <c r="D707" s="5"/>
    </row>
    <row r="708" spans="4:4" x14ac:dyDescent="0.3">
      <c r="D708" s="5"/>
    </row>
    <row r="709" spans="4:4" x14ac:dyDescent="0.3">
      <c r="D709" s="5"/>
    </row>
    <row r="710" spans="4:4" x14ac:dyDescent="0.3">
      <c r="D710" s="5"/>
    </row>
    <row r="711" spans="4:4" x14ac:dyDescent="0.3">
      <c r="D711" s="5"/>
    </row>
    <row r="712" spans="4:4" x14ac:dyDescent="0.3">
      <c r="D712" s="5"/>
    </row>
    <row r="713" spans="4:4" x14ac:dyDescent="0.3">
      <c r="D713" s="5"/>
    </row>
    <row r="714" spans="4:4" x14ac:dyDescent="0.3">
      <c r="D714" s="5"/>
    </row>
    <row r="715" spans="4:4" x14ac:dyDescent="0.3">
      <c r="D715" s="5"/>
    </row>
    <row r="716" spans="4:4" x14ac:dyDescent="0.3">
      <c r="D716" s="5"/>
    </row>
    <row r="717" spans="4:4" x14ac:dyDescent="0.3">
      <c r="D717" s="5"/>
    </row>
    <row r="718" spans="4:4" x14ac:dyDescent="0.3">
      <c r="D718" s="5"/>
    </row>
    <row r="719" spans="4:4" x14ac:dyDescent="0.3">
      <c r="D719" s="5"/>
    </row>
    <row r="720" spans="4:4" x14ac:dyDescent="0.3">
      <c r="D720" s="5"/>
    </row>
    <row r="721" spans="4:4" x14ac:dyDescent="0.3">
      <c r="D721" s="5"/>
    </row>
    <row r="722" spans="4:4" x14ac:dyDescent="0.3">
      <c r="D722" s="5"/>
    </row>
    <row r="723" spans="4:4" x14ac:dyDescent="0.3">
      <c r="D723" s="5"/>
    </row>
    <row r="724" spans="4:4" x14ac:dyDescent="0.3">
      <c r="D724" s="5"/>
    </row>
    <row r="725" spans="4:4" x14ac:dyDescent="0.3">
      <c r="D725" s="5"/>
    </row>
    <row r="726" spans="4:4" x14ac:dyDescent="0.3">
      <c r="D726" s="5"/>
    </row>
    <row r="727" spans="4:4" x14ac:dyDescent="0.3">
      <c r="D727" s="5"/>
    </row>
    <row r="728" spans="4:4" x14ac:dyDescent="0.3">
      <c r="D728" s="5"/>
    </row>
    <row r="729" spans="4:4" x14ac:dyDescent="0.3">
      <c r="D729" s="5"/>
    </row>
    <row r="730" spans="4:4" x14ac:dyDescent="0.3">
      <c r="D730" s="5"/>
    </row>
    <row r="731" spans="4:4" x14ac:dyDescent="0.3">
      <c r="D731" s="5"/>
    </row>
    <row r="732" spans="4:4" x14ac:dyDescent="0.3">
      <c r="D732" s="5"/>
    </row>
    <row r="733" spans="4:4" x14ac:dyDescent="0.3">
      <c r="D733" s="5"/>
    </row>
    <row r="734" spans="4:4" x14ac:dyDescent="0.3">
      <c r="D734" s="5"/>
    </row>
    <row r="735" spans="4:4" x14ac:dyDescent="0.3">
      <c r="D735" s="5"/>
    </row>
    <row r="736" spans="4:4" x14ac:dyDescent="0.3">
      <c r="D736" s="5"/>
    </row>
    <row r="737" spans="4:4" x14ac:dyDescent="0.3">
      <c r="D737" s="5"/>
    </row>
    <row r="738" spans="4:4" x14ac:dyDescent="0.3">
      <c r="D738" s="5"/>
    </row>
    <row r="739" spans="4:4" x14ac:dyDescent="0.3">
      <c r="D739" s="5"/>
    </row>
    <row r="740" spans="4:4" x14ac:dyDescent="0.3">
      <c r="D740" s="5"/>
    </row>
    <row r="741" spans="4:4" x14ac:dyDescent="0.3">
      <c r="D741" s="5"/>
    </row>
    <row r="742" spans="4:4" x14ac:dyDescent="0.3">
      <c r="D742" s="5"/>
    </row>
    <row r="743" spans="4:4" x14ac:dyDescent="0.3">
      <c r="D743" s="5"/>
    </row>
    <row r="744" spans="4:4" x14ac:dyDescent="0.3">
      <c r="D744" s="5"/>
    </row>
    <row r="745" spans="4:4" x14ac:dyDescent="0.3">
      <c r="D745" s="5"/>
    </row>
    <row r="746" spans="4:4" x14ac:dyDescent="0.3">
      <c r="D746" s="5"/>
    </row>
    <row r="747" spans="4:4" x14ac:dyDescent="0.3">
      <c r="D747" s="5"/>
    </row>
    <row r="748" spans="4:4" x14ac:dyDescent="0.3">
      <c r="D748" s="5"/>
    </row>
    <row r="749" spans="4:4" x14ac:dyDescent="0.3">
      <c r="D749" s="5"/>
    </row>
    <row r="750" spans="4:4" x14ac:dyDescent="0.3">
      <c r="D750" s="5"/>
    </row>
    <row r="751" spans="4:4" x14ac:dyDescent="0.3">
      <c r="D751" s="5"/>
    </row>
    <row r="752" spans="4:4" x14ac:dyDescent="0.3">
      <c r="D752" s="5"/>
    </row>
    <row r="753" spans="4:4" x14ac:dyDescent="0.3">
      <c r="D753" s="5"/>
    </row>
    <row r="754" spans="4:4" x14ac:dyDescent="0.3">
      <c r="D754" s="5"/>
    </row>
    <row r="755" spans="4:4" x14ac:dyDescent="0.3">
      <c r="D755" s="5"/>
    </row>
    <row r="756" spans="4:4" x14ac:dyDescent="0.3">
      <c r="D756" s="5"/>
    </row>
    <row r="757" spans="4:4" x14ac:dyDescent="0.3">
      <c r="D757" s="5"/>
    </row>
    <row r="758" spans="4:4" x14ac:dyDescent="0.3">
      <c r="D758" s="5"/>
    </row>
    <row r="759" spans="4:4" x14ac:dyDescent="0.3">
      <c r="D759" s="5"/>
    </row>
    <row r="760" spans="4:4" x14ac:dyDescent="0.3">
      <c r="D760" s="5"/>
    </row>
    <row r="761" spans="4:4" x14ac:dyDescent="0.3">
      <c r="D761" s="5"/>
    </row>
    <row r="762" spans="4:4" x14ac:dyDescent="0.3">
      <c r="D762" s="5"/>
    </row>
    <row r="763" spans="4:4" x14ac:dyDescent="0.3">
      <c r="D763" s="5"/>
    </row>
    <row r="764" spans="4:4" x14ac:dyDescent="0.3">
      <c r="D764" s="5"/>
    </row>
    <row r="765" spans="4:4" x14ac:dyDescent="0.3">
      <c r="D765" s="5"/>
    </row>
    <row r="766" spans="4:4" x14ac:dyDescent="0.3">
      <c r="D766" s="5"/>
    </row>
    <row r="767" spans="4:4" x14ac:dyDescent="0.3">
      <c r="D767" s="5"/>
    </row>
    <row r="768" spans="4:4" x14ac:dyDescent="0.3">
      <c r="D768" s="5"/>
    </row>
    <row r="769" spans="4:4" x14ac:dyDescent="0.3">
      <c r="D769" s="5"/>
    </row>
    <row r="770" spans="4:4" x14ac:dyDescent="0.3">
      <c r="D770" s="5"/>
    </row>
    <row r="771" spans="4:4" x14ac:dyDescent="0.3">
      <c r="D771" s="5"/>
    </row>
    <row r="772" spans="4:4" x14ac:dyDescent="0.3">
      <c r="D772" s="5"/>
    </row>
    <row r="773" spans="4:4" x14ac:dyDescent="0.3">
      <c r="D773" s="5"/>
    </row>
    <row r="774" spans="4:4" x14ac:dyDescent="0.3">
      <c r="D774" s="5"/>
    </row>
    <row r="775" spans="4:4" x14ac:dyDescent="0.3">
      <c r="D775" s="5"/>
    </row>
    <row r="776" spans="4:4" x14ac:dyDescent="0.3">
      <c r="D776" s="5"/>
    </row>
    <row r="777" spans="4:4" x14ac:dyDescent="0.3">
      <c r="D777" s="5"/>
    </row>
    <row r="778" spans="4:4" x14ac:dyDescent="0.3">
      <c r="D778" s="5"/>
    </row>
    <row r="779" spans="4:4" x14ac:dyDescent="0.3">
      <c r="D779" s="5"/>
    </row>
    <row r="780" spans="4:4" x14ac:dyDescent="0.3">
      <c r="D780" s="5"/>
    </row>
    <row r="781" spans="4:4" x14ac:dyDescent="0.3">
      <c r="D781" s="5"/>
    </row>
    <row r="782" spans="4:4" x14ac:dyDescent="0.3">
      <c r="D782" s="5"/>
    </row>
    <row r="783" spans="4:4" x14ac:dyDescent="0.3">
      <c r="D783" s="5"/>
    </row>
    <row r="784" spans="4:4" x14ac:dyDescent="0.3">
      <c r="D784" s="5"/>
    </row>
    <row r="785" spans="4:4" x14ac:dyDescent="0.3">
      <c r="D785" s="5"/>
    </row>
    <row r="786" spans="4:4" x14ac:dyDescent="0.3">
      <c r="D786" s="5"/>
    </row>
    <row r="787" spans="4:4" x14ac:dyDescent="0.3">
      <c r="D787" s="5"/>
    </row>
    <row r="788" spans="4:4" x14ac:dyDescent="0.3">
      <c r="D788" s="5"/>
    </row>
    <row r="789" spans="4:4" x14ac:dyDescent="0.3">
      <c r="D789" s="5"/>
    </row>
    <row r="790" spans="4:4" x14ac:dyDescent="0.3">
      <c r="D790" s="5"/>
    </row>
    <row r="791" spans="4:4" x14ac:dyDescent="0.3">
      <c r="D791" s="5"/>
    </row>
    <row r="792" spans="4:4" x14ac:dyDescent="0.3">
      <c r="D792" s="5"/>
    </row>
    <row r="793" spans="4:4" x14ac:dyDescent="0.3">
      <c r="D793" s="5"/>
    </row>
    <row r="794" spans="4:4" x14ac:dyDescent="0.3">
      <c r="D794" s="5"/>
    </row>
    <row r="795" spans="4:4" x14ac:dyDescent="0.3">
      <c r="D795" s="5"/>
    </row>
    <row r="796" spans="4:4" x14ac:dyDescent="0.3">
      <c r="D796" s="5"/>
    </row>
    <row r="797" spans="4:4" x14ac:dyDescent="0.3">
      <c r="D797" s="5"/>
    </row>
    <row r="798" spans="4:4" x14ac:dyDescent="0.3">
      <c r="D798" s="5"/>
    </row>
    <row r="799" spans="4:4" x14ac:dyDescent="0.3">
      <c r="D799" s="5"/>
    </row>
    <row r="800" spans="4:4" x14ac:dyDescent="0.3">
      <c r="D800" s="5"/>
    </row>
    <row r="801" spans="4:4" x14ac:dyDescent="0.3">
      <c r="D801" s="5"/>
    </row>
    <row r="802" spans="4:4" x14ac:dyDescent="0.3">
      <c r="D802" s="5"/>
    </row>
    <row r="803" spans="4:4" x14ac:dyDescent="0.3">
      <c r="D803" s="5"/>
    </row>
    <row r="804" spans="4:4" x14ac:dyDescent="0.3">
      <c r="D804" s="5"/>
    </row>
    <row r="805" spans="4:4" x14ac:dyDescent="0.3">
      <c r="D805" s="5"/>
    </row>
    <row r="806" spans="4:4" x14ac:dyDescent="0.3">
      <c r="D806" s="5"/>
    </row>
    <row r="807" spans="4:4" x14ac:dyDescent="0.3">
      <c r="D807" s="5"/>
    </row>
    <row r="808" spans="4:4" x14ac:dyDescent="0.3">
      <c r="D808" s="5"/>
    </row>
    <row r="809" spans="4:4" x14ac:dyDescent="0.3">
      <c r="D809" s="5"/>
    </row>
    <row r="810" spans="4:4" x14ac:dyDescent="0.3">
      <c r="D810" s="5"/>
    </row>
    <row r="811" spans="4:4" x14ac:dyDescent="0.3">
      <c r="D811" s="5"/>
    </row>
    <row r="812" spans="4:4" x14ac:dyDescent="0.3">
      <c r="D812" s="5"/>
    </row>
    <row r="813" spans="4:4" x14ac:dyDescent="0.3">
      <c r="D813" s="5"/>
    </row>
    <row r="814" spans="4:4" x14ac:dyDescent="0.3">
      <c r="D814" s="5"/>
    </row>
    <row r="815" spans="4:4" x14ac:dyDescent="0.3">
      <c r="D815" s="5"/>
    </row>
    <row r="816" spans="4:4" x14ac:dyDescent="0.3">
      <c r="D816" s="5"/>
    </row>
    <row r="817" spans="4:4" x14ac:dyDescent="0.3">
      <c r="D817" s="5"/>
    </row>
    <row r="818" spans="4:4" x14ac:dyDescent="0.3">
      <c r="D818" s="5"/>
    </row>
    <row r="819" spans="4:4" x14ac:dyDescent="0.3">
      <c r="D819" s="5"/>
    </row>
    <row r="820" spans="4:4" x14ac:dyDescent="0.3">
      <c r="D820" s="5"/>
    </row>
    <row r="821" spans="4:4" x14ac:dyDescent="0.3">
      <c r="D821" s="5"/>
    </row>
    <row r="822" spans="4:4" x14ac:dyDescent="0.3">
      <c r="D822" s="5"/>
    </row>
    <row r="823" spans="4:4" x14ac:dyDescent="0.3">
      <c r="D823" s="5"/>
    </row>
    <row r="824" spans="4:4" x14ac:dyDescent="0.3">
      <c r="D824" s="5"/>
    </row>
    <row r="825" spans="4:4" x14ac:dyDescent="0.3">
      <c r="D825" s="5"/>
    </row>
    <row r="826" spans="4:4" x14ac:dyDescent="0.3">
      <c r="D826" s="5"/>
    </row>
    <row r="827" spans="4:4" x14ac:dyDescent="0.3">
      <c r="D827" s="5"/>
    </row>
    <row r="828" spans="4:4" x14ac:dyDescent="0.3">
      <c r="D828" s="5"/>
    </row>
    <row r="829" spans="4:4" x14ac:dyDescent="0.3">
      <c r="D829" s="5"/>
    </row>
    <row r="830" spans="4:4" x14ac:dyDescent="0.3">
      <c r="D830" s="5"/>
    </row>
    <row r="831" spans="4:4" x14ac:dyDescent="0.3">
      <c r="D831" s="5"/>
    </row>
    <row r="832" spans="4:4" x14ac:dyDescent="0.3">
      <c r="D832" s="5"/>
    </row>
    <row r="833" spans="4:4" x14ac:dyDescent="0.3">
      <c r="D833" s="5"/>
    </row>
    <row r="834" spans="4:4" x14ac:dyDescent="0.3">
      <c r="D834" s="5"/>
    </row>
    <row r="835" spans="4:4" x14ac:dyDescent="0.3">
      <c r="D835" s="5"/>
    </row>
    <row r="836" spans="4:4" x14ac:dyDescent="0.3">
      <c r="D836" s="5"/>
    </row>
    <row r="837" spans="4:4" x14ac:dyDescent="0.3">
      <c r="D837" s="5"/>
    </row>
    <row r="838" spans="4:4" x14ac:dyDescent="0.3">
      <c r="D838" s="5"/>
    </row>
    <row r="839" spans="4:4" x14ac:dyDescent="0.3">
      <c r="D839" s="5"/>
    </row>
    <row r="840" spans="4:4" x14ac:dyDescent="0.3">
      <c r="D840" s="5"/>
    </row>
    <row r="841" spans="4:4" x14ac:dyDescent="0.3">
      <c r="D841" s="5"/>
    </row>
    <row r="842" spans="4:4" x14ac:dyDescent="0.3">
      <c r="D842" s="5"/>
    </row>
    <row r="843" spans="4:4" x14ac:dyDescent="0.3">
      <c r="D843" s="5"/>
    </row>
    <row r="844" spans="4:4" x14ac:dyDescent="0.3">
      <c r="D844" s="5"/>
    </row>
    <row r="845" spans="4:4" x14ac:dyDescent="0.3">
      <c r="D845" s="5"/>
    </row>
    <row r="846" spans="4:4" x14ac:dyDescent="0.3">
      <c r="D846" s="5"/>
    </row>
    <row r="847" spans="4:4" x14ac:dyDescent="0.3">
      <c r="D847" s="5"/>
    </row>
    <row r="848" spans="4:4" x14ac:dyDescent="0.3">
      <c r="D848" s="5"/>
    </row>
    <row r="849" spans="4:4" x14ac:dyDescent="0.3">
      <c r="D849" s="5"/>
    </row>
    <row r="850" spans="4:4" x14ac:dyDescent="0.3">
      <c r="D850" s="5"/>
    </row>
    <row r="851" spans="4:4" x14ac:dyDescent="0.3">
      <c r="D851" s="5"/>
    </row>
    <row r="852" spans="4:4" x14ac:dyDescent="0.3">
      <c r="D852" s="5"/>
    </row>
    <row r="853" spans="4:4" x14ac:dyDescent="0.3">
      <c r="D853" s="5"/>
    </row>
    <row r="854" spans="4:4" x14ac:dyDescent="0.3">
      <c r="D854" s="5"/>
    </row>
    <row r="855" spans="4:4" x14ac:dyDescent="0.3">
      <c r="D855" s="5"/>
    </row>
    <row r="856" spans="4:4" x14ac:dyDescent="0.3">
      <c r="D856" s="5"/>
    </row>
    <row r="857" spans="4:4" x14ac:dyDescent="0.3">
      <c r="D857" s="5"/>
    </row>
    <row r="858" spans="4:4" x14ac:dyDescent="0.3">
      <c r="D858" s="5"/>
    </row>
    <row r="859" spans="4:4" x14ac:dyDescent="0.3">
      <c r="D859" s="5"/>
    </row>
    <row r="860" spans="4:4" x14ac:dyDescent="0.3">
      <c r="D860" s="5"/>
    </row>
    <row r="861" spans="4:4" x14ac:dyDescent="0.3">
      <c r="D861" s="5"/>
    </row>
    <row r="862" spans="4:4" x14ac:dyDescent="0.3">
      <c r="D862" s="5"/>
    </row>
    <row r="863" spans="4:4" x14ac:dyDescent="0.3">
      <c r="D863" s="5"/>
    </row>
    <row r="864" spans="4:4" x14ac:dyDescent="0.3">
      <c r="D864" s="5"/>
    </row>
    <row r="865" spans="4:4" x14ac:dyDescent="0.3">
      <c r="D865" s="5"/>
    </row>
    <row r="866" spans="4:4" x14ac:dyDescent="0.3">
      <c r="D866" s="5"/>
    </row>
    <row r="867" spans="4:4" x14ac:dyDescent="0.3">
      <c r="D867" s="5"/>
    </row>
    <row r="868" spans="4:4" x14ac:dyDescent="0.3">
      <c r="D868" s="5"/>
    </row>
    <row r="869" spans="4:4" x14ac:dyDescent="0.3">
      <c r="D869" s="5"/>
    </row>
    <row r="870" spans="4:4" x14ac:dyDescent="0.3">
      <c r="D870" s="5"/>
    </row>
    <row r="871" spans="4:4" x14ac:dyDescent="0.3">
      <c r="D871" s="5"/>
    </row>
    <row r="872" spans="4:4" x14ac:dyDescent="0.3">
      <c r="D872" s="5"/>
    </row>
    <row r="873" spans="4:4" x14ac:dyDescent="0.3">
      <c r="D873" s="5"/>
    </row>
    <row r="874" spans="4:4" x14ac:dyDescent="0.3">
      <c r="D874" s="5"/>
    </row>
    <row r="875" spans="4:4" x14ac:dyDescent="0.3">
      <c r="D875" s="5"/>
    </row>
    <row r="876" spans="4:4" x14ac:dyDescent="0.3">
      <c r="D876" s="5"/>
    </row>
    <row r="877" spans="4:4" x14ac:dyDescent="0.3">
      <c r="D877" s="5"/>
    </row>
    <row r="878" spans="4:4" x14ac:dyDescent="0.3">
      <c r="D878" s="5"/>
    </row>
    <row r="879" spans="4:4" x14ac:dyDescent="0.3">
      <c r="D879" s="5"/>
    </row>
    <row r="880" spans="4:4" x14ac:dyDescent="0.3">
      <c r="D880" s="5"/>
    </row>
    <row r="881" spans="4:4" x14ac:dyDescent="0.3">
      <c r="D881" s="5"/>
    </row>
    <row r="882" spans="4:4" x14ac:dyDescent="0.3">
      <c r="D882" s="5"/>
    </row>
    <row r="883" spans="4:4" x14ac:dyDescent="0.3">
      <c r="D883" s="5"/>
    </row>
    <row r="884" spans="4:4" x14ac:dyDescent="0.3">
      <c r="D884" s="5"/>
    </row>
    <row r="885" spans="4:4" x14ac:dyDescent="0.3">
      <c r="D885" s="5"/>
    </row>
    <row r="886" spans="4:4" x14ac:dyDescent="0.3">
      <c r="D886" s="5"/>
    </row>
    <row r="887" spans="4:4" x14ac:dyDescent="0.3">
      <c r="D887" s="5"/>
    </row>
    <row r="888" spans="4:4" x14ac:dyDescent="0.3">
      <c r="D888" s="5"/>
    </row>
    <row r="889" spans="4:4" x14ac:dyDescent="0.3">
      <c r="D889" s="5"/>
    </row>
    <row r="890" spans="4:4" x14ac:dyDescent="0.3">
      <c r="D890" s="5"/>
    </row>
    <row r="891" spans="4:4" x14ac:dyDescent="0.3">
      <c r="D891" s="5"/>
    </row>
    <row r="892" spans="4:4" x14ac:dyDescent="0.3">
      <c r="D892" s="5"/>
    </row>
    <row r="893" spans="4:4" x14ac:dyDescent="0.3">
      <c r="D893" s="5"/>
    </row>
    <row r="894" spans="4:4" x14ac:dyDescent="0.3">
      <c r="D894" s="5"/>
    </row>
    <row r="895" spans="4:4" x14ac:dyDescent="0.3">
      <c r="D895" s="5"/>
    </row>
    <row r="896" spans="4:4" x14ac:dyDescent="0.3">
      <c r="D896" s="5"/>
    </row>
    <row r="897" spans="4:4" x14ac:dyDescent="0.3">
      <c r="D897" s="5"/>
    </row>
    <row r="898" spans="4:4" x14ac:dyDescent="0.3">
      <c r="D898" s="5"/>
    </row>
    <row r="899" spans="4:4" x14ac:dyDescent="0.3">
      <c r="D899" s="5"/>
    </row>
    <row r="900" spans="4:4" x14ac:dyDescent="0.3">
      <c r="D900" s="5"/>
    </row>
    <row r="901" spans="4:4" x14ac:dyDescent="0.3">
      <c r="D901" s="5"/>
    </row>
    <row r="902" spans="4:4" x14ac:dyDescent="0.3">
      <c r="D902" s="5"/>
    </row>
    <row r="903" spans="4:4" x14ac:dyDescent="0.3">
      <c r="D903" s="5"/>
    </row>
    <row r="904" spans="4:4" x14ac:dyDescent="0.3">
      <c r="D904" s="5"/>
    </row>
    <row r="905" spans="4:4" x14ac:dyDescent="0.3">
      <c r="D905" s="5"/>
    </row>
    <row r="906" spans="4:4" x14ac:dyDescent="0.3">
      <c r="D906" s="5"/>
    </row>
    <row r="907" spans="4:4" x14ac:dyDescent="0.3">
      <c r="D907" s="5"/>
    </row>
    <row r="908" spans="4:4" x14ac:dyDescent="0.3">
      <c r="D908" s="5"/>
    </row>
    <row r="909" spans="4:4" x14ac:dyDescent="0.3">
      <c r="D909" s="5"/>
    </row>
    <row r="910" spans="4:4" x14ac:dyDescent="0.3">
      <c r="D910" s="5"/>
    </row>
    <row r="911" spans="4:4" x14ac:dyDescent="0.3">
      <c r="D911" s="5"/>
    </row>
    <row r="912" spans="4:4" x14ac:dyDescent="0.3">
      <c r="D912" s="5"/>
    </row>
    <row r="913" spans="4:4" x14ac:dyDescent="0.3">
      <c r="D913" s="5"/>
    </row>
    <row r="914" spans="4:4" x14ac:dyDescent="0.3">
      <c r="D914" s="5"/>
    </row>
    <row r="915" spans="4:4" x14ac:dyDescent="0.3">
      <c r="D915" s="5"/>
    </row>
    <row r="916" spans="4:4" x14ac:dyDescent="0.3">
      <c r="D916" s="5"/>
    </row>
    <row r="917" spans="4:4" x14ac:dyDescent="0.3">
      <c r="D917" s="5"/>
    </row>
    <row r="918" spans="4:4" x14ac:dyDescent="0.3">
      <c r="D918" s="5"/>
    </row>
    <row r="919" spans="4:4" x14ac:dyDescent="0.3">
      <c r="D919" s="5"/>
    </row>
    <row r="920" spans="4:4" x14ac:dyDescent="0.3">
      <c r="D920" s="5"/>
    </row>
    <row r="921" spans="4:4" x14ac:dyDescent="0.3">
      <c r="D921" s="5"/>
    </row>
    <row r="922" spans="4:4" x14ac:dyDescent="0.3">
      <c r="D922" s="5"/>
    </row>
    <row r="923" spans="4:4" x14ac:dyDescent="0.3">
      <c r="D923" s="5"/>
    </row>
    <row r="924" spans="4:4" x14ac:dyDescent="0.3">
      <c r="D924" s="5"/>
    </row>
    <row r="925" spans="4:4" x14ac:dyDescent="0.3">
      <c r="D925" s="5"/>
    </row>
    <row r="926" spans="4:4" x14ac:dyDescent="0.3">
      <c r="D926" s="5"/>
    </row>
    <row r="927" spans="4:4" x14ac:dyDescent="0.3">
      <c r="D927" s="5"/>
    </row>
    <row r="928" spans="4:4" x14ac:dyDescent="0.3">
      <c r="D928" s="5"/>
    </row>
    <row r="929" spans="4:4" x14ac:dyDescent="0.3">
      <c r="D929" s="5"/>
    </row>
    <row r="930" spans="4:4" x14ac:dyDescent="0.3">
      <c r="D930" s="5"/>
    </row>
    <row r="931" spans="4:4" x14ac:dyDescent="0.3">
      <c r="D931" s="5"/>
    </row>
    <row r="932" spans="4:4" x14ac:dyDescent="0.3">
      <c r="D932" s="5"/>
    </row>
    <row r="933" spans="4:4" x14ac:dyDescent="0.3">
      <c r="D933" s="5"/>
    </row>
    <row r="934" spans="4:4" x14ac:dyDescent="0.3">
      <c r="D934" s="5"/>
    </row>
    <row r="935" spans="4:4" x14ac:dyDescent="0.3">
      <c r="D935" s="5"/>
    </row>
    <row r="936" spans="4:4" x14ac:dyDescent="0.3">
      <c r="D936" s="5"/>
    </row>
    <row r="937" spans="4:4" x14ac:dyDescent="0.3">
      <c r="D937" s="5"/>
    </row>
    <row r="938" spans="4:4" x14ac:dyDescent="0.3">
      <c r="D938" s="5"/>
    </row>
    <row r="939" spans="4:4" x14ac:dyDescent="0.3">
      <c r="D939" s="5"/>
    </row>
    <row r="940" spans="4:4" x14ac:dyDescent="0.3">
      <c r="D940" s="5"/>
    </row>
    <row r="941" spans="4:4" x14ac:dyDescent="0.3">
      <c r="D941" s="5"/>
    </row>
    <row r="942" spans="4:4" x14ac:dyDescent="0.3">
      <c r="D942" s="5"/>
    </row>
    <row r="943" spans="4:4" x14ac:dyDescent="0.3">
      <c r="D943" s="5"/>
    </row>
    <row r="944" spans="4:4" x14ac:dyDescent="0.3">
      <c r="D944" s="5"/>
    </row>
    <row r="945" spans="4:4" x14ac:dyDescent="0.3">
      <c r="D945" s="5"/>
    </row>
    <row r="946" spans="4:4" x14ac:dyDescent="0.3">
      <c r="D946" s="5"/>
    </row>
    <row r="947" spans="4:4" x14ac:dyDescent="0.3">
      <c r="D947" s="5"/>
    </row>
    <row r="948" spans="4:4" x14ac:dyDescent="0.3">
      <c r="D948" s="5"/>
    </row>
    <row r="949" spans="4:4" x14ac:dyDescent="0.3">
      <c r="D949" s="5"/>
    </row>
    <row r="950" spans="4:4" x14ac:dyDescent="0.3">
      <c r="D950" s="5"/>
    </row>
    <row r="951" spans="4:4" x14ac:dyDescent="0.3">
      <c r="D951" s="5"/>
    </row>
    <row r="952" spans="4:4" x14ac:dyDescent="0.3">
      <c r="D952" s="5"/>
    </row>
    <row r="953" spans="4:4" x14ac:dyDescent="0.3">
      <c r="D953" s="5"/>
    </row>
    <row r="954" spans="4:4" x14ac:dyDescent="0.3">
      <c r="D954" s="5"/>
    </row>
    <row r="955" spans="4:4" x14ac:dyDescent="0.3">
      <c r="D955" s="5"/>
    </row>
    <row r="956" spans="4:4" x14ac:dyDescent="0.3">
      <c r="D956" s="5"/>
    </row>
    <row r="957" spans="4:4" x14ac:dyDescent="0.3">
      <c r="D957" s="5"/>
    </row>
    <row r="958" spans="4:4" x14ac:dyDescent="0.3">
      <c r="D958" s="5"/>
    </row>
    <row r="959" spans="4:4" x14ac:dyDescent="0.3">
      <c r="D959" s="5"/>
    </row>
    <row r="960" spans="4:4" x14ac:dyDescent="0.3">
      <c r="D960" s="5"/>
    </row>
    <row r="961" spans="4:4" x14ac:dyDescent="0.3">
      <c r="D961" s="5"/>
    </row>
    <row r="962" spans="4:4" x14ac:dyDescent="0.3">
      <c r="D962" s="5"/>
    </row>
    <row r="963" spans="4:4" x14ac:dyDescent="0.3">
      <c r="D963" s="5"/>
    </row>
    <row r="964" spans="4:4" x14ac:dyDescent="0.3">
      <c r="D964" s="5"/>
    </row>
    <row r="965" spans="4:4" x14ac:dyDescent="0.3">
      <c r="D965" s="5"/>
    </row>
    <row r="966" spans="4:4" x14ac:dyDescent="0.3">
      <c r="D966" s="5"/>
    </row>
    <row r="967" spans="4:4" x14ac:dyDescent="0.3">
      <c r="D967" s="5"/>
    </row>
    <row r="968" spans="4:4" x14ac:dyDescent="0.3">
      <c r="D968" s="5"/>
    </row>
    <row r="969" spans="4:4" x14ac:dyDescent="0.3">
      <c r="D969" s="5"/>
    </row>
    <row r="970" spans="4:4" x14ac:dyDescent="0.3">
      <c r="D970" s="5"/>
    </row>
    <row r="971" spans="4:4" x14ac:dyDescent="0.3">
      <c r="D971" s="5"/>
    </row>
    <row r="972" spans="4:4" x14ac:dyDescent="0.3">
      <c r="D972" s="5"/>
    </row>
    <row r="973" spans="4:4" x14ac:dyDescent="0.3">
      <c r="D973" s="5"/>
    </row>
    <row r="974" spans="4:4" x14ac:dyDescent="0.3">
      <c r="D974" s="5"/>
    </row>
    <row r="975" spans="4:4" x14ac:dyDescent="0.3">
      <c r="D975" s="5"/>
    </row>
    <row r="976" spans="4:4" x14ac:dyDescent="0.3">
      <c r="D976" s="5"/>
    </row>
    <row r="977" spans="4:4" x14ac:dyDescent="0.3">
      <c r="D977" s="5"/>
    </row>
    <row r="978" spans="4:4" x14ac:dyDescent="0.3">
      <c r="D978" s="5"/>
    </row>
    <row r="979" spans="4:4" x14ac:dyDescent="0.3">
      <c r="D979" s="5"/>
    </row>
    <row r="980" spans="4:4" x14ac:dyDescent="0.3">
      <c r="D980" s="5"/>
    </row>
    <row r="981" spans="4:4" x14ac:dyDescent="0.3">
      <c r="D981" s="5"/>
    </row>
    <row r="982" spans="4:4" x14ac:dyDescent="0.3">
      <c r="D982" s="5"/>
    </row>
    <row r="983" spans="4:4" x14ac:dyDescent="0.3">
      <c r="D983" s="5"/>
    </row>
    <row r="984" spans="4:4" x14ac:dyDescent="0.3">
      <c r="D984" s="5"/>
    </row>
    <row r="985" spans="4:4" x14ac:dyDescent="0.3">
      <c r="D985" s="5"/>
    </row>
    <row r="986" spans="4:4" x14ac:dyDescent="0.3">
      <c r="D986" s="5"/>
    </row>
    <row r="987" spans="4:4" x14ac:dyDescent="0.3">
      <c r="D987" s="5"/>
    </row>
    <row r="988" spans="4:4" x14ac:dyDescent="0.3">
      <c r="D988" s="5"/>
    </row>
    <row r="989" spans="4:4" x14ac:dyDescent="0.3">
      <c r="D989" s="5"/>
    </row>
    <row r="990" spans="4:4" x14ac:dyDescent="0.3">
      <c r="D990" s="5"/>
    </row>
    <row r="991" spans="4:4" x14ac:dyDescent="0.3">
      <c r="D991" s="5"/>
    </row>
    <row r="992" spans="4:4" x14ac:dyDescent="0.3">
      <c r="D992" s="5"/>
    </row>
    <row r="993" spans="4:4" x14ac:dyDescent="0.3">
      <c r="D993" s="5"/>
    </row>
    <row r="994" spans="4:4" x14ac:dyDescent="0.3">
      <c r="D994" s="5"/>
    </row>
    <row r="995" spans="4:4" x14ac:dyDescent="0.3">
      <c r="D995" s="5"/>
    </row>
    <row r="996" spans="4:4" x14ac:dyDescent="0.3">
      <c r="D996" s="5"/>
    </row>
    <row r="997" spans="4:4" x14ac:dyDescent="0.3">
      <c r="D997" s="5"/>
    </row>
    <row r="998" spans="4:4" x14ac:dyDescent="0.3">
      <c r="D998" s="5"/>
    </row>
    <row r="999" spans="4:4" x14ac:dyDescent="0.3">
      <c r="D999" s="5"/>
    </row>
    <row r="1000" spans="4:4" x14ac:dyDescent="0.3">
      <c r="D1000" s="5"/>
    </row>
    <row r="1001" spans="4:4" x14ac:dyDescent="0.3">
      <c r="D1001" s="5"/>
    </row>
    <row r="1002" spans="4:4" x14ac:dyDescent="0.3">
      <c r="D1002" s="5"/>
    </row>
    <row r="1003" spans="4:4" x14ac:dyDescent="0.3">
      <c r="D1003" s="5"/>
    </row>
    <row r="1004" spans="4:4" x14ac:dyDescent="0.3">
      <c r="D1004" s="5"/>
    </row>
    <row r="1005" spans="4:4" x14ac:dyDescent="0.3">
      <c r="D1005" s="5"/>
    </row>
    <row r="1006" spans="4:4" x14ac:dyDescent="0.3">
      <c r="D1006" s="5"/>
    </row>
    <row r="1007" spans="4:4" x14ac:dyDescent="0.3">
      <c r="D1007" s="5"/>
    </row>
    <row r="1008" spans="4:4" x14ac:dyDescent="0.3">
      <c r="D1008" s="5"/>
    </row>
    <row r="1009" spans="4:4" x14ac:dyDescent="0.3">
      <c r="D1009" s="5"/>
    </row>
    <row r="1010" spans="4:4" x14ac:dyDescent="0.3">
      <c r="D1010" s="5"/>
    </row>
    <row r="1011" spans="4:4" x14ac:dyDescent="0.3">
      <c r="D1011" s="5"/>
    </row>
    <row r="1012" spans="4:4" x14ac:dyDescent="0.3">
      <c r="D1012" s="5"/>
    </row>
    <row r="1013" spans="4:4" x14ac:dyDescent="0.3">
      <c r="D1013" s="5"/>
    </row>
    <row r="1014" spans="4:4" x14ac:dyDescent="0.3">
      <c r="D1014" s="5"/>
    </row>
    <row r="1015" spans="4:4" x14ac:dyDescent="0.3">
      <c r="D1015" s="5"/>
    </row>
    <row r="1016" spans="4:4" x14ac:dyDescent="0.3">
      <c r="D1016" s="5"/>
    </row>
    <row r="1017" spans="4:4" x14ac:dyDescent="0.3">
      <c r="D1017" s="5"/>
    </row>
    <row r="1018" spans="4:4" x14ac:dyDescent="0.3">
      <c r="D1018" s="5"/>
    </row>
    <row r="1019" spans="4:4" x14ac:dyDescent="0.3">
      <c r="D1019" s="5"/>
    </row>
    <row r="1020" spans="4:4" x14ac:dyDescent="0.3">
      <c r="D1020" s="5"/>
    </row>
  </sheetData>
  <mergeCells count="1">
    <mergeCell ref="A1:O1"/>
  </mergeCells>
  <phoneticPr fontId="11" type="noConversion"/>
  <dataValidations count="4">
    <dataValidation type="list" allowBlank="1" showInputMessage="1" showErrorMessage="1" sqref="E13:E1020" xr:uid="{00000000-0002-0000-0000-000000000000}">
      <formula1>"Fachartikel,Bericht,Studie,Review,Buch/Monographie,Norm/Standard,Roadmap,Dissertation,Konferenzbeitrag,Webquelle"</formula1>
    </dataValidation>
    <dataValidation type="list" allowBlank="1" showInputMessage="1" showErrorMessage="1" sqref="G4:G1020" xr:uid="{00000000-0002-0000-0000-000001000000}">
      <formula1>"Hoch,Mittel,Gering"</formula1>
    </dataValidation>
    <dataValidation type="list" allowBlank="1" showInputMessage="1" showErrorMessage="1" sqref="H4:H1020" xr:uid="{00000000-0002-0000-0000-000002000000}">
      <formula1>"Offen,In Bearbeitung,Gelesen,Exzerpiert,Noch nicht geprüft"</formula1>
    </dataValidation>
    <dataValidation type="list" allowBlank="1" showInputMessage="1" showErrorMessage="1" sqref="F32:F1020" xr:uid="{00000000-0002-0000-0000-000003000000}">
      <formula1>"Salzkavernen,CO₂-Transport,Verunreinigungen,Werkstoffe/Korrosion,Reinigung/Aufbereitung,Technische Bewertung,Stoffeigenschaften,Sicherheit,Regulatorik"</formula1>
    </dataValidation>
  </dataValidations>
  <hyperlinks>
    <hyperlink ref="B83" r:id="rId1" display="https://www.gesetze-im-internet.de/kspg/BJNR172610012.html" xr:uid="{72582254-912C-4B5A-B5D5-2A179834C5F0}"/>
    <hyperlink ref="C83" r:id="rId2" display="https://www.gesetze-im-internet.de/kspg/BJNR172610012.html" xr:uid="{CA030A62-DFBC-4184-B5A2-7E3919140692}"/>
  </hyperlinks>
  <pageMargins left="0.25" right="0.25" top="0.75" bottom="0.75" header="0.3" footer="0.3"/>
  <pageSetup scale="29" fitToHeight="0" orientation="landscape" horizontalDpi="1200" verticalDpi="1200" r:id="rId3"/>
  <headerFooter>
    <oddHeader>&amp;C&amp;"Arial"&amp;10&amp;K000000 General - Unencrypted&amp;1#_x000D_&amp;"Aptos Narrow"&amp;11&amp;K000000&amp;"Arial"&amp;1 &amp;K000000 General - Unencrypted#_x000D_</oddHeader>
  </headerFooter>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8"/>
  <sheetViews>
    <sheetView workbookViewId="0">
      <pane ySplit="3" topLeftCell="A11" activePane="bottomLeft" state="frozen"/>
      <selection pane="bottomLeft" activeCell="H6" sqref="H6"/>
    </sheetView>
  </sheetViews>
  <sheetFormatPr baseColWidth="10" defaultColWidth="9.109375" defaultRowHeight="14.4" x14ac:dyDescent="0.3"/>
  <cols>
    <col min="1" max="1" width="10" customWidth="1"/>
    <col min="2" max="2" width="34" customWidth="1"/>
    <col min="3" max="3" width="52" customWidth="1"/>
    <col min="4" max="4" width="40" customWidth="1"/>
    <col min="5" max="5" width="22" customWidth="1"/>
    <col min="6" max="6" width="46" customWidth="1"/>
  </cols>
  <sheetData>
    <row r="1" spans="1:6" ht="21.9" customHeight="1" x14ac:dyDescent="0.35">
      <c r="A1" s="7" t="s">
        <v>984</v>
      </c>
    </row>
    <row r="3" spans="1:6" ht="30" customHeight="1" x14ac:dyDescent="0.3">
      <c r="A3" s="8" t="s">
        <v>985</v>
      </c>
      <c r="B3" s="8" t="s">
        <v>974</v>
      </c>
      <c r="C3" s="8" t="s">
        <v>986</v>
      </c>
      <c r="D3" s="8" t="s">
        <v>987</v>
      </c>
      <c r="E3" s="8" t="s">
        <v>18</v>
      </c>
      <c r="F3" s="8" t="s">
        <v>988</v>
      </c>
    </row>
    <row r="4" spans="1:6" ht="57.6" x14ac:dyDescent="0.3">
      <c r="A4" s="9" t="s">
        <v>518</v>
      </c>
      <c r="B4" s="10" t="s">
        <v>989</v>
      </c>
      <c r="C4" s="10" t="s">
        <v>990</v>
      </c>
      <c r="D4" s="10" t="s">
        <v>1153</v>
      </c>
      <c r="E4" s="10" t="s">
        <v>991</v>
      </c>
      <c r="F4" s="10" t="s">
        <v>992</v>
      </c>
    </row>
    <row r="5" spans="1:6" ht="28.8" x14ac:dyDescent="0.3">
      <c r="A5" s="9" t="s">
        <v>910</v>
      </c>
      <c r="B5" s="10" t="s">
        <v>993</v>
      </c>
      <c r="C5" s="10" t="s">
        <v>994</v>
      </c>
      <c r="D5" s="10" t="s">
        <v>995</v>
      </c>
      <c r="E5" s="10" t="s">
        <v>996</v>
      </c>
      <c r="F5" s="10" t="s">
        <v>997</v>
      </c>
    </row>
    <row r="6" spans="1:6" ht="43.2" x14ac:dyDescent="0.3">
      <c r="A6" s="9" t="s">
        <v>91</v>
      </c>
      <c r="B6" s="10" t="s">
        <v>998</v>
      </c>
      <c r="C6" s="10" t="s">
        <v>999</v>
      </c>
      <c r="D6" s="10" t="s">
        <v>1000</v>
      </c>
      <c r="E6" s="10" t="s">
        <v>1001</v>
      </c>
      <c r="F6" s="10" t="s">
        <v>1002</v>
      </c>
    </row>
    <row r="7" spans="1:6" ht="43.2" x14ac:dyDescent="0.3">
      <c r="A7" s="9" t="s">
        <v>368</v>
      </c>
      <c r="B7" s="10" t="s">
        <v>1003</v>
      </c>
      <c r="C7" s="10" t="s">
        <v>1004</v>
      </c>
      <c r="D7" s="10" t="s">
        <v>1005</v>
      </c>
      <c r="E7" s="10" t="s">
        <v>1006</v>
      </c>
      <c r="F7" s="10" t="s">
        <v>1007</v>
      </c>
    </row>
    <row r="8" spans="1:6" ht="43.2" x14ac:dyDescent="0.3">
      <c r="A8" s="9" t="s">
        <v>1008</v>
      </c>
      <c r="B8" s="10" t="s">
        <v>978</v>
      </c>
      <c r="C8" s="10" t="s">
        <v>1009</v>
      </c>
      <c r="D8" s="10" t="s">
        <v>1171</v>
      </c>
      <c r="E8" s="10" t="s">
        <v>1010</v>
      </c>
      <c r="F8" s="10" t="s">
        <v>1011</v>
      </c>
    </row>
    <row r="9" spans="1:6" ht="43.2" x14ac:dyDescent="0.3">
      <c r="A9" s="9" t="s">
        <v>1012</v>
      </c>
      <c r="B9" s="10" t="s">
        <v>1013</v>
      </c>
      <c r="C9" s="10" t="s">
        <v>1014</v>
      </c>
      <c r="D9" s="10" t="s">
        <v>1083</v>
      </c>
      <c r="E9" s="10" t="s">
        <v>1015</v>
      </c>
      <c r="F9" s="10" t="s">
        <v>1016</v>
      </c>
    </row>
    <row r="10" spans="1:6" ht="28.8" x14ac:dyDescent="0.3">
      <c r="A10" s="9" t="s">
        <v>1017</v>
      </c>
      <c r="B10" s="10" t="s">
        <v>1018</v>
      </c>
      <c r="C10" s="10" t="s">
        <v>1019</v>
      </c>
      <c r="D10" s="10" t="s">
        <v>1020</v>
      </c>
      <c r="E10" s="10" t="s">
        <v>1021</v>
      </c>
      <c r="F10" s="10" t="s">
        <v>1022</v>
      </c>
    </row>
    <row r="11" spans="1:6" ht="43.2" x14ac:dyDescent="0.3">
      <c r="A11" s="9" t="s">
        <v>294</v>
      </c>
      <c r="B11" s="10" t="s">
        <v>1023</v>
      </c>
      <c r="C11" s="10" t="s">
        <v>1024</v>
      </c>
      <c r="D11" s="10" t="s">
        <v>1154</v>
      </c>
      <c r="E11" s="10" t="s">
        <v>505</v>
      </c>
      <c r="F11" s="10" t="s">
        <v>1025</v>
      </c>
    </row>
    <row r="12" spans="1:6" ht="28.8" x14ac:dyDescent="0.3">
      <c r="A12" s="9" t="s">
        <v>948</v>
      </c>
      <c r="B12" s="10" t="s">
        <v>979</v>
      </c>
      <c r="C12" s="10" t="s">
        <v>1026</v>
      </c>
      <c r="D12" s="10" t="s">
        <v>1127</v>
      </c>
      <c r="E12" s="10" t="s">
        <v>222</v>
      </c>
      <c r="F12" s="10" t="s">
        <v>1027</v>
      </c>
    </row>
    <row r="13" spans="1:6" ht="43.2" x14ac:dyDescent="0.3">
      <c r="A13" s="9" t="s">
        <v>148</v>
      </c>
      <c r="B13" s="10" t="s">
        <v>980</v>
      </c>
      <c r="C13" s="10" t="s">
        <v>1028</v>
      </c>
      <c r="D13" s="10" t="s">
        <v>1029</v>
      </c>
      <c r="E13" s="10" t="s">
        <v>1030</v>
      </c>
      <c r="F13" s="10" t="s">
        <v>1031</v>
      </c>
    </row>
    <row r="14" spans="1:6" ht="43.2" x14ac:dyDescent="0.3">
      <c r="A14" s="9" t="s">
        <v>460</v>
      </c>
      <c r="B14" s="10" t="s">
        <v>1032</v>
      </c>
      <c r="C14" s="10" t="s">
        <v>1033</v>
      </c>
      <c r="D14" s="10" t="s">
        <v>1084</v>
      </c>
      <c r="E14" s="10" t="s">
        <v>1034</v>
      </c>
      <c r="F14" s="10" t="s">
        <v>1035</v>
      </c>
    </row>
    <row r="15" spans="1:6" ht="43.2" x14ac:dyDescent="0.3">
      <c r="A15" s="9" t="s">
        <v>1036</v>
      </c>
      <c r="B15" s="10" t="s">
        <v>981</v>
      </c>
      <c r="C15" s="10" t="s">
        <v>1037</v>
      </c>
      <c r="D15" s="10" t="s">
        <v>1128</v>
      </c>
      <c r="E15" s="10" t="s">
        <v>295</v>
      </c>
      <c r="F15" s="10" t="s">
        <v>1038</v>
      </c>
    </row>
    <row r="16" spans="1:6" ht="43.2" x14ac:dyDescent="0.3">
      <c r="A16" s="9" t="s">
        <v>1039</v>
      </c>
      <c r="B16" s="10" t="s">
        <v>1040</v>
      </c>
      <c r="C16" s="10" t="s">
        <v>1041</v>
      </c>
      <c r="D16" s="10" t="s">
        <v>1042</v>
      </c>
      <c r="E16" s="10" t="s">
        <v>833</v>
      </c>
      <c r="F16" s="10" t="s">
        <v>1043</v>
      </c>
    </row>
    <row r="17" spans="1:6" ht="28.8" x14ac:dyDescent="0.3">
      <c r="A17" s="9" t="s">
        <v>962</v>
      </c>
      <c r="B17" s="10" t="s">
        <v>982</v>
      </c>
      <c r="C17" s="10" t="s">
        <v>1044</v>
      </c>
      <c r="D17" s="10" t="s">
        <v>1085</v>
      </c>
      <c r="E17" s="10" t="s">
        <v>1045</v>
      </c>
      <c r="F17" s="10" t="s">
        <v>1046</v>
      </c>
    </row>
    <row r="18" spans="1:6" ht="43.2" x14ac:dyDescent="0.3">
      <c r="A18" s="9" t="s">
        <v>107</v>
      </c>
      <c r="B18" s="10" t="s">
        <v>983</v>
      </c>
      <c r="C18" s="10" t="s">
        <v>1047</v>
      </c>
      <c r="D18" s="10" t="s">
        <v>1172</v>
      </c>
      <c r="E18" s="10" t="s">
        <v>1048</v>
      </c>
      <c r="F18" s="10" t="s">
        <v>1049</v>
      </c>
    </row>
  </sheetData>
  <pageMargins left="0.75" right="0.75" top="1" bottom="1" header="0.5" footer="0.5"/>
  <headerFooter>
    <oddHeader>&amp;C&amp;"Arial"&amp;10&amp;K000000 General - Unencrypted&amp;1#_x000D_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6"/>
  <sheetViews>
    <sheetView workbookViewId="0"/>
  </sheetViews>
  <sheetFormatPr baseColWidth="10" defaultRowHeight="14.4" x14ac:dyDescent="0.3"/>
  <cols>
    <col min="1" max="1" width="43.109375" bestFit="1" customWidth="1"/>
    <col min="3" max="3" width="44" customWidth="1"/>
    <col min="5" max="5" width="22" customWidth="1"/>
    <col min="7" max="7" width="26" customWidth="1"/>
  </cols>
  <sheetData>
    <row r="1" spans="1:7" x14ac:dyDescent="0.3">
      <c r="A1" s="4" t="s">
        <v>6</v>
      </c>
      <c r="C1" s="6" t="s">
        <v>1056</v>
      </c>
      <c r="E1" s="6" t="s">
        <v>7</v>
      </c>
      <c r="G1" s="6" t="s">
        <v>8</v>
      </c>
    </row>
    <row r="2" spans="1:7" x14ac:dyDescent="0.3">
      <c r="A2" t="s">
        <v>976</v>
      </c>
      <c r="C2" t="s">
        <v>1057</v>
      </c>
      <c r="E2" t="s">
        <v>23</v>
      </c>
      <c r="G2" t="s">
        <v>389</v>
      </c>
    </row>
    <row r="3" spans="1:7" x14ac:dyDescent="0.3">
      <c r="A3" t="s">
        <v>1058</v>
      </c>
      <c r="C3" t="s">
        <v>546</v>
      </c>
      <c r="E3" t="s">
        <v>285</v>
      </c>
      <c r="G3" t="s">
        <v>269</v>
      </c>
    </row>
    <row r="4" spans="1:7" x14ac:dyDescent="0.3">
      <c r="A4" t="s">
        <v>1050</v>
      </c>
      <c r="C4" t="s">
        <v>1059</v>
      </c>
      <c r="E4" t="s">
        <v>82</v>
      </c>
      <c r="G4" t="s">
        <v>44</v>
      </c>
    </row>
    <row r="5" spans="1:7" x14ac:dyDescent="0.3">
      <c r="A5" t="s">
        <v>1055</v>
      </c>
      <c r="C5" t="s">
        <v>1060</v>
      </c>
      <c r="E5" t="s">
        <v>802</v>
      </c>
      <c r="G5" t="s">
        <v>24</v>
      </c>
    </row>
    <row r="6" spans="1:7" x14ac:dyDescent="0.3">
      <c r="A6" t="s">
        <v>1052</v>
      </c>
      <c r="C6" t="s">
        <v>192</v>
      </c>
      <c r="E6" t="s">
        <v>864</v>
      </c>
      <c r="G6" t="s">
        <v>1061</v>
      </c>
    </row>
    <row r="7" spans="1:7" x14ac:dyDescent="0.3">
      <c r="A7" t="s">
        <v>1062</v>
      </c>
      <c r="C7" t="s">
        <v>947</v>
      </c>
      <c r="G7" t="s">
        <v>1063</v>
      </c>
    </row>
    <row r="8" spans="1:7" x14ac:dyDescent="0.3">
      <c r="A8" t="s">
        <v>1064</v>
      </c>
      <c r="C8" t="s">
        <v>1065</v>
      </c>
    </row>
    <row r="9" spans="1:7" x14ac:dyDescent="0.3">
      <c r="A9" t="s">
        <v>1054</v>
      </c>
      <c r="C9" t="s">
        <v>1066</v>
      </c>
    </row>
    <row r="10" spans="1:7" x14ac:dyDescent="0.3">
      <c r="A10" t="s">
        <v>1067</v>
      </c>
      <c r="C10" t="s">
        <v>220</v>
      </c>
    </row>
    <row r="11" spans="1:7" x14ac:dyDescent="0.3">
      <c r="A11" t="s">
        <v>1053</v>
      </c>
      <c r="C11" t="s">
        <v>1068</v>
      </c>
    </row>
    <row r="12" spans="1:7" x14ac:dyDescent="0.3">
      <c r="A12" t="s">
        <v>975</v>
      </c>
      <c r="C12" t="s">
        <v>1069</v>
      </c>
    </row>
    <row r="13" spans="1:7" x14ac:dyDescent="0.3">
      <c r="A13" t="s">
        <v>977</v>
      </c>
      <c r="C13" t="s">
        <v>293</v>
      </c>
    </row>
    <row r="14" spans="1:7" x14ac:dyDescent="0.3">
      <c r="C14" t="s">
        <v>587</v>
      </c>
    </row>
    <row r="15" spans="1:7" x14ac:dyDescent="0.3">
      <c r="C15" t="s">
        <v>459</v>
      </c>
    </row>
    <row r="16" spans="1:7" x14ac:dyDescent="0.3">
      <c r="C16" t="s">
        <v>1070</v>
      </c>
    </row>
  </sheetData>
  <pageMargins left="0.7" right="0.7" top="0.78740157499999996" bottom="0.78740157499999996" header="0.3" footer="0.3"/>
  <headerFooter>
    <oddHeader>&amp;C&amp;"Arial"&amp;10&amp;K000000 General - Unencrypted&amp;1#_x000D_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c7dbdb7-e219-4ebe-854f-4ab699024ee0" xsi:nil="true"/>
    <lcf76f155ced4ddcb4097134ff3c332f xmlns="b55276c4-b338-4cb7-9737-66b5ce5b91f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9F1AC6575134448A0058E48A43925A9" ma:contentTypeVersion="11" ma:contentTypeDescription="Create a new document." ma:contentTypeScope="" ma:versionID="5c7745ac9277419254f50494c8e91551">
  <xsd:schema xmlns:xsd="http://www.w3.org/2001/XMLSchema" xmlns:xs="http://www.w3.org/2001/XMLSchema" xmlns:p="http://schemas.microsoft.com/office/2006/metadata/properties" xmlns:ns2="b55276c4-b338-4cb7-9737-66b5ce5b91f1" xmlns:ns3="0c7dbdb7-e219-4ebe-854f-4ab699024ee0" targetNamespace="http://schemas.microsoft.com/office/2006/metadata/properties" ma:root="true" ma:fieldsID="41291f306ffd6106717b7e023cea7f2b" ns2:_="" ns3:_="">
    <xsd:import namespace="b55276c4-b338-4cb7-9737-66b5ce5b91f1"/>
    <xsd:import namespace="0c7dbdb7-e219-4ebe-854f-4ab699024ee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5276c4-b338-4cb7-9737-66b5ce5b91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354813c-11b9-47e8-a31a-cbfea2ba9f6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c7dbdb7-e219-4ebe-854f-4ab699024ee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9a8bc1-d1df-4f1a-8052-018a445f2a08}" ma:internalName="TaxCatchAll" ma:showField="CatchAllData" ma:web="0c7dbdb7-e219-4ebe-854f-4ab699024e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A0256C-8447-4F72-9943-672FAC9FFC69}">
  <ds:schemaRefs>
    <ds:schemaRef ds:uri="http://schemas.microsoft.com/sharepoint/v3/contenttype/forms"/>
  </ds:schemaRefs>
</ds:datastoreItem>
</file>

<file path=customXml/itemProps2.xml><?xml version="1.0" encoding="utf-8"?>
<ds:datastoreItem xmlns:ds="http://schemas.openxmlformats.org/officeDocument/2006/customXml" ds:itemID="{8C174F1F-DD75-4F3A-9D17-6DEFAB292689}">
  <ds:schemaRefs>
    <ds:schemaRef ds:uri="http://schemas.microsoft.com/office/2006/metadata/properties"/>
    <ds:schemaRef ds:uri="http://schemas.microsoft.com/office/infopath/2007/PartnerControls"/>
    <ds:schemaRef ds:uri="0c7dbdb7-e219-4ebe-854f-4ab699024ee0"/>
    <ds:schemaRef ds:uri="b55276c4-b338-4cb7-9737-66b5ce5b91f1"/>
  </ds:schemaRefs>
</ds:datastoreItem>
</file>

<file path=customXml/itemProps3.xml><?xml version="1.0" encoding="utf-8"?>
<ds:datastoreItem xmlns:ds="http://schemas.openxmlformats.org/officeDocument/2006/customXml" ds:itemID="{B17B4E23-7955-47BD-BB7A-F5338580C9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5276c4-b338-4cb7-9737-66b5ce5b91f1"/>
    <ds:schemaRef ds:uri="0c7dbdb7-e219-4ebe-854f-4ab699024e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8d84362-1b1e-41fa-9f4a-001d35549470}" enabled="1" method="Standard" siteId="{db8e2f82-8a37-4c09-b7de-ed06547b5a2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Quellenübersicht</vt:lpstr>
      <vt:lpstr>Themencluster</vt:lpstr>
      <vt:lpstr>Auswahllisten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Maxara, Sarah</dc:creator>
  <cp:lastModifiedBy>Maxara, Sarah</cp:lastModifiedBy>
  <cp:lastPrinted>2026-08-12T08:28:06Z</cp:lastPrinted>
  <dcterms:created xsi:type="dcterms:W3CDTF">2026-06-05T12:39:28Z</dcterms:created>
  <dcterms:modified xsi:type="dcterms:W3CDTF">2026-09-22T12:16:49Z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6000</vt:r8>
  </property>
  <property fmtid="{D5CDD505-2E9C-101B-9397-08002B2CF9AE}" pid="3" name="MediaServiceImageTags">
    <vt:lpwstr/>
  </property>
  <property fmtid="{D5CDD505-2E9C-101B-9397-08002B2CF9AE}" pid="4" name="ContentTypeId">
    <vt:lpwstr>0x010100E9F1AC6575134448A0058E48A43925A9</vt:lpwstr>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ies>
</file>